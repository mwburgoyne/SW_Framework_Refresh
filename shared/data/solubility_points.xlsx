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mark\projects\H2-Solubility-In-S-W-Framework\data\"/>
    </mc:Choice>
  </mc:AlternateContent>
  <xr:revisionPtr revIDLastSave="0" documentId="13_ncr:1_{B776DA1D-3B8B-428B-AC86-3DA9D9088935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QCd Data" sheetId="8" r:id="rId1"/>
    <sheet name="all_data" sheetId="7" r:id="rId2"/>
    <sheet name="psia &amp; F" sheetId="2" r:id="rId3"/>
    <sheet name="Wiebe gram conversion" sheetId="4" r:id="rId4"/>
    <sheet name="Prutton &amp; Savage" sheetId="5" r:id="rId5"/>
    <sheet name="Takenouchi &amp; Kennedy" sheetId="6" r:id="rId6"/>
  </sheets>
  <definedNames>
    <definedName name="_xlnm._FilterDatabase" localSheetId="1" hidden="1">all_data!$A$1:$T$2186</definedName>
    <definedName name="_xlnm._FilterDatabase" localSheetId="2" hidden="1">'psia &amp; F'!$A$1:$Y$2295</definedName>
    <definedName name="_xlnm._FilterDatabase" localSheetId="0" hidden="1">'QCd Data'!$A$1:$T$3852</definedName>
    <definedName name="_xlnm._FilterDatabase" localSheetId="3" hidden="1">'Wiebe gram conversion'!$A$1:$J$77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727" i="8" l="1"/>
  <c r="R3728" i="8" s="1"/>
  <c r="R3729" i="8" s="1"/>
  <c r="R3730" i="8" s="1"/>
  <c r="R3731" i="8" s="1"/>
  <c r="R3732" i="8" s="1"/>
  <c r="R3733" i="8" s="1"/>
  <c r="R3734" i="8" s="1"/>
  <c r="R3735" i="8" s="1"/>
  <c r="R3736" i="8" s="1"/>
  <c r="R3737" i="8" s="1"/>
  <c r="R3738" i="8" s="1"/>
  <c r="R3739" i="8" s="1"/>
  <c r="R3740" i="8" s="1"/>
  <c r="R3741" i="8" s="1"/>
  <c r="R3742" i="8" s="1"/>
  <c r="R3743" i="8" s="1"/>
  <c r="R3744" i="8" s="1"/>
  <c r="R3745" i="8" s="1"/>
  <c r="R3746" i="8" s="1"/>
  <c r="R3747" i="8" s="1"/>
  <c r="R3748" i="8" s="1"/>
  <c r="R3749" i="8" s="1"/>
  <c r="R3750" i="8" s="1"/>
  <c r="R3751" i="8" s="1"/>
  <c r="R3752" i="8" s="1"/>
  <c r="R3753" i="8" s="1"/>
  <c r="R3754" i="8" s="1"/>
  <c r="R3755" i="8" s="1"/>
  <c r="R3756" i="8" s="1"/>
  <c r="R3757" i="8" s="1"/>
  <c r="R3758" i="8" s="1"/>
  <c r="R3759" i="8" s="1"/>
  <c r="R3760" i="8" s="1"/>
  <c r="R3761" i="8" s="1"/>
  <c r="R3762" i="8" s="1"/>
  <c r="R3763" i="8" s="1"/>
  <c r="R3764" i="8" s="1"/>
  <c r="R3765" i="8" s="1"/>
  <c r="R3766" i="8" s="1"/>
  <c r="R3767" i="8" s="1"/>
  <c r="R3768" i="8" s="1"/>
  <c r="R3769" i="8" s="1"/>
  <c r="R3770" i="8" s="1"/>
  <c r="R3771" i="8" s="1"/>
  <c r="R3772" i="8" s="1"/>
  <c r="R3773" i="8" s="1"/>
  <c r="R3774" i="8" s="1"/>
  <c r="R3775" i="8" s="1"/>
  <c r="R3776" i="8" s="1"/>
  <c r="R3777" i="8" s="1"/>
  <c r="R3778" i="8" s="1"/>
  <c r="R3779" i="8" s="1"/>
  <c r="R3780" i="8" s="1"/>
  <c r="R3781" i="8" s="1"/>
  <c r="R3782" i="8" s="1"/>
  <c r="R3783" i="8" s="1"/>
  <c r="R3784" i="8" s="1"/>
  <c r="R3785" i="8" s="1"/>
  <c r="R3786" i="8" s="1"/>
  <c r="R3787" i="8" s="1"/>
  <c r="R3788" i="8" s="1"/>
  <c r="R3789" i="8" s="1"/>
  <c r="R3790" i="8" s="1"/>
  <c r="R3791" i="8" s="1"/>
  <c r="R3792" i="8" s="1"/>
  <c r="R3793" i="8" s="1"/>
  <c r="R3794" i="8" s="1"/>
  <c r="R3795" i="8" s="1"/>
  <c r="R3796" i="8" s="1"/>
  <c r="R3797" i="8" s="1"/>
  <c r="R3798" i="8" s="1"/>
  <c r="R3799" i="8" s="1"/>
  <c r="R3800" i="8" s="1"/>
  <c r="R3801" i="8" s="1"/>
  <c r="R3802" i="8" s="1"/>
  <c r="R3803" i="8" s="1"/>
  <c r="R3804" i="8" s="1"/>
  <c r="R3805" i="8" s="1"/>
  <c r="R3806" i="8" s="1"/>
  <c r="R3807" i="8" s="1"/>
  <c r="R3808" i="8" s="1"/>
  <c r="R3809" i="8" s="1"/>
  <c r="R3810" i="8" s="1"/>
  <c r="R3811" i="8" s="1"/>
  <c r="R3812" i="8" s="1"/>
  <c r="R3813" i="8" s="1"/>
  <c r="R3814" i="8" s="1"/>
  <c r="R3815" i="8" s="1"/>
  <c r="R3816" i="8" s="1"/>
  <c r="R3817" i="8" s="1"/>
  <c r="R3818" i="8" s="1"/>
  <c r="R3819" i="8" s="1"/>
  <c r="R3820" i="8" s="1"/>
  <c r="R3821" i="8" s="1"/>
  <c r="R3822" i="8" s="1"/>
  <c r="R3823" i="8" s="1"/>
  <c r="R3824" i="8" s="1"/>
  <c r="R3825" i="8" s="1"/>
  <c r="R3826" i="8" s="1"/>
  <c r="R3827" i="8" s="1"/>
  <c r="R3828" i="8" s="1"/>
  <c r="R3829" i="8" s="1"/>
  <c r="R3830" i="8" s="1"/>
  <c r="R3831" i="8" s="1"/>
  <c r="R3832" i="8" s="1"/>
  <c r="R3833" i="8" s="1"/>
  <c r="R3834" i="8" s="1"/>
  <c r="R3835" i="8" s="1"/>
  <c r="R3836" i="8" s="1"/>
  <c r="R3837" i="8" s="1"/>
  <c r="R3838" i="8" s="1"/>
  <c r="R3839" i="8" s="1"/>
  <c r="R3840" i="8" s="1"/>
  <c r="R3841" i="8" s="1"/>
  <c r="R3842" i="8" s="1"/>
  <c r="R3843" i="8" s="1"/>
  <c r="R3844" i="8" s="1"/>
  <c r="R3845" i="8" s="1"/>
  <c r="R3846" i="8" s="1"/>
  <c r="R3847" i="8" s="1"/>
  <c r="R3848" i="8" s="1"/>
  <c r="R3849" i="8" s="1"/>
  <c r="R3850" i="8" s="1"/>
  <c r="R3851" i="8" s="1"/>
  <c r="R3852" i="8" s="1"/>
  <c r="R3726" i="8"/>
  <c r="B3726" i="8"/>
  <c r="B3727" i="8" s="1"/>
  <c r="B3728" i="8" s="1"/>
  <c r="B3729" i="8" s="1"/>
  <c r="B3730" i="8" s="1"/>
  <c r="B3731" i="8" s="1"/>
  <c r="B3732" i="8" s="1"/>
  <c r="B3733" i="8" s="1"/>
  <c r="B3734" i="8" s="1"/>
  <c r="B3735" i="8" s="1"/>
  <c r="B3736" i="8" s="1"/>
  <c r="B3737" i="8" s="1"/>
  <c r="B3738" i="8" s="1"/>
  <c r="B3739" i="8" s="1"/>
  <c r="B3740" i="8" s="1"/>
  <c r="B3741" i="8" s="1"/>
  <c r="B3742" i="8" s="1"/>
  <c r="B3743" i="8" s="1"/>
  <c r="B3744" i="8" s="1"/>
  <c r="B3745" i="8" s="1"/>
  <c r="B3746" i="8" s="1"/>
  <c r="B3747" i="8" s="1"/>
  <c r="B3748" i="8" s="1"/>
  <c r="B3749" i="8" s="1"/>
  <c r="B3750" i="8" s="1"/>
  <c r="B3751" i="8" s="1"/>
  <c r="B3752" i="8" s="1"/>
  <c r="B3753" i="8" s="1"/>
  <c r="B3754" i="8" s="1"/>
  <c r="B3755" i="8" s="1"/>
  <c r="B3756" i="8" s="1"/>
  <c r="B3757" i="8" s="1"/>
  <c r="B3758" i="8" s="1"/>
  <c r="B3759" i="8" s="1"/>
  <c r="B3760" i="8" s="1"/>
  <c r="B3761" i="8" s="1"/>
  <c r="B3762" i="8" s="1"/>
  <c r="B3763" i="8" s="1"/>
  <c r="B3764" i="8" s="1"/>
  <c r="B3765" i="8" s="1"/>
  <c r="B3766" i="8" s="1"/>
  <c r="B3767" i="8" s="1"/>
  <c r="B3768" i="8" s="1"/>
  <c r="B3769" i="8" s="1"/>
  <c r="B3770" i="8" s="1"/>
  <c r="B3771" i="8" s="1"/>
  <c r="B3772" i="8" s="1"/>
  <c r="B3773" i="8" s="1"/>
  <c r="B3774" i="8" s="1"/>
  <c r="B3775" i="8" s="1"/>
  <c r="B3776" i="8" s="1"/>
  <c r="B3777" i="8" s="1"/>
  <c r="B3778" i="8" s="1"/>
  <c r="B3779" i="8" s="1"/>
  <c r="B3780" i="8" s="1"/>
  <c r="B3781" i="8" s="1"/>
  <c r="B3782" i="8" s="1"/>
  <c r="B3783" i="8" s="1"/>
  <c r="B3784" i="8" s="1"/>
  <c r="B3785" i="8" s="1"/>
  <c r="B3786" i="8" s="1"/>
  <c r="B3787" i="8" s="1"/>
  <c r="B3788" i="8" s="1"/>
  <c r="B3789" i="8" s="1"/>
  <c r="B3790" i="8" s="1"/>
  <c r="B3791" i="8" s="1"/>
  <c r="B3792" i="8" s="1"/>
  <c r="B3793" i="8" s="1"/>
  <c r="B3794" i="8" s="1"/>
  <c r="B3795" i="8" s="1"/>
  <c r="B3796" i="8" s="1"/>
  <c r="B3797" i="8" s="1"/>
  <c r="B3798" i="8" s="1"/>
  <c r="B3799" i="8" s="1"/>
  <c r="B3800" i="8" s="1"/>
  <c r="B3801" i="8" s="1"/>
  <c r="B3802" i="8" s="1"/>
  <c r="B3803" i="8" s="1"/>
  <c r="B3804" i="8" s="1"/>
  <c r="B3805" i="8" s="1"/>
  <c r="B3806" i="8" s="1"/>
  <c r="B3807" i="8" s="1"/>
  <c r="B3808" i="8" s="1"/>
  <c r="B3809" i="8" s="1"/>
  <c r="B3810" i="8" s="1"/>
  <c r="B3811" i="8" s="1"/>
  <c r="B3812" i="8" s="1"/>
  <c r="B3813" i="8" s="1"/>
  <c r="B3814" i="8" s="1"/>
  <c r="B3815" i="8" s="1"/>
  <c r="B3816" i="8" s="1"/>
  <c r="B3817" i="8" s="1"/>
  <c r="B3818" i="8" s="1"/>
  <c r="B3819" i="8" s="1"/>
  <c r="B3820" i="8" s="1"/>
  <c r="B3821" i="8" s="1"/>
  <c r="B3822" i="8" s="1"/>
  <c r="B3823" i="8" s="1"/>
  <c r="B3824" i="8" s="1"/>
  <c r="B3825" i="8" s="1"/>
  <c r="B3826" i="8" s="1"/>
  <c r="B3827" i="8" s="1"/>
  <c r="B3828" i="8" s="1"/>
  <c r="B3829" i="8" s="1"/>
  <c r="B3830" i="8" s="1"/>
  <c r="B3831" i="8" s="1"/>
  <c r="B3832" i="8" s="1"/>
  <c r="B3833" i="8" s="1"/>
  <c r="B3834" i="8" s="1"/>
  <c r="B3835" i="8" s="1"/>
  <c r="B3836" i="8" s="1"/>
  <c r="B3837" i="8" s="1"/>
  <c r="B3838" i="8" s="1"/>
  <c r="B3839" i="8" s="1"/>
  <c r="B3840" i="8" s="1"/>
  <c r="B3841" i="8" s="1"/>
  <c r="B3842" i="8" s="1"/>
  <c r="B3843" i="8" s="1"/>
  <c r="B3844" i="8" s="1"/>
  <c r="B3845" i="8" s="1"/>
  <c r="B3846" i="8" s="1"/>
  <c r="B3847" i="8" s="1"/>
  <c r="B3848" i="8" s="1"/>
  <c r="B3849" i="8" s="1"/>
  <c r="B3850" i="8" s="1"/>
  <c r="B3851" i="8" s="1"/>
  <c r="B3852" i="8" s="1"/>
  <c r="P3675" i="8"/>
  <c r="P3676" i="8" s="1"/>
  <c r="P3677" i="8" s="1"/>
  <c r="P3678" i="8" s="1"/>
  <c r="P3679" i="8" s="1"/>
  <c r="P3680" i="8" s="1"/>
  <c r="P3681" i="8" s="1"/>
  <c r="P3682" i="8" s="1"/>
  <c r="P3683" i="8" s="1"/>
  <c r="P3684" i="8" s="1"/>
  <c r="P3685" i="8" s="1"/>
  <c r="P3686" i="8" s="1"/>
  <c r="P3687" i="8" s="1"/>
  <c r="P3688" i="8" s="1"/>
  <c r="P3689" i="8" s="1"/>
  <c r="P3690" i="8" s="1"/>
  <c r="P3691" i="8" s="1"/>
  <c r="P3692" i="8" s="1"/>
  <c r="P3693" i="8" s="1"/>
  <c r="P3694" i="8" s="1"/>
  <c r="P3695" i="8" s="1"/>
  <c r="P3696" i="8" s="1"/>
  <c r="P3697" i="8" s="1"/>
  <c r="P3698" i="8" s="1"/>
  <c r="P3699" i="8" s="1"/>
  <c r="P3700" i="8" s="1"/>
  <c r="P3701" i="8" s="1"/>
  <c r="P3702" i="8" s="1"/>
  <c r="P3703" i="8" s="1"/>
  <c r="P3704" i="8" s="1"/>
  <c r="P3705" i="8" s="1"/>
  <c r="P3706" i="8" s="1"/>
  <c r="P3707" i="8" s="1"/>
  <c r="P3708" i="8" s="1"/>
  <c r="P3709" i="8" s="1"/>
  <c r="P3710" i="8" s="1"/>
  <c r="P3711" i="8" s="1"/>
  <c r="P3712" i="8" s="1"/>
  <c r="P3713" i="8" s="1"/>
  <c r="P3714" i="8" s="1"/>
  <c r="P3715" i="8" s="1"/>
  <c r="P3716" i="8" s="1"/>
  <c r="P3717" i="8" s="1"/>
  <c r="P3718" i="8" s="1"/>
  <c r="P3719" i="8" s="1"/>
  <c r="P3720" i="8" s="1"/>
  <c r="P3721" i="8" s="1"/>
  <c r="P3722" i="8" s="1"/>
  <c r="P3723" i="8" s="1"/>
  <c r="P3724" i="8" s="1"/>
  <c r="B3625" i="8"/>
  <c r="B3626" i="8" s="1"/>
  <c r="B3627" i="8" s="1"/>
  <c r="B3628" i="8" s="1"/>
  <c r="B3629" i="8" s="1"/>
  <c r="B3630" i="8" s="1"/>
  <c r="B3631" i="8" s="1"/>
  <c r="B3632" i="8" s="1"/>
  <c r="B3633" i="8" s="1"/>
  <c r="B3634" i="8" s="1"/>
  <c r="B3635" i="8" s="1"/>
  <c r="B3636" i="8" s="1"/>
  <c r="B3637" i="8" s="1"/>
  <c r="B3638" i="8" s="1"/>
  <c r="B3639" i="8" s="1"/>
  <c r="B3640" i="8" s="1"/>
  <c r="B3641" i="8" s="1"/>
  <c r="B3642" i="8" s="1"/>
  <c r="B3643" i="8" s="1"/>
  <c r="B3644" i="8" s="1"/>
  <c r="B3645" i="8" s="1"/>
  <c r="B3646" i="8" s="1"/>
  <c r="B3647" i="8" s="1"/>
  <c r="B3648" i="8" s="1"/>
  <c r="B3649" i="8" s="1"/>
  <c r="B3650" i="8" s="1"/>
  <c r="B3651" i="8" s="1"/>
  <c r="B3652" i="8" s="1"/>
  <c r="B3653" i="8" s="1"/>
  <c r="B3654" i="8" s="1"/>
  <c r="B3655" i="8" s="1"/>
  <c r="B3656" i="8" s="1"/>
  <c r="B3657" i="8" s="1"/>
  <c r="B3658" i="8" s="1"/>
  <c r="B3659" i="8" s="1"/>
  <c r="B3660" i="8" s="1"/>
  <c r="B3661" i="8" s="1"/>
  <c r="B3662" i="8" s="1"/>
  <c r="B3663" i="8" s="1"/>
  <c r="B3664" i="8" s="1"/>
  <c r="B3665" i="8" s="1"/>
  <c r="B3666" i="8" s="1"/>
  <c r="B3667" i="8" s="1"/>
  <c r="B3668" i="8" s="1"/>
  <c r="B3669" i="8" s="1"/>
  <c r="B3670" i="8" s="1"/>
  <c r="B3671" i="8" s="1"/>
  <c r="B3672" i="8" s="1"/>
  <c r="B3673" i="8" s="1"/>
  <c r="B3674" i="8" s="1"/>
  <c r="B3675" i="8" s="1"/>
  <c r="B3676" i="8" s="1"/>
  <c r="B3677" i="8" s="1"/>
  <c r="B3678" i="8" s="1"/>
  <c r="B3679" i="8" s="1"/>
  <c r="B3680" i="8" s="1"/>
  <c r="B3681" i="8" s="1"/>
  <c r="B3682" i="8" s="1"/>
  <c r="B3683" i="8" s="1"/>
  <c r="B3684" i="8" s="1"/>
  <c r="B3685" i="8" s="1"/>
  <c r="B3686" i="8" s="1"/>
  <c r="B3687" i="8" s="1"/>
  <c r="B3688" i="8" s="1"/>
  <c r="B3689" i="8" s="1"/>
  <c r="B3690" i="8" s="1"/>
  <c r="B3691" i="8" s="1"/>
  <c r="B3692" i="8" s="1"/>
  <c r="B3693" i="8" s="1"/>
  <c r="B3694" i="8" s="1"/>
  <c r="B3695" i="8" s="1"/>
  <c r="B3696" i="8" s="1"/>
  <c r="B3697" i="8" s="1"/>
  <c r="B3698" i="8" s="1"/>
  <c r="B3699" i="8" s="1"/>
  <c r="B3700" i="8" s="1"/>
  <c r="B3701" i="8" s="1"/>
  <c r="B3702" i="8" s="1"/>
  <c r="B3703" i="8" s="1"/>
  <c r="B3704" i="8" s="1"/>
  <c r="B3705" i="8" s="1"/>
  <c r="B3706" i="8" s="1"/>
  <c r="B3707" i="8" s="1"/>
  <c r="B3708" i="8" s="1"/>
  <c r="B3709" i="8" s="1"/>
  <c r="B3710" i="8" s="1"/>
  <c r="B3711" i="8" s="1"/>
  <c r="B3712" i="8" s="1"/>
  <c r="B3713" i="8" s="1"/>
  <c r="B3714" i="8" s="1"/>
  <c r="B3715" i="8" s="1"/>
  <c r="B3716" i="8" s="1"/>
  <c r="B3717" i="8" s="1"/>
  <c r="B3718" i="8" s="1"/>
  <c r="B3719" i="8" s="1"/>
  <c r="B3720" i="8" s="1"/>
  <c r="B3721" i="8" s="1"/>
  <c r="B3722" i="8" s="1"/>
  <c r="B3723" i="8" s="1"/>
  <c r="B3724" i="8" s="1"/>
  <c r="R2989" i="8"/>
  <c r="R2990" i="8" s="1"/>
  <c r="R2991" i="8" s="1"/>
  <c r="R2992" i="8" s="1"/>
  <c r="R2993" i="8" s="1"/>
  <c r="R2994" i="8" s="1"/>
  <c r="R2995" i="8" s="1"/>
  <c r="R2996" i="8" s="1"/>
  <c r="R2997" i="8" s="1"/>
  <c r="R2998" i="8" s="1"/>
  <c r="R2999" i="8" s="1"/>
  <c r="R3000" i="8" s="1"/>
  <c r="R3001" i="8" s="1"/>
  <c r="R3002" i="8" s="1"/>
  <c r="R3003" i="8" s="1"/>
  <c r="R3004" i="8" s="1"/>
  <c r="R3005" i="8" s="1"/>
  <c r="R3006" i="8" s="1"/>
  <c r="R3007" i="8" s="1"/>
  <c r="R3008" i="8" s="1"/>
  <c r="R3009" i="8" s="1"/>
  <c r="R3010" i="8" s="1"/>
  <c r="R3011" i="8" s="1"/>
  <c r="R3012" i="8" s="1"/>
  <c r="R3013" i="8" s="1"/>
  <c r="R3014" i="8" s="1"/>
  <c r="R3015" i="8" s="1"/>
  <c r="R3016" i="8" s="1"/>
  <c r="R3017" i="8" s="1"/>
  <c r="R3018" i="8" s="1"/>
  <c r="R3019" i="8" s="1"/>
  <c r="R3020" i="8" s="1"/>
  <c r="R3021" i="8" s="1"/>
  <c r="R3022" i="8" s="1"/>
  <c r="R3023" i="8" s="1"/>
  <c r="R3024" i="8" s="1"/>
  <c r="R3025" i="8" s="1"/>
  <c r="R3026" i="8" s="1"/>
  <c r="R3027" i="8" s="1"/>
  <c r="R3028" i="8" s="1"/>
  <c r="R3029" i="8" s="1"/>
  <c r="R3030" i="8" s="1"/>
  <c r="R3031" i="8" s="1"/>
  <c r="R3032" i="8" s="1"/>
  <c r="R3033" i="8" s="1"/>
  <c r="R3034" i="8" s="1"/>
  <c r="R3035" i="8" s="1"/>
  <c r="R3036" i="8" s="1"/>
  <c r="R3037" i="8" s="1"/>
  <c r="R3038" i="8" s="1"/>
  <c r="R3039" i="8" s="1"/>
  <c r="R3040" i="8" s="1"/>
  <c r="R3041" i="8" s="1"/>
  <c r="R3042" i="8" s="1"/>
  <c r="R3043" i="8" s="1"/>
  <c r="R3044" i="8" s="1"/>
  <c r="R3045" i="8" s="1"/>
  <c r="R3046" i="8" s="1"/>
  <c r="R3047" i="8" s="1"/>
  <c r="R3048" i="8" s="1"/>
  <c r="R3049" i="8" s="1"/>
  <c r="R3050" i="8" s="1"/>
  <c r="R3051" i="8" s="1"/>
  <c r="R3052" i="8" s="1"/>
  <c r="R3053" i="8" s="1"/>
  <c r="R3054" i="8" s="1"/>
  <c r="R3055" i="8" s="1"/>
  <c r="R3056" i="8" s="1"/>
  <c r="R3057" i="8" s="1"/>
  <c r="R3058" i="8" s="1"/>
  <c r="R3059" i="8" s="1"/>
  <c r="R3060" i="8" s="1"/>
  <c r="R3061" i="8" s="1"/>
  <c r="R3062" i="8" s="1"/>
  <c r="R3063" i="8" s="1"/>
  <c r="R3064" i="8" s="1"/>
  <c r="R3065" i="8" s="1"/>
  <c r="R3066" i="8" s="1"/>
  <c r="R3067" i="8" s="1"/>
  <c r="R3068" i="8" s="1"/>
  <c r="R3069" i="8" s="1"/>
  <c r="R3070" i="8" s="1"/>
  <c r="R3071" i="8" s="1"/>
  <c r="R3072" i="8" s="1"/>
  <c r="R3073" i="8" s="1"/>
  <c r="R3074" i="8" s="1"/>
  <c r="R3075" i="8" s="1"/>
  <c r="R3076" i="8" s="1"/>
  <c r="R3077" i="8" s="1"/>
  <c r="R3078" i="8" s="1"/>
  <c r="R3079" i="8" s="1"/>
  <c r="R3080" i="8" s="1"/>
  <c r="R3081" i="8" s="1"/>
  <c r="R3082" i="8" s="1"/>
  <c r="R3083" i="8" s="1"/>
  <c r="R3084" i="8" s="1"/>
  <c r="R3085" i="8" s="1"/>
  <c r="R3086" i="8" s="1"/>
  <c r="R3087" i="8" s="1"/>
  <c r="R3088" i="8" s="1"/>
  <c r="R3089" i="8" s="1"/>
  <c r="R3090" i="8" s="1"/>
  <c r="R3091" i="8" s="1"/>
  <c r="R3092" i="8" s="1"/>
  <c r="R3093" i="8" s="1"/>
  <c r="R3094" i="8" s="1"/>
  <c r="R3095" i="8" s="1"/>
  <c r="R3096" i="8" s="1"/>
  <c r="R3097" i="8" s="1"/>
  <c r="R3098" i="8" s="1"/>
  <c r="R3099" i="8" s="1"/>
  <c r="R3100" i="8" s="1"/>
  <c r="R3101" i="8" s="1"/>
  <c r="R3102" i="8" s="1"/>
  <c r="R3103" i="8" s="1"/>
  <c r="R3104" i="8" s="1"/>
  <c r="R3105" i="8" s="1"/>
  <c r="R3106" i="8" s="1"/>
  <c r="R3107" i="8" s="1"/>
  <c r="R3108" i="8" s="1"/>
  <c r="R3109" i="8" s="1"/>
  <c r="R3110" i="8" s="1"/>
  <c r="R3111" i="8" s="1"/>
  <c r="R3112" i="8" s="1"/>
  <c r="R3113" i="8" s="1"/>
  <c r="R3114" i="8" s="1"/>
  <c r="R3115" i="8" s="1"/>
  <c r="R3116" i="8" s="1"/>
  <c r="R3117" i="8" s="1"/>
  <c r="R3118" i="8" s="1"/>
  <c r="R3119" i="8" s="1"/>
  <c r="R3120" i="8" s="1"/>
  <c r="R3121" i="8" s="1"/>
  <c r="R3122" i="8" s="1"/>
  <c r="R3123" i="8" s="1"/>
  <c r="R3124" i="8" s="1"/>
  <c r="R3125" i="8" s="1"/>
  <c r="R3126" i="8" s="1"/>
  <c r="R3127" i="8" s="1"/>
  <c r="R3128" i="8" s="1"/>
  <c r="R3129" i="8" s="1"/>
  <c r="R3130" i="8" s="1"/>
  <c r="R3131" i="8" s="1"/>
  <c r="R3132" i="8" s="1"/>
  <c r="R3133" i="8" s="1"/>
  <c r="R3134" i="8" s="1"/>
  <c r="R3135" i="8" s="1"/>
  <c r="R3136" i="8" s="1"/>
  <c r="R3137" i="8" s="1"/>
  <c r="R3138" i="8" s="1"/>
  <c r="R3139" i="8" s="1"/>
  <c r="R3140" i="8" s="1"/>
  <c r="R3141" i="8" s="1"/>
  <c r="R3142" i="8" s="1"/>
  <c r="R3143" i="8" s="1"/>
  <c r="R3144" i="8" s="1"/>
  <c r="R3145" i="8" s="1"/>
  <c r="R3146" i="8" s="1"/>
  <c r="R3147" i="8" s="1"/>
  <c r="R3148" i="8" s="1"/>
  <c r="R3149" i="8" s="1"/>
  <c r="R3150" i="8" s="1"/>
  <c r="R3151" i="8" s="1"/>
  <c r="R3152" i="8" s="1"/>
  <c r="R3153" i="8" s="1"/>
  <c r="R3154" i="8" s="1"/>
  <c r="R3155" i="8" s="1"/>
  <c r="R3156" i="8" s="1"/>
  <c r="R3157" i="8" s="1"/>
  <c r="R3158" i="8" s="1"/>
  <c r="R3159" i="8" s="1"/>
  <c r="R3160" i="8" s="1"/>
  <c r="R3161" i="8" s="1"/>
  <c r="R3162" i="8" s="1"/>
  <c r="R3163" i="8" s="1"/>
  <c r="R3164" i="8" s="1"/>
  <c r="R3165" i="8" s="1"/>
  <c r="R3166" i="8" s="1"/>
  <c r="R3167" i="8" s="1"/>
  <c r="R3168" i="8" s="1"/>
  <c r="R3169" i="8" s="1"/>
  <c r="R3170" i="8" s="1"/>
  <c r="R3171" i="8" s="1"/>
  <c r="R3172" i="8" s="1"/>
  <c r="R3173" i="8" s="1"/>
  <c r="R3174" i="8" s="1"/>
  <c r="R3175" i="8" s="1"/>
  <c r="R3176" i="8" s="1"/>
  <c r="R3177" i="8" s="1"/>
  <c r="R3178" i="8" s="1"/>
  <c r="R3179" i="8" s="1"/>
  <c r="R3180" i="8" s="1"/>
  <c r="R3181" i="8" s="1"/>
  <c r="R3182" i="8" s="1"/>
  <c r="R3183" i="8" s="1"/>
  <c r="R3184" i="8" s="1"/>
  <c r="R3185" i="8" s="1"/>
  <c r="R3186" i="8" s="1"/>
  <c r="R3187" i="8" s="1"/>
  <c r="R3188" i="8" s="1"/>
  <c r="R3189" i="8" s="1"/>
  <c r="R3190" i="8" s="1"/>
  <c r="R3191" i="8" s="1"/>
  <c r="R3192" i="8" s="1"/>
  <c r="R3193" i="8" s="1"/>
  <c r="R3194" i="8" s="1"/>
  <c r="R3195" i="8" s="1"/>
  <c r="R3196" i="8" s="1"/>
  <c r="R3197" i="8" s="1"/>
  <c r="R3198" i="8" s="1"/>
  <c r="R3199" i="8" s="1"/>
  <c r="R3200" i="8" s="1"/>
  <c r="R3201" i="8" s="1"/>
  <c r="R3202" i="8" s="1"/>
  <c r="R3203" i="8" s="1"/>
  <c r="R3204" i="8" s="1"/>
  <c r="R3205" i="8" s="1"/>
  <c r="R3206" i="8" s="1"/>
  <c r="R3207" i="8" s="1"/>
  <c r="R3208" i="8" s="1"/>
  <c r="R3209" i="8" s="1"/>
  <c r="R3210" i="8" s="1"/>
  <c r="R3211" i="8" s="1"/>
  <c r="R3212" i="8" s="1"/>
  <c r="R3213" i="8" s="1"/>
  <c r="R3214" i="8" s="1"/>
  <c r="R3215" i="8" s="1"/>
  <c r="R3216" i="8" s="1"/>
  <c r="R3217" i="8" s="1"/>
  <c r="R3218" i="8" s="1"/>
  <c r="R3219" i="8" s="1"/>
  <c r="R3220" i="8" s="1"/>
  <c r="R3221" i="8" s="1"/>
  <c r="R3222" i="8" s="1"/>
  <c r="R3223" i="8" s="1"/>
  <c r="R3224" i="8" s="1"/>
  <c r="R3225" i="8" s="1"/>
  <c r="R3226" i="8" s="1"/>
  <c r="R3227" i="8" s="1"/>
  <c r="R3228" i="8" s="1"/>
  <c r="R3229" i="8" s="1"/>
  <c r="R3230" i="8" s="1"/>
  <c r="R3231" i="8" s="1"/>
  <c r="R3232" i="8" s="1"/>
  <c r="R3233" i="8" s="1"/>
  <c r="R3234" i="8" s="1"/>
  <c r="R3235" i="8" s="1"/>
  <c r="R3236" i="8" s="1"/>
  <c r="R3237" i="8" s="1"/>
  <c r="R3238" i="8" s="1"/>
  <c r="R3239" i="8" s="1"/>
  <c r="R3240" i="8" s="1"/>
  <c r="R3241" i="8" s="1"/>
  <c r="R3242" i="8" s="1"/>
  <c r="R3243" i="8" s="1"/>
  <c r="R3244" i="8" s="1"/>
  <c r="R3245" i="8" s="1"/>
  <c r="R3246" i="8" s="1"/>
  <c r="R3247" i="8" s="1"/>
  <c r="R3248" i="8" s="1"/>
  <c r="R3249" i="8" s="1"/>
  <c r="R3250" i="8" s="1"/>
  <c r="R3251" i="8" s="1"/>
  <c r="R3252" i="8" s="1"/>
  <c r="R3253" i="8" s="1"/>
  <c r="R3254" i="8" s="1"/>
  <c r="R3255" i="8" s="1"/>
  <c r="R3256" i="8" s="1"/>
  <c r="R3257" i="8" s="1"/>
  <c r="R3258" i="8" s="1"/>
  <c r="R3259" i="8" s="1"/>
  <c r="R3260" i="8" s="1"/>
  <c r="R3261" i="8" s="1"/>
  <c r="R3262" i="8" s="1"/>
  <c r="R3263" i="8" s="1"/>
  <c r="R3264" i="8" s="1"/>
  <c r="R3265" i="8" s="1"/>
  <c r="R3266" i="8" s="1"/>
  <c r="R3267" i="8" s="1"/>
  <c r="R3268" i="8" s="1"/>
  <c r="R3269" i="8" s="1"/>
  <c r="R3270" i="8" s="1"/>
  <c r="R3271" i="8" s="1"/>
  <c r="R3272" i="8" s="1"/>
  <c r="R3273" i="8" s="1"/>
  <c r="R3274" i="8" s="1"/>
  <c r="R3275" i="8" s="1"/>
  <c r="R3276" i="8" s="1"/>
  <c r="R3277" i="8" s="1"/>
  <c r="R3278" i="8" s="1"/>
  <c r="R3279" i="8" s="1"/>
  <c r="R3280" i="8" s="1"/>
  <c r="R3281" i="8" s="1"/>
  <c r="R3282" i="8" s="1"/>
  <c r="R3283" i="8" s="1"/>
  <c r="R3284" i="8" s="1"/>
  <c r="R3285" i="8" s="1"/>
  <c r="R3286" i="8" s="1"/>
  <c r="R3287" i="8" s="1"/>
  <c r="R3288" i="8" s="1"/>
  <c r="R3289" i="8" s="1"/>
  <c r="R3290" i="8" s="1"/>
  <c r="R3291" i="8" s="1"/>
  <c r="R3292" i="8" s="1"/>
  <c r="R3293" i="8" s="1"/>
  <c r="R3294" i="8" s="1"/>
  <c r="R3295" i="8" s="1"/>
  <c r="R3296" i="8" s="1"/>
  <c r="R3297" i="8" s="1"/>
  <c r="R3298" i="8" s="1"/>
  <c r="R3299" i="8" s="1"/>
  <c r="R3300" i="8" s="1"/>
  <c r="R3301" i="8" s="1"/>
  <c r="R3302" i="8" s="1"/>
  <c r="R3303" i="8" s="1"/>
  <c r="R3304" i="8" s="1"/>
  <c r="R3305" i="8" s="1"/>
  <c r="R3306" i="8" s="1"/>
  <c r="R3307" i="8" s="1"/>
  <c r="R3308" i="8" s="1"/>
  <c r="R3309" i="8" s="1"/>
  <c r="R3310" i="8" s="1"/>
  <c r="R3311" i="8" s="1"/>
  <c r="R3312" i="8" s="1"/>
  <c r="R3313" i="8" s="1"/>
  <c r="R3314" i="8" s="1"/>
  <c r="R3315" i="8" s="1"/>
  <c r="R3316" i="8" s="1"/>
  <c r="R3317" i="8" s="1"/>
  <c r="R3318" i="8" s="1"/>
  <c r="R3319" i="8" s="1"/>
  <c r="R3320" i="8" s="1"/>
  <c r="R3321" i="8" s="1"/>
  <c r="R3322" i="8" s="1"/>
  <c r="R3323" i="8" s="1"/>
  <c r="R3324" i="8" s="1"/>
  <c r="R3325" i="8" s="1"/>
  <c r="R3326" i="8" s="1"/>
  <c r="R3327" i="8" s="1"/>
  <c r="R3328" i="8" s="1"/>
  <c r="R3329" i="8" s="1"/>
  <c r="R3330" i="8" s="1"/>
  <c r="R3331" i="8" s="1"/>
  <c r="R3332" i="8" s="1"/>
  <c r="R3333" i="8" s="1"/>
  <c r="R3334" i="8" s="1"/>
  <c r="R3335" i="8" s="1"/>
  <c r="R3336" i="8" s="1"/>
  <c r="R3337" i="8" s="1"/>
  <c r="R3338" i="8" s="1"/>
  <c r="R3339" i="8" s="1"/>
  <c r="R3340" i="8" s="1"/>
  <c r="R3341" i="8" s="1"/>
  <c r="R3342" i="8" s="1"/>
  <c r="R3343" i="8" s="1"/>
  <c r="R3344" i="8" s="1"/>
  <c r="R3345" i="8" s="1"/>
  <c r="R3346" i="8" s="1"/>
  <c r="R3347" i="8" s="1"/>
  <c r="R3348" i="8" s="1"/>
  <c r="R3349" i="8" s="1"/>
  <c r="R3350" i="8" s="1"/>
  <c r="R3351" i="8" s="1"/>
  <c r="R3352" i="8" s="1"/>
  <c r="R3353" i="8" s="1"/>
  <c r="R3354" i="8" s="1"/>
  <c r="R3355" i="8" s="1"/>
  <c r="R3356" i="8" s="1"/>
  <c r="R3357" i="8" s="1"/>
  <c r="R3358" i="8" s="1"/>
  <c r="R3359" i="8" s="1"/>
  <c r="R3360" i="8" s="1"/>
  <c r="R3361" i="8" s="1"/>
  <c r="R3362" i="8" s="1"/>
  <c r="R3363" i="8" s="1"/>
  <c r="R3364" i="8" s="1"/>
  <c r="R3365" i="8" s="1"/>
  <c r="R3366" i="8" s="1"/>
  <c r="R3367" i="8" s="1"/>
  <c r="R3368" i="8" s="1"/>
  <c r="R3369" i="8" s="1"/>
  <c r="R3370" i="8" s="1"/>
  <c r="R3371" i="8" s="1"/>
  <c r="R3372" i="8" s="1"/>
  <c r="R3373" i="8" s="1"/>
  <c r="R3374" i="8" s="1"/>
  <c r="R3375" i="8" s="1"/>
  <c r="R3376" i="8" s="1"/>
  <c r="R3377" i="8" s="1"/>
  <c r="R3378" i="8" s="1"/>
  <c r="R3379" i="8" s="1"/>
  <c r="R3380" i="8" s="1"/>
  <c r="R3381" i="8" s="1"/>
  <c r="R3382" i="8" s="1"/>
  <c r="R3383" i="8" s="1"/>
  <c r="R3384" i="8" s="1"/>
  <c r="R3385" i="8" s="1"/>
  <c r="R3386" i="8" s="1"/>
  <c r="R3387" i="8" s="1"/>
  <c r="R3388" i="8" s="1"/>
  <c r="R3389" i="8" s="1"/>
  <c r="R3390" i="8" s="1"/>
  <c r="R3391" i="8" s="1"/>
  <c r="R3392" i="8" s="1"/>
  <c r="R3393" i="8" s="1"/>
  <c r="R3394" i="8" s="1"/>
  <c r="R3395" i="8" s="1"/>
  <c r="R3396" i="8" s="1"/>
  <c r="R3397" i="8" s="1"/>
  <c r="R3398" i="8" s="1"/>
  <c r="R3399" i="8" s="1"/>
  <c r="R3400" i="8" s="1"/>
  <c r="R3401" i="8" s="1"/>
  <c r="R3402" i="8" s="1"/>
  <c r="R3403" i="8" s="1"/>
  <c r="R3404" i="8" s="1"/>
  <c r="R3405" i="8" s="1"/>
  <c r="R3406" i="8" s="1"/>
  <c r="R3407" i="8" s="1"/>
  <c r="R3408" i="8" s="1"/>
  <c r="R3409" i="8" s="1"/>
  <c r="R3410" i="8" s="1"/>
  <c r="R3411" i="8" s="1"/>
  <c r="R3412" i="8" s="1"/>
  <c r="R3413" i="8" s="1"/>
  <c r="R3414" i="8" s="1"/>
  <c r="R3415" i="8" s="1"/>
  <c r="R3416" i="8" s="1"/>
  <c r="R3417" i="8" s="1"/>
  <c r="R3418" i="8" s="1"/>
  <c r="R3419" i="8" s="1"/>
  <c r="R3420" i="8" s="1"/>
  <c r="R3421" i="8" s="1"/>
  <c r="R3422" i="8" s="1"/>
  <c r="R3423" i="8" s="1"/>
  <c r="R3424" i="8" s="1"/>
  <c r="R3425" i="8" s="1"/>
  <c r="R3426" i="8" s="1"/>
  <c r="R3427" i="8" s="1"/>
  <c r="R3428" i="8" s="1"/>
  <c r="R3429" i="8" s="1"/>
  <c r="R3430" i="8" s="1"/>
  <c r="R3431" i="8" s="1"/>
  <c r="R3432" i="8" s="1"/>
  <c r="R3433" i="8" s="1"/>
  <c r="R3434" i="8" s="1"/>
  <c r="R3435" i="8" s="1"/>
  <c r="R3436" i="8" s="1"/>
  <c r="R3437" i="8" s="1"/>
  <c r="R3438" i="8" s="1"/>
  <c r="R3439" i="8" s="1"/>
  <c r="R3440" i="8" s="1"/>
  <c r="R3441" i="8" s="1"/>
  <c r="R3442" i="8" s="1"/>
  <c r="R3443" i="8" s="1"/>
  <c r="R3444" i="8" s="1"/>
  <c r="R3445" i="8" s="1"/>
  <c r="R3446" i="8" s="1"/>
  <c r="R3447" i="8" s="1"/>
  <c r="R3448" i="8" s="1"/>
  <c r="R3449" i="8" s="1"/>
  <c r="R3450" i="8" s="1"/>
  <c r="R3451" i="8" s="1"/>
  <c r="R3452" i="8" s="1"/>
  <c r="R3453" i="8" s="1"/>
  <c r="R3454" i="8" s="1"/>
  <c r="R3455" i="8" s="1"/>
  <c r="R3456" i="8" s="1"/>
  <c r="R3457" i="8" s="1"/>
  <c r="R3458" i="8" s="1"/>
  <c r="R3459" i="8" s="1"/>
  <c r="R3460" i="8" s="1"/>
  <c r="R3461" i="8" s="1"/>
  <c r="R3462" i="8" s="1"/>
  <c r="R3463" i="8" s="1"/>
  <c r="R3464" i="8" s="1"/>
  <c r="R3465" i="8" s="1"/>
  <c r="R3466" i="8" s="1"/>
  <c r="R3467" i="8" s="1"/>
  <c r="R3468" i="8" s="1"/>
  <c r="R3469" i="8" s="1"/>
  <c r="R3470" i="8" s="1"/>
  <c r="R3471" i="8" s="1"/>
  <c r="R3472" i="8" s="1"/>
  <c r="R3473" i="8" s="1"/>
  <c r="R3474" i="8" s="1"/>
  <c r="R3475" i="8" s="1"/>
  <c r="R3476" i="8" s="1"/>
  <c r="R3477" i="8" s="1"/>
  <c r="R3478" i="8" s="1"/>
  <c r="R3479" i="8" s="1"/>
  <c r="R3480" i="8" s="1"/>
  <c r="R3481" i="8" s="1"/>
  <c r="R3482" i="8" s="1"/>
  <c r="R3483" i="8" s="1"/>
  <c r="R3484" i="8" s="1"/>
  <c r="R3485" i="8" s="1"/>
  <c r="R3486" i="8" s="1"/>
  <c r="R3487" i="8" s="1"/>
  <c r="R3488" i="8" s="1"/>
  <c r="R3489" i="8" s="1"/>
  <c r="R3490" i="8" s="1"/>
  <c r="R3491" i="8" s="1"/>
  <c r="R3492" i="8" s="1"/>
  <c r="R3493" i="8" s="1"/>
  <c r="R3494" i="8" s="1"/>
  <c r="R3495" i="8" s="1"/>
  <c r="R3496" i="8" s="1"/>
  <c r="R3497" i="8" s="1"/>
  <c r="R3498" i="8" s="1"/>
  <c r="R3499" i="8" s="1"/>
  <c r="R3500" i="8" s="1"/>
  <c r="R3501" i="8" s="1"/>
  <c r="R3502" i="8" s="1"/>
  <c r="R3503" i="8" s="1"/>
  <c r="R3504" i="8" s="1"/>
  <c r="R3505" i="8" s="1"/>
  <c r="R3506" i="8" s="1"/>
  <c r="R3507" i="8" s="1"/>
  <c r="R3508" i="8" s="1"/>
  <c r="R3509" i="8" s="1"/>
  <c r="R3510" i="8" s="1"/>
  <c r="R3511" i="8" s="1"/>
  <c r="R3512" i="8" s="1"/>
  <c r="R3513" i="8" s="1"/>
  <c r="R3514" i="8" s="1"/>
  <c r="R3515" i="8" s="1"/>
  <c r="R3516" i="8" s="1"/>
  <c r="R3517" i="8" s="1"/>
  <c r="R3518" i="8" s="1"/>
  <c r="R3519" i="8" s="1"/>
  <c r="R3520" i="8" s="1"/>
  <c r="R3521" i="8" s="1"/>
  <c r="R3522" i="8" s="1"/>
  <c r="R3523" i="8" s="1"/>
  <c r="R3524" i="8" s="1"/>
  <c r="R3525" i="8" s="1"/>
  <c r="R3526" i="8" s="1"/>
  <c r="R3527" i="8" s="1"/>
  <c r="R3528" i="8" s="1"/>
  <c r="R3529" i="8" s="1"/>
  <c r="R3530" i="8" s="1"/>
  <c r="R3531" i="8" s="1"/>
  <c r="R3532" i="8" s="1"/>
  <c r="R3533" i="8" s="1"/>
  <c r="R3534" i="8" s="1"/>
  <c r="R3535" i="8" s="1"/>
  <c r="R3536" i="8" s="1"/>
  <c r="R3537" i="8" s="1"/>
  <c r="R3538" i="8" s="1"/>
  <c r="R3539" i="8" s="1"/>
  <c r="R3540" i="8" s="1"/>
  <c r="R3541" i="8" s="1"/>
  <c r="R3542" i="8" s="1"/>
  <c r="R3543" i="8" s="1"/>
  <c r="R3544" i="8" s="1"/>
  <c r="R3545" i="8" s="1"/>
  <c r="R3546" i="8" s="1"/>
  <c r="R3547" i="8" s="1"/>
  <c r="R3548" i="8" s="1"/>
  <c r="R3549" i="8" s="1"/>
  <c r="R3550" i="8" s="1"/>
  <c r="R3551" i="8" s="1"/>
  <c r="R3552" i="8" s="1"/>
  <c r="R3553" i="8" s="1"/>
  <c r="R3554" i="8" s="1"/>
  <c r="R3555" i="8" s="1"/>
  <c r="R3556" i="8" s="1"/>
  <c r="R3557" i="8" s="1"/>
  <c r="R3558" i="8" s="1"/>
  <c r="R3559" i="8" s="1"/>
  <c r="R3560" i="8" s="1"/>
  <c r="R3561" i="8" s="1"/>
  <c r="R3562" i="8" s="1"/>
  <c r="R3563" i="8" s="1"/>
  <c r="R3564" i="8" s="1"/>
  <c r="R3565" i="8" s="1"/>
  <c r="R3566" i="8" s="1"/>
  <c r="R3567" i="8" s="1"/>
  <c r="R3568" i="8" s="1"/>
  <c r="R3569" i="8" s="1"/>
  <c r="R3570" i="8" s="1"/>
  <c r="R3571" i="8" s="1"/>
  <c r="R3572" i="8" s="1"/>
  <c r="R3573" i="8" s="1"/>
  <c r="R3574" i="8" s="1"/>
  <c r="R3575" i="8" s="1"/>
  <c r="R3576" i="8" s="1"/>
  <c r="R3577" i="8" s="1"/>
  <c r="R3578" i="8" s="1"/>
  <c r="R3579" i="8" s="1"/>
  <c r="R3580" i="8" s="1"/>
  <c r="R3581" i="8" s="1"/>
  <c r="R3582" i="8" s="1"/>
  <c r="R3583" i="8" s="1"/>
  <c r="R3584" i="8" s="1"/>
  <c r="R3585" i="8" s="1"/>
  <c r="R3586" i="8" s="1"/>
  <c r="R3587" i="8" s="1"/>
  <c r="R3588" i="8" s="1"/>
  <c r="R3589" i="8" s="1"/>
  <c r="R3590" i="8" s="1"/>
  <c r="R3591" i="8" s="1"/>
  <c r="R3592" i="8" s="1"/>
  <c r="R3593" i="8" s="1"/>
  <c r="R3594" i="8" s="1"/>
  <c r="R3595" i="8" s="1"/>
  <c r="R3596" i="8" s="1"/>
  <c r="R3597" i="8" s="1"/>
  <c r="R3598" i="8" s="1"/>
  <c r="R3599" i="8" s="1"/>
  <c r="R3600" i="8" s="1"/>
  <c r="R3601" i="8" s="1"/>
  <c r="R3602" i="8" s="1"/>
  <c r="R3603" i="8" s="1"/>
  <c r="R3604" i="8" s="1"/>
  <c r="R3605" i="8" s="1"/>
  <c r="R3606" i="8" s="1"/>
  <c r="R3607" i="8" s="1"/>
  <c r="R3608" i="8" s="1"/>
  <c r="R3609" i="8" s="1"/>
  <c r="R3610" i="8" s="1"/>
  <c r="R3611" i="8" s="1"/>
  <c r="R3612" i="8" s="1"/>
  <c r="R3613" i="8" s="1"/>
  <c r="R3614" i="8" s="1"/>
  <c r="R3615" i="8" s="1"/>
  <c r="R3616" i="8" s="1"/>
  <c r="R3617" i="8" s="1"/>
  <c r="R3618" i="8" s="1"/>
  <c r="R3619" i="8" s="1"/>
  <c r="R3620" i="8" s="1"/>
  <c r="R3621" i="8" s="1"/>
  <c r="R3622" i="8" s="1"/>
  <c r="R3623" i="8" s="1"/>
  <c r="R3624" i="8" s="1"/>
  <c r="R3625" i="8" s="1"/>
  <c r="R3626" i="8" s="1"/>
  <c r="R3627" i="8" s="1"/>
  <c r="R3628" i="8" s="1"/>
  <c r="R3629" i="8" s="1"/>
  <c r="R3630" i="8" s="1"/>
  <c r="R3631" i="8" s="1"/>
  <c r="R3632" i="8" s="1"/>
  <c r="R3633" i="8" s="1"/>
  <c r="R3634" i="8" s="1"/>
  <c r="R3635" i="8" s="1"/>
  <c r="R3636" i="8" s="1"/>
  <c r="R3637" i="8" s="1"/>
  <c r="R3638" i="8" s="1"/>
  <c r="R3639" i="8" s="1"/>
  <c r="R3640" i="8" s="1"/>
  <c r="R3641" i="8" s="1"/>
  <c r="R3642" i="8" s="1"/>
  <c r="R3643" i="8" s="1"/>
  <c r="R3644" i="8" s="1"/>
  <c r="R3645" i="8" s="1"/>
  <c r="R3646" i="8" s="1"/>
  <c r="R3647" i="8" s="1"/>
  <c r="R3648" i="8" s="1"/>
  <c r="R3649" i="8" s="1"/>
  <c r="R3650" i="8" s="1"/>
  <c r="R3651" i="8" s="1"/>
  <c r="R3652" i="8" s="1"/>
  <c r="R3653" i="8" s="1"/>
  <c r="R3654" i="8" s="1"/>
  <c r="R3655" i="8" s="1"/>
  <c r="R3656" i="8" s="1"/>
  <c r="R3657" i="8" s="1"/>
  <c r="R3658" i="8" s="1"/>
  <c r="R3659" i="8" s="1"/>
  <c r="R3660" i="8" s="1"/>
  <c r="R3661" i="8" s="1"/>
  <c r="R3662" i="8" s="1"/>
  <c r="R3663" i="8" s="1"/>
  <c r="R3664" i="8" s="1"/>
  <c r="R3665" i="8" s="1"/>
  <c r="R3666" i="8" s="1"/>
  <c r="R3667" i="8" s="1"/>
  <c r="R3668" i="8" s="1"/>
  <c r="R3669" i="8" s="1"/>
  <c r="R3670" i="8" s="1"/>
  <c r="R3671" i="8" s="1"/>
  <c r="R3672" i="8" s="1"/>
  <c r="R3673" i="8" s="1"/>
  <c r="B2955" i="8"/>
  <c r="B2956" i="8" s="1"/>
  <c r="B2957" i="8" s="1"/>
  <c r="B2958" i="8" s="1"/>
  <c r="B2959" i="8" s="1"/>
  <c r="B2960" i="8" s="1"/>
  <c r="B2961" i="8" s="1"/>
  <c r="B2962" i="8" s="1"/>
  <c r="B2963" i="8" s="1"/>
  <c r="B2964" i="8" s="1"/>
  <c r="B2965" i="8" s="1"/>
  <c r="B2966" i="8" s="1"/>
  <c r="B2967" i="8" s="1"/>
  <c r="B2968" i="8" s="1"/>
  <c r="B2969" i="8" s="1"/>
  <c r="B2970" i="8" s="1"/>
  <c r="B2971" i="8" s="1"/>
  <c r="B2972" i="8" s="1"/>
  <c r="B2973" i="8" s="1"/>
  <c r="B2974" i="8" s="1"/>
  <c r="B2975" i="8" s="1"/>
  <c r="B2976" i="8" s="1"/>
  <c r="B2977" i="8" s="1"/>
  <c r="B2978" i="8" s="1"/>
  <c r="B2979" i="8" s="1"/>
  <c r="B2980" i="8" s="1"/>
  <c r="B2981" i="8" s="1"/>
  <c r="B2982" i="8" s="1"/>
  <c r="B2983" i="8" s="1"/>
  <c r="B2984" i="8" s="1"/>
  <c r="B2985" i="8" s="1"/>
  <c r="B2986" i="8" s="1"/>
  <c r="B2987" i="8" s="1"/>
  <c r="B2988" i="8" s="1"/>
  <c r="B2989" i="8" s="1"/>
  <c r="B2990" i="8" s="1"/>
  <c r="B2991" i="8" s="1"/>
  <c r="B2992" i="8" s="1"/>
  <c r="B2993" i="8" s="1"/>
  <c r="B2994" i="8" s="1"/>
  <c r="B2995" i="8" s="1"/>
  <c r="B2996" i="8" s="1"/>
  <c r="B2997" i="8" s="1"/>
  <c r="B2998" i="8" s="1"/>
  <c r="B2999" i="8" s="1"/>
  <c r="B3000" i="8" s="1"/>
  <c r="B3001" i="8" s="1"/>
  <c r="B3002" i="8" s="1"/>
  <c r="B3003" i="8" s="1"/>
  <c r="B3004" i="8" s="1"/>
  <c r="B3005" i="8" s="1"/>
  <c r="B3006" i="8" s="1"/>
  <c r="B3007" i="8" s="1"/>
  <c r="B3008" i="8" s="1"/>
  <c r="B3009" i="8" s="1"/>
  <c r="B3010" i="8" s="1"/>
  <c r="B3011" i="8" s="1"/>
  <c r="B3012" i="8" s="1"/>
  <c r="B3013" i="8" s="1"/>
  <c r="B3014" i="8" s="1"/>
  <c r="B3015" i="8" s="1"/>
  <c r="B3016" i="8" s="1"/>
  <c r="B3017" i="8" s="1"/>
  <c r="B3018" i="8" s="1"/>
  <c r="B3019" i="8" s="1"/>
  <c r="B3020" i="8" s="1"/>
  <c r="B3021" i="8" s="1"/>
  <c r="B3022" i="8" s="1"/>
  <c r="B3023" i="8" s="1"/>
  <c r="B3024" i="8" s="1"/>
  <c r="B3025" i="8" s="1"/>
  <c r="B3026" i="8" s="1"/>
  <c r="B3027" i="8" s="1"/>
  <c r="B3028" i="8" s="1"/>
  <c r="B3029" i="8" s="1"/>
  <c r="B3030" i="8" s="1"/>
  <c r="B3031" i="8" s="1"/>
  <c r="B3032" i="8" s="1"/>
  <c r="B3033" i="8" s="1"/>
  <c r="B3034" i="8" s="1"/>
  <c r="B3035" i="8" s="1"/>
  <c r="B3036" i="8" s="1"/>
  <c r="B3037" i="8" s="1"/>
  <c r="B3038" i="8" s="1"/>
  <c r="B3039" i="8" s="1"/>
  <c r="B3040" i="8" s="1"/>
  <c r="B3041" i="8" s="1"/>
  <c r="B3042" i="8" s="1"/>
  <c r="B3043" i="8" s="1"/>
  <c r="B3044" i="8" s="1"/>
  <c r="B3045" i="8" s="1"/>
  <c r="B3046" i="8" s="1"/>
  <c r="B3047" i="8" s="1"/>
  <c r="B3048" i="8" s="1"/>
  <c r="B3049" i="8" s="1"/>
  <c r="B3050" i="8" s="1"/>
  <c r="B3051" i="8" s="1"/>
  <c r="B3052" i="8" s="1"/>
  <c r="B3053" i="8" s="1"/>
  <c r="B3054" i="8" s="1"/>
  <c r="B3055" i="8" s="1"/>
  <c r="B3056" i="8" s="1"/>
  <c r="B3057" i="8" s="1"/>
  <c r="B3058" i="8" s="1"/>
  <c r="B3059" i="8" s="1"/>
  <c r="B3060" i="8" s="1"/>
  <c r="B3061" i="8" s="1"/>
  <c r="B3062" i="8" s="1"/>
  <c r="B3063" i="8" s="1"/>
  <c r="B3064" i="8" s="1"/>
  <c r="B3065" i="8" s="1"/>
  <c r="B3066" i="8" s="1"/>
  <c r="B3067" i="8" s="1"/>
  <c r="B3068" i="8" s="1"/>
  <c r="B3069" i="8" s="1"/>
  <c r="B3070" i="8" s="1"/>
  <c r="B3071" i="8" s="1"/>
  <c r="B3072" i="8" s="1"/>
  <c r="B3073" i="8" s="1"/>
  <c r="B3074" i="8" s="1"/>
  <c r="B3075" i="8" s="1"/>
  <c r="B3076" i="8" s="1"/>
  <c r="B3077" i="8" s="1"/>
  <c r="B3078" i="8" s="1"/>
  <c r="B3079" i="8" s="1"/>
  <c r="B3080" i="8" s="1"/>
  <c r="B3081" i="8" s="1"/>
  <c r="B3082" i="8" s="1"/>
  <c r="B3083" i="8" s="1"/>
  <c r="B3084" i="8" s="1"/>
  <c r="B3085" i="8" s="1"/>
  <c r="B3086" i="8" s="1"/>
  <c r="B3087" i="8" s="1"/>
  <c r="B3088" i="8" s="1"/>
  <c r="B3089" i="8" s="1"/>
  <c r="B3090" i="8" s="1"/>
  <c r="B3091" i="8" s="1"/>
  <c r="B3092" i="8" s="1"/>
  <c r="B3093" i="8" s="1"/>
  <c r="B3094" i="8" s="1"/>
  <c r="B3095" i="8" s="1"/>
  <c r="B3096" i="8" s="1"/>
  <c r="B3097" i="8" s="1"/>
  <c r="B3098" i="8" s="1"/>
  <c r="B3099" i="8" s="1"/>
  <c r="B3100" i="8" s="1"/>
  <c r="B3101" i="8" s="1"/>
  <c r="B3102" i="8" s="1"/>
  <c r="B3103" i="8" s="1"/>
  <c r="B3104" i="8" s="1"/>
  <c r="B3105" i="8" s="1"/>
  <c r="B3106" i="8" s="1"/>
  <c r="B3107" i="8" s="1"/>
  <c r="B3108" i="8" s="1"/>
  <c r="B3109" i="8" s="1"/>
  <c r="B3110" i="8" s="1"/>
  <c r="B3111" i="8" s="1"/>
  <c r="B3112" i="8" s="1"/>
  <c r="B3113" i="8" s="1"/>
  <c r="B3114" i="8" s="1"/>
  <c r="B3115" i="8" s="1"/>
  <c r="B3116" i="8" s="1"/>
  <c r="B3117" i="8" s="1"/>
  <c r="B3118" i="8" s="1"/>
  <c r="B3119" i="8" s="1"/>
  <c r="B3120" i="8" s="1"/>
  <c r="B3121" i="8" s="1"/>
  <c r="B3122" i="8" s="1"/>
  <c r="B3123" i="8" s="1"/>
  <c r="B3124" i="8" s="1"/>
  <c r="B3125" i="8" s="1"/>
  <c r="B3126" i="8" s="1"/>
  <c r="B3127" i="8" s="1"/>
  <c r="B3128" i="8" s="1"/>
  <c r="B3129" i="8" s="1"/>
  <c r="B3130" i="8" s="1"/>
  <c r="B3131" i="8" s="1"/>
  <c r="B3132" i="8" s="1"/>
  <c r="B3133" i="8" s="1"/>
  <c r="B3134" i="8" s="1"/>
  <c r="B3135" i="8" s="1"/>
  <c r="B3136" i="8" s="1"/>
  <c r="B3137" i="8" s="1"/>
  <c r="B3138" i="8" s="1"/>
  <c r="B3139" i="8" s="1"/>
  <c r="B3140" i="8" s="1"/>
  <c r="B3141" i="8" s="1"/>
  <c r="B3142" i="8" s="1"/>
  <c r="B3143" i="8" s="1"/>
  <c r="B3144" i="8" s="1"/>
  <c r="B3145" i="8" s="1"/>
  <c r="B3146" i="8" s="1"/>
  <c r="B3147" i="8" s="1"/>
  <c r="B3148" i="8" s="1"/>
  <c r="B3149" i="8" s="1"/>
  <c r="B3150" i="8" s="1"/>
  <c r="B3151" i="8" s="1"/>
  <c r="B3152" i="8" s="1"/>
  <c r="B3153" i="8" s="1"/>
  <c r="B3154" i="8" s="1"/>
  <c r="B3155" i="8" s="1"/>
  <c r="B3156" i="8" s="1"/>
  <c r="B3157" i="8" s="1"/>
  <c r="B3158" i="8" s="1"/>
  <c r="B3159" i="8" s="1"/>
  <c r="B3160" i="8" s="1"/>
  <c r="B3161" i="8" s="1"/>
  <c r="B3162" i="8" s="1"/>
  <c r="B3163" i="8" s="1"/>
  <c r="B3164" i="8" s="1"/>
  <c r="B3165" i="8" s="1"/>
  <c r="B3166" i="8" s="1"/>
  <c r="B3167" i="8" s="1"/>
  <c r="B3168" i="8" s="1"/>
  <c r="B3169" i="8" s="1"/>
  <c r="B3170" i="8" s="1"/>
  <c r="B3171" i="8" s="1"/>
  <c r="B3172" i="8" s="1"/>
  <c r="B3173" i="8" s="1"/>
  <c r="B3174" i="8" s="1"/>
  <c r="B3175" i="8" s="1"/>
  <c r="B3176" i="8" s="1"/>
  <c r="B3177" i="8" s="1"/>
  <c r="B3178" i="8" s="1"/>
  <c r="B3179" i="8" s="1"/>
  <c r="B3180" i="8" s="1"/>
  <c r="B3181" i="8" s="1"/>
  <c r="B3182" i="8" s="1"/>
  <c r="B3183" i="8" s="1"/>
  <c r="B3184" i="8" s="1"/>
  <c r="B3185" i="8" s="1"/>
  <c r="B3186" i="8" s="1"/>
  <c r="B3187" i="8" s="1"/>
  <c r="B3188" i="8" s="1"/>
  <c r="B3189" i="8" s="1"/>
  <c r="B3190" i="8" s="1"/>
  <c r="B3191" i="8" s="1"/>
  <c r="B3192" i="8" s="1"/>
  <c r="B3193" i="8" s="1"/>
  <c r="B3194" i="8" s="1"/>
  <c r="B3195" i="8" s="1"/>
  <c r="B3196" i="8" s="1"/>
  <c r="B3197" i="8" s="1"/>
  <c r="B3198" i="8" s="1"/>
  <c r="B3199" i="8" s="1"/>
  <c r="B3200" i="8" s="1"/>
  <c r="B3201" i="8" s="1"/>
  <c r="B3202" i="8" s="1"/>
  <c r="B3203" i="8" s="1"/>
  <c r="B3204" i="8" s="1"/>
  <c r="B3205" i="8" s="1"/>
  <c r="B3206" i="8" s="1"/>
  <c r="B3207" i="8" s="1"/>
  <c r="B3208" i="8" s="1"/>
  <c r="B3209" i="8" s="1"/>
  <c r="B3210" i="8" s="1"/>
  <c r="B3211" i="8" s="1"/>
  <c r="B3212" i="8" s="1"/>
  <c r="B3213" i="8" s="1"/>
  <c r="B3214" i="8" s="1"/>
  <c r="B3215" i="8" s="1"/>
  <c r="B3216" i="8" s="1"/>
  <c r="B3217" i="8" s="1"/>
  <c r="B3218" i="8" s="1"/>
  <c r="B3219" i="8" s="1"/>
  <c r="B3220" i="8" s="1"/>
  <c r="B3221" i="8" s="1"/>
  <c r="B3222" i="8" s="1"/>
  <c r="B3223" i="8" s="1"/>
  <c r="B3224" i="8" s="1"/>
  <c r="B3225" i="8" s="1"/>
  <c r="B3226" i="8" s="1"/>
  <c r="B3227" i="8" s="1"/>
  <c r="B3228" i="8" s="1"/>
  <c r="B3229" i="8" s="1"/>
  <c r="B3230" i="8" s="1"/>
  <c r="B3231" i="8" s="1"/>
  <c r="B3232" i="8" s="1"/>
  <c r="B3233" i="8" s="1"/>
  <c r="B3234" i="8" s="1"/>
  <c r="B3235" i="8" s="1"/>
  <c r="B3236" i="8" s="1"/>
  <c r="B3237" i="8" s="1"/>
  <c r="B3238" i="8" s="1"/>
  <c r="B3239" i="8" s="1"/>
  <c r="B3240" i="8" s="1"/>
  <c r="B3241" i="8" s="1"/>
  <c r="B3242" i="8" s="1"/>
  <c r="B3243" i="8" s="1"/>
  <c r="B3244" i="8" s="1"/>
  <c r="B3245" i="8" s="1"/>
  <c r="B3246" i="8" s="1"/>
  <c r="B3247" i="8" s="1"/>
  <c r="B3248" i="8" s="1"/>
  <c r="B3249" i="8" s="1"/>
  <c r="B3250" i="8" s="1"/>
  <c r="B3251" i="8" s="1"/>
  <c r="B3252" i="8" s="1"/>
  <c r="B3253" i="8" s="1"/>
  <c r="B3254" i="8" s="1"/>
  <c r="B3255" i="8" s="1"/>
  <c r="B3256" i="8" s="1"/>
  <c r="B3257" i="8" s="1"/>
  <c r="B3258" i="8" s="1"/>
  <c r="B3259" i="8" s="1"/>
  <c r="B3260" i="8" s="1"/>
  <c r="B3261" i="8" s="1"/>
  <c r="B3262" i="8" s="1"/>
  <c r="B3263" i="8" s="1"/>
  <c r="B3264" i="8" s="1"/>
  <c r="B3265" i="8" s="1"/>
  <c r="B3266" i="8" s="1"/>
  <c r="B3267" i="8" s="1"/>
  <c r="B3268" i="8" s="1"/>
  <c r="B3269" i="8" s="1"/>
  <c r="B3270" i="8" s="1"/>
  <c r="B3271" i="8" s="1"/>
  <c r="B3272" i="8" s="1"/>
  <c r="B3273" i="8" s="1"/>
  <c r="B3274" i="8" s="1"/>
  <c r="B3275" i="8" s="1"/>
  <c r="B3276" i="8" s="1"/>
  <c r="B3277" i="8" s="1"/>
  <c r="B3278" i="8" s="1"/>
  <c r="B3279" i="8" s="1"/>
  <c r="B3280" i="8" s="1"/>
  <c r="B3281" i="8" s="1"/>
  <c r="B3282" i="8" s="1"/>
  <c r="B3283" i="8" s="1"/>
  <c r="B3284" i="8" s="1"/>
  <c r="B3285" i="8" s="1"/>
  <c r="B3286" i="8" s="1"/>
  <c r="B3287" i="8" s="1"/>
  <c r="B3288" i="8" s="1"/>
  <c r="B3289" i="8" s="1"/>
  <c r="B3290" i="8" s="1"/>
  <c r="B3291" i="8" s="1"/>
  <c r="B3292" i="8" s="1"/>
  <c r="B3293" i="8" s="1"/>
  <c r="B3294" i="8" s="1"/>
  <c r="B3295" i="8" s="1"/>
  <c r="B3296" i="8" s="1"/>
  <c r="B3297" i="8" s="1"/>
  <c r="B3298" i="8" s="1"/>
  <c r="B3299" i="8" s="1"/>
  <c r="B3300" i="8" s="1"/>
  <c r="B3301" i="8" s="1"/>
  <c r="B3302" i="8" s="1"/>
  <c r="B3303" i="8" s="1"/>
  <c r="B3304" i="8" s="1"/>
  <c r="B3305" i="8" s="1"/>
  <c r="B3306" i="8" s="1"/>
  <c r="B3307" i="8" s="1"/>
  <c r="B3308" i="8" s="1"/>
  <c r="B3309" i="8" s="1"/>
  <c r="B3310" i="8" s="1"/>
  <c r="B3311" i="8" s="1"/>
  <c r="B3312" i="8" s="1"/>
  <c r="B3313" i="8" s="1"/>
  <c r="B3314" i="8" s="1"/>
  <c r="B3315" i="8" s="1"/>
  <c r="B3316" i="8" s="1"/>
  <c r="B3317" i="8" s="1"/>
  <c r="B3318" i="8" s="1"/>
  <c r="B3319" i="8" s="1"/>
  <c r="B3320" i="8" s="1"/>
  <c r="B3321" i="8" s="1"/>
  <c r="B3322" i="8" s="1"/>
  <c r="B3323" i="8" s="1"/>
  <c r="B3324" i="8" s="1"/>
  <c r="B3325" i="8" s="1"/>
  <c r="B3326" i="8" s="1"/>
  <c r="B3327" i="8" s="1"/>
  <c r="B3328" i="8" s="1"/>
  <c r="B3329" i="8" s="1"/>
  <c r="B3330" i="8" s="1"/>
  <c r="B3331" i="8" s="1"/>
  <c r="B3332" i="8" s="1"/>
  <c r="B3333" i="8" s="1"/>
  <c r="B3334" i="8" s="1"/>
  <c r="B3335" i="8" s="1"/>
  <c r="B3336" i="8" s="1"/>
  <c r="B3337" i="8" s="1"/>
  <c r="B3338" i="8" s="1"/>
  <c r="B3339" i="8" s="1"/>
  <c r="B3340" i="8" s="1"/>
  <c r="B3341" i="8" s="1"/>
  <c r="B3342" i="8" s="1"/>
  <c r="B3343" i="8" s="1"/>
  <c r="B3344" i="8" s="1"/>
  <c r="B3345" i="8" s="1"/>
  <c r="B3346" i="8" s="1"/>
  <c r="B3347" i="8" s="1"/>
  <c r="B3348" i="8" s="1"/>
  <c r="B3349" i="8" s="1"/>
  <c r="B3350" i="8" s="1"/>
  <c r="B3351" i="8" s="1"/>
  <c r="B3352" i="8" s="1"/>
  <c r="B3353" i="8" s="1"/>
  <c r="B3354" i="8" s="1"/>
  <c r="B3355" i="8" s="1"/>
  <c r="B3356" i="8" s="1"/>
  <c r="B3357" i="8" s="1"/>
  <c r="B3358" i="8" s="1"/>
  <c r="B3359" i="8" s="1"/>
  <c r="B3360" i="8" s="1"/>
  <c r="B3361" i="8" s="1"/>
  <c r="B3362" i="8" s="1"/>
  <c r="B3363" i="8" s="1"/>
  <c r="B3364" i="8" s="1"/>
  <c r="B3365" i="8" s="1"/>
  <c r="B3366" i="8" s="1"/>
  <c r="B3367" i="8" s="1"/>
  <c r="B3368" i="8" s="1"/>
  <c r="B3369" i="8" s="1"/>
  <c r="B3370" i="8" s="1"/>
  <c r="B3371" i="8" s="1"/>
  <c r="B3372" i="8" s="1"/>
  <c r="B3373" i="8" s="1"/>
  <c r="B3374" i="8" s="1"/>
  <c r="B3375" i="8" s="1"/>
  <c r="B3376" i="8" s="1"/>
  <c r="B3377" i="8" s="1"/>
  <c r="B3378" i="8" s="1"/>
  <c r="B3379" i="8" s="1"/>
  <c r="B3380" i="8" s="1"/>
  <c r="B3381" i="8" s="1"/>
  <c r="B3382" i="8" s="1"/>
  <c r="B3383" i="8" s="1"/>
  <c r="B3384" i="8" s="1"/>
  <c r="B3385" i="8" s="1"/>
  <c r="B3386" i="8" s="1"/>
  <c r="B3387" i="8" s="1"/>
  <c r="B3388" i="8" s="1"/>
  <c r="B3389" i="8" s="1"/>
  <c r="B3390" i="8" s="1"/>
  <c r="B3391" i="8" s="1"/>
  <c r="B3392" i="8" s="1"/>
  <c r="B3393" i="8" s="1"/>
  <c r="B3394" i="8" s="1"/>
  <c r="B3395" i="8" s="1"/>
  <c r="B3396" i="8" s="1"/>
  <c r="B3397" i="8" s="1"/>
  <c r="B3398" i="8" s="1"/>
  <c r="B3399" i="8" s="1"/>
  <c r="B3400" i="8" s="1"/>
  <c r="B3401" i="8" s="1"/>
  <c r="B3402" i="8" s="1"/>
  <c r="B3403" i="8" s="1"/>
  <c r="B3404" i="8" s="1"/>
  <c r="B3405" i="8" s="1"/>
  <c r="B3406" i="8" s="1"/>
  <c r="B3407" i="8" s="1"/>
  <c r="B3408" i="8" s="1"/>
  <c r="B3409" i="8" s="1"/>
  <c r="B3410" i="8" s="1"/>
  <c r="B3411" i="8" s="1"/>
  <c r="B3412" i="8" s="1"/>
  <c r="B3413" i="8" s="1"/>
  <c r="B3414" i="8" s="1"/>
  <c r="B3415" i="8" s="1"/>
  <c r="B3416" i="8" s="1"/>
  <c r="B3417" i="8" s="1"/>
  <c r="B3418" i="8" s="1"/>
  <c r="B3419" i="8" s="1"/>
  <c r="B3420" i="8" s="1"/>
  <c r="B3421" i="8" s="1"/>
  <c r="B3422" i="8" s="1"/>
  <c r="B3423" i="8" s="1"/>
  <c r="B3424" i="8" s="1"/>
  <c r="B3425" i="8" s="1"/>
  <c r="B3426" i="8" s="1"/>
  <c r="B3427" i="8" s="1"/>
  <c r="B3428" i="8" s="1"/>
  <c r="B3429" i="8" s="1"/>
  <c r="B3430" i="8" s="1"/>
  <c r="B3431" i="8" s="1"/>
  <c r="B3432" i="8" s="1"/>
  <c r="B3433" i="8" s="1"/>
  <c r="B3434" i="8" s="1"/>
  <c r="B3435" i="8" s="1"/>
  <c r="B3436" i="8" s="1"/>
  <c r="B3437" i="8" s="1"/>
  <c r="B3438" i="8" s="1"/>
  <c r="B3439" i="8" s="1"/>
  <c r="B3440" i="8" s="1"/>
  <c r="B3441" i="8" s="1"/>
  <c r="B3442" i="8" s="1"/>
  <c r="B3443" i="8" s="1"/>
  <c r="B3444" i="8" s="1"/>
  <c r="B3445" i="8" s="1"/>
  <c r="B3446" i="8" s="1"/>
  <c r="B3447" i="8" s="1"/>
  <c r="B3448" i="8" s="1"/>
  <c r="B3449" i="8" s="1"/>
  <c r="B3450" i="8" s="1"/>
  <c r="B3451" i="8" s="1"/>
  <c r="B3452" i="8" s="1"/>
  <c r="B3453" i="8" s="1"/>
  <c r="B3454" i="8" s="1"/>
  <c r="B3455" i="8" s="1"/>
  <c r="B3456" i="8" s="1"/>
  <c r="B3457" i="8" s="1"/>
  <c r="B3458" i="8" s="1"/>
  <c r="B3459" i="8" s="1"/>
  <c r="B3460" i="8" s="1"/>
  <c r="B3461" i="8" s="1"/>
  <c r="B3462" i="8" s="1"/>
  <c r="B3463" i="8" s="1"/>
  <c r="B3464" i="8" s="1"/>
  <c r="B3465" i="8" s="1"/>
  <c r="B3466" i="8" s="1"/>
  <c r="B3467" i="8" s="1"/>
  <c r="B3468" i="8" s="1"/>
  <c r="B3469" i="8" s="1"/>
  <c r="B3470" i="8" s="1"/>
  <c r="B3471" i="8" s="1"/>
  <c r="B3472" i="8" s="1"/>
  <c r="B3473" i="8" s="1"/>
  <c r="B3474" i="8" s="1"/>
  <c r="B3475" i="8" s="1"/>
  <c r="B3476" i="8" s="1"/>
  <c r="B3477" i="8" s="1"/>
  <c r="B3478" i="8" s="1"/>
  <c r="B3479" i="8" s="1"/>
  <c r="B3480" i="8" s="1"/>
  <c r="B3481" i="8" s="1"/>
  <c r="B3482" i="8" s="1"/>
  <c r="B3483" i="8" s="1"/>
  <c r="B3484" i="8" s="1"/>
  <c r="B3485" i="8" s="1"/>
  <c r="B3486" i="8" s="1"/>
  <c r="B3487" i="8" s="1"/>
  <c r="B3488" i="8" s="1"/>
  <c r="B3489" i="8" s="1"/>
  <c r="B3490" i="8" s="1"/>
  <c r="B3491" i="8" s="1"/>
  <c r="B3492" i="8" s="1"/>
  <c r="B3493" i="8" s="1"/>
  <c r="B3494" i="8" s="1"/>
  <c r="B3495" i="8" s="1"/>
  <c r="B3496" i="8" s="1"/>
  <c r="B3497" i="8" s="1"/>
  <c r="B3498" i="8" s="1"/>
  <c r="B3499" i="8" s="1"/>
  <c r="B3500" i="8" s="1"/>
  <c r="B3501" i="8" s="1"/>
  <c r="B3502" i="8" s="1"/>
  <c r="B3503" i="8" s="1"/>
  <c r="B3504" i="8" s="1"/>
  <c r="B3505" i="8" s="1"/>
  <c r="B3506" i="8" s="1"/>
  <c r="B3507" i="8" s="1"/>
  <c r="B3508" i="8" s="1"/>
  <c r="B3509" i="8" s="1"/>
  <c r="B3510" i="8" s="1"/>
  <c r="B3511" i="8" s="1"/>
  <c r="B3512" i="8" s="1"/>
  <c r="B3513" i="8" s="1"/>
  <c r="B3514" i="8" s="1"/>
  <c r="B3515" i="8" s="1"/>
  <c r="B3516" i="8" s="1"/>
  <c r="B3517" i="8" s="1"/>
  <c r="B3518" i="8" s="1"/>
  <c r="B3519" i="8" s="1"/>
  <c r="B3520" i="8" s="1"/>
  <c r="B3521" i="8" s="1"/>
  <c r="B3522" i="8" s="1"/>
  <c r="B3523" i="8" s="1"/>
  <c r="B3524" i="8" s="1"/>
  <c r="B3525" i="8" s="1"/>
  <c r="B3526" i="8" s="1"/>
  <c r="B3527" i="8" s="1"/>
  <c r="B3528" i="8" s="1"/>
  <c r="B3529" i="8" s="1"/>
  <c r="B3530" i="8" s="1"/>
  <c r="B3531" i="8" s="1"/>
  <c r="B3532" i="8" s="1"/>
  <c r="B3533" i="8" s="1"/>
  <c r="B3534" i="8" s="1"/>
  <c r="B3535" i="8" s="1"/>
  <c r="B3536" i="8" s="1"/>
  <c r="B3537" i="8" s="1"/>
  <c r="B3538" i="8" s="1"/>
  <c r="B3539" i="8" s="1"/>
  <c r="B3540" i="8" s="1"/>
  <c r="B3541" i="8" s="1"/>
  <c r="B3542" i="8" s="1"/>
  <c r="B3543" i="8" s="1"/>
  <c r="B3544" i="8" s="1"/>
  <c r="B3545" i="8" s="1"/>
  <c r="B3546" i="8" s="1"/>
  <c r="B3547" i="8" s="1"/>
  <c r="B3548" i="8" s="1"/>
  <c r="B3549" i="8" s="1"/>
  <c r="B3550" i="8" s="1"/>
  <c r="B3551" i="8" s="1"/>
  <c r="B3552" i="8" s="1"/>
  <c r="B3553" i="8" s="1"/>
  <c r="B3554" i="8" s="1"/>
  <c r="B3555" i="8" s="1"/>
  <c r="B3556" i="8" s="1"/>
  <c r="B3557" i="8" s="1"/>
  <c r="B3558" i="8" s="1"/>
  <c r="B3559" i="8" s="1"/>
  <c r="B3560" i="8" s="1"/>
  <c r="B3561" i="8" s="1"/>
  <c r="B3562" i="8" s="1"/>
  <c r="B3563" i="8" s="1"/>
  <c r="B3564" i="8" s="1"/>
  <c r="B3565" i="8" s="1"/>
  <c r="B3566" i="8" s="1"/>
  <c r="B3567" i="8" s="1"/>
  <c r="B3568" i="8" s="1"/>
  <c r="B3569" i="8" s="1"/>
  <c r="B3570" i="8" s="1"/>
  <c r="B3571" i="8" s="1"/>
  <c r="B3572" i="8" s="1"/>
  <c r="B3573" i="8" s="1"/>
  <c r="B3574" i="8" s="1"/>
  <c r="B3575" i="8" s="1"/>
  <c r="B3576" i="8" s="1"/>
  <c r="B3577" i="8" s="1"/>
  <c r="B3578" i="8" s="1"/>
  <c r="B3579" i="8" s="1"/>
  <c r="B3580" i="8" s="1"/>
  <c r="B3581" i="8" s="1"/>
  <c r="B3582" i="8" s="1"/>
  <c r="B3583" i="8" s="1"/>
  <c r="B3584" i="8" s="1"/>
  <c r="B3585" i="8" s="1"/>
  <c r="B3586" i="8" s="1"/>
  <c r="B3587" i="8" s="1"/>
  <c r="B3588" i="8" s="1"/>
  <c r="B3589" i="8" s="1"/>
  <c r="B3590" i="8" s="1"/>
  <c r="B3591" i="8" s="1"/>
  <c r="B3592" i="8" s="1"/>
  <c r="B3593" i="8" s="1"/>
  <c r="B3594" i="8" s="1"/>
  <c r="B3595" i="8" s="1"/>
  <c r="B3596" i="8" s="1"/>
  <c r="B3597" i="8" s="1"/>
  <c r="B3598" i="8" s="1"/>
  <c r="B3599" i="8" s="1"/>
  <c r="B3600" i="8" s="1"/>
  <c r="B3601" i="8" s="1"/>
  <c r="B3602" i="8" s="1"/>
  <c r="B3603" i="8" s="1"/>
  <c r="B3604" i="8" s="1"/>
  <c r="B3605" i="8" s="1"/>
  <c r="B3606" i="8" s="1"/>
  <c r="B3607" i="8" s="1"/>
  <c r="B3608" i="8" s="1"/>
  <c r="B3609" i="8" s="1"/>
  <c r="B3610" i="8" s="1"/>
  <c r="B3611" i="8" s="1"/>
  <c r="B3612" i="8" s="1"/>
  <c r="B3613" i="8" s="1"/>
  <c r="B3614" i="8" s="1"/>
  <c r="B3615" i="8" s="1"/>
  <c r="B3616" i="8" s="1"/>
  <c r="B3617" i="8" s="1"/>
  <c r="B3618" i="8" s="1"/>
  <c r="B3619" i="8" s="1"/>
  <c r="B3620" i="8" s="1"/>
  <c r="B3621" i="8" s="1"/>
  <c r="B3622" i="8" s="1"/>
  <c r="B3623" i="8" s="1"/>
  <c r="B2925" i="8"/>
  <c r="B2926" i="8" s="1"/>
  <c r="B2927" i="8" s="1"/>
  <c r="B2928" i="8" s="1"/>
  <c r="B2929" i="8" s="1"/>
  <c r="B2930" i="8" s="1"/>
  <c r="B2931" i="8" s="1"/>
  <c r="B2932" i="8" s="1"/>
  <c r="B2933" i="8" s="1"/>
  <c r="B2934" i="8" s="1"/>
  <c r="B2935" i="8" s="1"/>
  <c r="B2936" i="8" s="1"/>
  <c r="B2937" i="8" s="1"/>
  <c r="B2938" i="8" s="1"/>
  <c r="B2939" i="8" s="1"/>
  <c r="B2940" i="8" s="1"/>
  <c r="B2941" i="8" s="1"/>
  <c r="B2942" i="8" s="1"/>
  <c r="B2943" i="8" s="1"/>
  <c r="B2944" i="8" s="1"/>
  <c r="B2945" i="8" s="1"/>
  <c r="B2946" i="8" s="1"/>
  <c r="B2947" i="8" s="1"/>
  <c r="B2948" i="8" s="1"/>
  <c r="B2949" i="8" s="1"/>
  <c r="B2950" i="8" s="1"/>
  <c r="B2951" i="8" s="1"/>
  <c r="B2952" i="8" s="1"/>
  <c r="B2953" i="8" s="1"/>
  <c r="B2331" i="8"/>
  <c r="B2332" i="8" s="1"/>
  <c r="B2333" i="8" s="1"/>
  <c r="B2334" i="8" s="1"/>
  <c r="B2335" i="8" s="1"/>
  <c r="B2336" i="8" s="1"/>
  <c r="B2337" i="8" s="1"/>
  <c r="B2338" i="8" s="1"/>
  <c r="B2339" i="8" s="1"/>
  <c r="B2340" i="8" s="1"/>
  <c r="B2341" i="8" s="1"/>
  <c r="B2342" i="8" s="1"/>
  <c r="B2343" i="8" s="1"/>
  <c r="B2344" i="8" s="1"/>
  <c r="B2345" i="8" s="1"/>
  <c r="B2346" i="8" s="1"/>
  <c r="B2347" i="8" s="1"/>
  <c r="B2348" i="8" s="1"/>
  <c r="B2349" i="8" s="1"/>
  <c r="B2350" i="8" s="1"/>
  <c r="B2351" i="8" s="1"/>
  <c r="B2352" i="8" s="1"/>
  <c r="B2353" i="8" s="1"/>
  <c r="B2354" i="8" s="1"/>
  <c r="B2355" i="8" s="1"/>
  <c r="B2356" i="8" s="1"/>
  <c r="B2357" i="8" s="1"/>
  <c r="B2358" i="8" s="1"/>
  <c r="B2359" i="8" s="1"/>
  <c r="B2360" i="8" s="1"/>
  <c r="B2361" i="8" s="1"/>
  <c r="B2362" i="8" s="1"/>
  <c r="B2363" i="8" s="1"/>
  <c r="B2364" i="8" s="1"/>
  <c r="B2365" i="8" s="1"/>
  <c r="B2366" i="8" s="1"/>
  <c r="B2367" i="8" s="1"/>
  <c r="B2368" i="8" s="1"/>
  <c r="B2369" i="8" s="1"/>
  <c r="B2370" i="8" s="1"/>
  <c r="B2371" i="8" s="1"/>
  <c r="B2372" i="8" s="1"/>
  <c r="B2373" i="8" s="1"/>
  <c r="B2374" i="8" s="1"/>
  <c r="B2375" i="8" s="1"/>
  <c r="B2376" i="8" s="1"/>
  <c r="B2377" i="8" s="1"/>
  <c r="B2378" i="8" s="1"/>
  <c r="B2379" i="8" s="1"/>
  <c r="B2380" i="8" s="1"/>
  <c r="B2381" i="8" s="1"/>
  <c r="B2382" i="8" s="1"/>
  <c r="B2383" i="8" s="1"/>
  <c r="B2384" i="8" s="1"/>
  <c r="B2385" i="8" s="1"/>
  <c r="B2386" i="8" s="1"/>
  <c r="B2387" i="8" s="1"/>
  <c r="B2388" i="8" s="1"/>
  <c r="B2389" i="8" s="1"/>
  <c r="B2390" i="8" s="1"/>
  <c r="B2391" i="8" s="1"/>
  <c r="B2392" i="8" s="1"/>
  <c r="B2393" i="8" s="1"/>
  <c r="B2394" i="8" s="1"/>
  <c r="B2395" i="8" s="1"/>
  <c r="B2396" i="8" s="1"/>
  <c r="B2397" i="8" s="1"/>
  <c r="B2398" i="8" s="1"/>
  <c r="B2399" i="8" s="1"/>
  <c r="B2400" i="8" s="1"/>
  <c r="B2401" i="8" s="1"/>
  <c r="B2402" i="8" s="1"/>
  <c r="B2403" i="8" s="1"/>
  <c r="B2404" i="8" s="1"/>
  <c r="B2405" i="8" s="1"/>
  <c r="B2406" i="8" s="1"/>
  <c r="B2407" i="8" s="1"/>
  <c r="B2408" i="8" s="1"/>
  <c r="B2409" i="8" s="1"/>
  <c r="B2410" i="8" s="1"/>
  <c r="B2411" i="8" s="1"/>
  <c r="B2412" i="8" s="1"/>
  <c r="B2413" i="8" s="1"/>
  <c r="B2414" i="8" s="1"/>
  <c r="B2415" i="8" s="1"/>
  <c r="B2416" i="8" s="1"/>
  <c r="B2417" i="8" s="1"/>
  <c r="B2418" i="8" s="1"/>
  <c r="B2419" i="8" s="1"/>
  <c r="B2420" i="8" s="1"/>
  <c r="B2421" i="8" s="1"/>
  <c r="B2422" i="8" s="1"/>
  <c r="B2423" i="8" s="1"/>
  <c r="B2424" i="8" s="1"/>
  <c r="B2425" i="8" s="1"/>
  <c r="B2426" i="8" s="1"/>
  <c r="B2427" i="8" s="1"/>
  <c r="B2428" i="8" s="1"/>
  <c r="B2429" i="8" s="1"/>
  <c r="B2430" i="8" s="1"/>
  <c r="B2431" i="8" s="1"/>
  <c r="B2432" i="8" s="1"/>
  <c r="B2433" i="8" s="1"/>
  <c r="B2434" i="8" s="1"/>
  <c r="B2435" i="8" s="1"/>
  <c r="B2436" i="8" s="1"/>
  <c r="B2437" i="8" s="1"/>
  <c r="B2438" i="8" s="1"/>
  <c r="B2439" i="8" s="1"/>
  <c r="B2440" i="8" s="1"/>
  <c r="B2441" i="8" s="1"/>
  <c r="B2442" i="8" s="1"/>
  <c r="B2443" i="8" s="1"/>
  <c r="B2444" i="8" s="1"/>
  <c r="B2445" i="8" s="1"/>
  <c r="B2446" i="8" s="1"/>
  <c r="B2447" i="8" s="1"/>
  <c r="B2448" i="8" s="1"/>
  <c r="B2449" i="8" s="1"/>
  <c r="B2450" i="8" s="1"/>
  <c r="B2451" i="8" s="1"/>
  <c r="B2452" i="8" s="1"/>
  <c r="B2453" i="8" s="1"/>
  <c r="B2454" i="8" s="1"/>
  <c r="B2455" i="8" s="1"/>
  <c r="B2456" i="8" s="1"/>
  <c r="B2457" i="8" s="1"/>
  <c r="B2458" i="8" s="1"/>
  <c r="B2459" i="8" s="1"/>
  <c r="B2460" i="8" s="1"/>
  <c r="B2461" i="8" s="1"/>
  <c r="B2462" i="8" s="1"/>
  <c r="B2463" i="8" s="1"/>
  <c r="B2464" i="8" s="1"/>
  <c r="B2465" i="8" s="1"/>
  <c r="B2466" i="8" s="1"/>
  <c r="B2467" i="8" s="1"/>
  <c r="B2468" i="8" s="1"/>
  <c r="B2469" i="8" s="1"/>
  <c r="B2470" i="8" s="1"/>
  <c r="B2471" i="8" s="1"/>
  <c r="B2472" i="8" s="1"/>
  <c r="B2473" i="8" s="1"/>
  <c r="B2474" i="8" s="1"/>
  <c r="B2475" i="8" s="1"/>
  <c r="B2476" i="8" s="1"/>
  <c r="B2477" i="8" s="1"/>
  <c r="B2478" i="8" s="1"/>
  <c r="B2479" i="8" s="1"/>
  <c r="B2480" i="8" s="1"/>
  <c r="B2481" i="8" s="1"/>
  <c r="B2482" i="8" s="1"/>
  <c r="B2483" i="8" s="1"/>
  <c r="B2484" i="8" s="1"/>
  <c r="B2485" i="8" s="1"/>
  <c r="B2486" i="8" s="1"/>
  <c r="B2487" i="8" s="1"/>
  <c r="B2488" i="8" s="1"/>
  <c r="B2489" i="8" s="1"/>
  <c r="B2490" i="8" s="1"/>
  <c r="B2491" i="8" s="1"/>
  <c r="B2492" i="8" s="1"/>
  <c r="B2493" i="8" s="1"/>
  <c r="B2494" i="8" s="1"/>
  <c r="B2495" i="8" s="1"/>
  <c r="B2496" i="8" s="1"/>
  <c r="B2497" i="8" s="1"/>
  <c r="B2498" i="8" s="1"/>
  <c r="B2499" i="8" s="1"/>
  <c r="B2500" i="8" s="1"/>
  <c r="B2501" i="8" s="1"/>
  <c r="B2502" i="8" s="1"/>
  <c r="B2503" i="8" s="1"/>
  <c r="B2504" i="8" s="1"/>
  <c r="B2505" i="8" s="1"/>
  <c r="B2506" i="8" s="1"/>
  <c r="B2507" i="8" s="1"/>
  <c r="B2508" i="8" s="1"/>
  <c r="B2509" i="8" s="1"/>
  <c r="B2510" i="8" s="1"/>
  <c r="B2511" i="8" s="1"/>
  <c r="B2512" i="8" s="1"/>
  <c r="B2513" i="8" s="1"/>
  <c r="B2514" i="8" s="1"/>
  <c r="B2515" i="8" s="1"/>
  <c r="B2516" i="8" s="1"/>
  <c r="B2517" i="8" s="1"/>
  <c r="B2518" i="8" s="1"/>
  <c r="B2519" i="8" s="1"/>
  <c r="B2520" i="8" s="1"/>
  <c r="B2521" i="8" s="1"/>
  <c r="B2522" i="8" s="1"/>
  <c r="B2523" i="8" s="1"/>
  <c r="B2524" i="8" s="1"/>
  <c r="B2525" i="8" s="1"/>
  <c r="B2526" i="8" s="1"/>
  <c r="B2527" i="8" s="1"/>
  <c r="B2528" i="8" s="1"/>
  <c r="B2529" i="8" s="1"/>
  <c r="B2530" i="8" s="1"/>
  <c r="B2531" i="8" s="1"/>
  <c r="B2532" i="8" s="1"/>
  <c r="B2533" i="8" s="1"/>
  <c r="B2534" i="8" s="1"/>
  <c r="B2535" i="8" s="1"/>
  <c r="B2536" i="8" s="1"/>
  <c r="B2537" i="8" s="1"/>
  <c r="B2538" i="8" s="1"/>
  <c r="B2539" i="8" s="1"/>
  <c r="B2540" i="8" s="1"/>
  <c r="B2541" i="8" s="1"/>
  <c r="B2542" i="8" s="1"/>
  <c r="B2543" i="8" s="1"/>
  <c r="B2544" i="8" s="1"/>
  <c r="B2545" i="8" s="1"/>
  <c r="B2546" i="8" s="1"/>
  <c r="B2547" i="8" s="1"/>
  <c r="B2548" i="8" s="1"/>
  <c r="B2549" i="8" s="1"/>
  <c r="B2550" i="8" s="1"/>
  <c r="B2551" i="8" s="1"/>
  <c r="B2552" i="8" s="1"/>
  <c r="B2553" i="8" s="1"/>
  <c r="B2554" i="8" s="1"/>
  <c r="B2555" i="8" s="1"/>
  <c r="B2556" i="8" s="1"/>
  <c r="B2557" i="8" s="1"/>
  <c r="B2558" i="8" s="1"/>
  <c r="B2559" i="8" s="1"/>
  <c r="B2560" i="8" s="1"/>
  <c r="B2561" i="8" s="1"/>
  <c r="B2562" i="8" s="1"/>
  <c r="B2563" i="8" s="1"/>
  <c r="B2564" i="8" s="1"/>
  <c r="B2565" i="8" s="1"/>
  <c r="B2566" i="8" s="1"/>
  <c r="B2567" i="8" s="1"/>
  <c r="B2568" i="8" s="1"/>
  <c r="B2569" i="8" s="1"/>
  <c r="B2570" i="8" s="1"/>
  <c r="B2571" i="8" s="1"/>
  <c r="B2572" i="8" s="1"/>
  <c r="B2573" i="8" s="1"/>
  <c r="B2574" i="8" s="1"/>
  <c r="B2575" i="8" s="1"/>
  <c r="B2576" i="8" s="1"/>
  <c r="B2577" i="8" s="1"/>
  <c r="B2578" i="8" s="1"/>
  <c r="B2579" i="8" s="1"/>
  <c r="B2580" i="8" s="1"/>
  <c r="B2581" i="8" s="1"/>
  <c r="B2582" i="8" s="1"/>
  <c r="B2583" i="8" s="1"/>
  <c r="B2584" i="8" s="1"/>
  <c r="B2585" i="8" s="1"/>
  <c r="B2586" i="8" s="1"/>
  <c r="B2587" i="8" s="1"/>
  <c r="B2588" i="8" s="1"/>
  <c r="B2589" i="8" s="1"/>
  <c r="B2590" i="8" s="1"/>
  <c r="B2591" i="8" s="1"/>
  <c r="B2592" i="8" s="1"/>
  <c r="B2593" i="8" s="1"/>
  <c r="B2594" i="8" s="1"/>
  <c r="B2595" i="8" s="1"/>
  <c r="B2596" i="8" s="1"/>
  <c r="B2597" i="8" s="1"/>
  <c r="B2598" i="8" s="1"/>
  <c r="B2599" i="8" s="1"/>
  <c r="B2600" i="8" s="1"/>
  <c r="B2601" i="8" s="1"/>
  <c r="B2602" i="8" s="1"/>
  <c r="B2603" i="8" s="1"/>
  <c r="B2604" i="8" s="1"/>
  <c r="B2605" i="8" s="1"/>
  <c r="B2606" i="8" s="1"/>
  <c r="B2607" i="8" s="1"/>
  <c r="B2608" i="8" s="1"/>
  <c r="B2609" i="8" s="1"/>
  <c r="B2610" i="8" s="1"/>
  <c r="B2611" i="8" s="1"/>
  <c r="B2612" i="8" s="1"/>
  <c r="B2613" i="8" s="1"/>
  <c r="B2614" i="8" s="1"/>
  <c r="B2615" i="8" s="1"/>
  <c r="B2616" i="8" s="1"/>
  <c r="B2617" i="8" s="1"/>
  <c r="B2618" i="8" s="1"/>
  <c r="B2619" i="8" s="1"/>
  <c r="B2620" i="8" s="1"/>
  <c r="B2621" i="8" s="1"/>
  <c r="B2622" i="8" s="1"/>
  <c r="B2623" i="8" s="1"/>
  <c r="B2624" i="8" s="1"/>
  <c r="B2625" i="8" s="1"/>
  <c r="B2283" i="8"/>
  <c r="B2284" i="8" s="1"/>
  <c r="B2285" i="8" s="1"/>
  <c r="B2286" i="8" s="1"/>
  <c r="B2287" i="8" s="1"/>
  <c r="B2288" i="8" s="1"/>
  <c r="B2289" i="8" s="1"/>
  <c r="B2290" i="8" s="1"/>
  <c r="B2291" i="8" s="1"/>
  <c r="B2292" i="8" s="1"/>
  <c r="B2293" i="8" s="1"/>
  <c r="B2294" i="8" s="1"/>
  <c r="B2295" i="8" s="1"/>
  <c r="B2296" i="8" s="1"/>
  <c r="B2297" i="8" s="1"/>
  <c r="B2298" i="8" s="1"/>
  <c r="B2299" i="8" s="1"/>
  <c r="B2300" i="8" s="1"/>
  <c r="B2301" i="8" s="1"/>
  <c r="B2302" i="8" s="1"/>
  <c r="B2303" i="8" s="1"/>
  <c r="B2304" i="8" s="1"/>
  <c r="B2305" i="8" s="1"/>
  <c r="B2306" i="8" s="1"/>
  <c r="B2307" i="8" s="1"/>
  <c r="B2308" i="8" s="1"/>
  <c r="B2309" i="8" s="1"/>
  <c r="B2310" i="8" s="1"/>
  <c r="B2311" i="8" s="1"/>
  <c r="B2312" i="8" s="1"/>
  <c r="B2313" i="8" s="1"/>
  <c r="B2314" i="8" s="1"/>
  <c r="B2315" i="8" s="1"/>
  <c r="B2316" i="8" s="1"/>
  <c r="B2317" i="8" s="1"/>
  <c r="B2318" i="8" s="1"/>
  <c r="B2319" i="8" s="1"/>
  <c r="B2320" i="8" s="1"/>
  <c r="B2321" i="8" s="1"/>
  <c r="B2322" i="8" s="1"/>
  <c r="B2323" i="8" s="1"/>
  <c r="B2324" i="8" s="1"/>
  <c r="B2325" i="8" s="1"/>
  <c r="B2326" i="8" s="1"/>
  <c r="B2327" i="8" s="1"/>
  <c r="B2328" i="8" s="1"/>
  <c r="B2329" i="8" s="1"/>
  <c r="B2241" i="8"/>
  <c r="B2242" i="8" s="1"/>
  <c r="B2243" i="8" s="1"/>
  <c r="B2244" i="8" s="1"/>
  <c r="B2245" i="8" s="1"/>
  <c r="B2246" i="8" s="1"/>
  <c r="B2247" i="8" s="1"/>
  <c r="B2248" i="8" s="1"/>
  <c r="B2249" i="8" s="1"/>
  <c r="B2250" i="8" s="1"/>
  <c r="B2251" i="8" s="1"/>
  <c r="B2252" i="8" s="1"/>
  <c r="B2253" i="8" s="1"/>
  <c r="B2254" i="8" s="1"/>
  <c r="B2255" i="8" s="1"/>
  <c r="B2256" i="8" s="1"/>
  <c r="B2257" i="8" s="1"/>
  <c r="B2258" i="8" s="1"/>
  <c r="B2259" i="8" s="1"/>
  <c r="B2260" i="8" s="1"/>
  <c r="B2261" i="8" s="1"/>
  <c r="B2262" i="8" s="1"/>
  <c r="B2263" i="8" s="1"/>
  <c r="B2264" i="8" s="1"/>
  <c r="B2265" i="8" s="1"/>
  <c r="B2266" i="8" s="1"/>
  <c r="B2267" i="8" s="1"/>
  <c r="B2268" i="8" s="1"/>
  <c r="B2269" i="8" s="1"/>
  <c r="B2270" i="8" s="1"/>
  <c r="B2271" i="8" s="1"/>
  <c r="B2272" i="8" s="1"/>
  <c r="B2273" i="8" s="1"/>
  <c r="B2274" i="8" s="1"/>
  <c r="B2275" i="8" s="1"/>
  <c r="B2276" i="8" s="1"/>
  <c r="B2277" i="8" s="1"/>
  <c r="B2278" i="8" s="1"/>
  <c r="B2279" i="8" s="1"/>
  <c r="B2280" i="8" s="1"/>
  <c r="B2281" i="8" s="1"/>
  <c r="B2220" i="8"/>
  <c r="B2221" i="8" s="1"/>
  <c r="B2222" i="8" s="1"/>
  <c r="B2223" i="8" s="1"/>
  <c r="B2224" i="8" s="1"/>
  <c r="B2225" i="8" s="1"/>
  <c r="B2226" i="8" s="1"/>
  <c r="B2227" i="8" s="1"/>
  <c r="B2228" i="8" s="1"/>
  <c r="B2229" i="8" s="1"/>
  <c r="B2230" i="8" s="1"/>
  <c r="B2231" i="8" s="1"/>
  <c r="B2232" i="8" s="1"/>
  <c r="B2233" i="8" s="1"/>
  <c r="B2234" i="8" s="1"/>
  <c r="B2235" i="8" s="1"/>
  <c r="B2236" i="8" s="1"/>
  <c r="B2237" i="8" s="1"/>
  <c r="B2238" i="8" s="1"/>
  <c r="B2239" i="8" s="1"/>
  <c r="B1982" i="8"/>
  <c r="B1983" i="8" s="1"/>
  <c r="B1984" i="8" s="1"/>
  <c r="B1985" i="8" s="1"/>
  <c r="B1986" i="8" s="1"/>
  <c r="B1987" i="8" s="1"/>
  <c r="B1988" i="8" s="1"/>
  <c r="B1989" i="8" s="1"/>
  <c r="B1990" i="8" s="1"/>
  <c r="B1991" i="8" s="1"/>
  <c r="B1992" i="8" s="1"/>
  <c r="B1993" i="8" s="1"/>
  <c r="B1994" i="8" s="1"/>
  <c r="B1995" i="8" s="1"/>
  <c r="B1996" i="8" s="1"/>
  <c r="B1997" i="8" s="1"/>
  <c r="B1998" i="8" s="1"/>
  <c r="B1999" i="8" s="1"/>
  <c r="B2000" i="8" s="1"/>
  <c r="B2001" i="8" s="1"/>
  <c r="B2002" i="8" s="1"/>
  <c r="B2003" i="8" s="1"/>
  <c r="B2004" i="8" s="1"/>
  <c r="B2005" i="8" s="1"/>
  <c r="B2006" i="8" s="1"/>
  <c r="B2007" i="8" s="1"/>
  <c r="B2008" i="8" s="1"/>
  <c r="B2009" i="8" s="1"/>
  <c r="B2010" i="8" s="1"/>
  <c r="B2011" i="8" s="1"/>
  <c r="B2012" i="8" s="1"/>
  <c r="B2013" i="8" s="1"/>
  <c r="B2014" i="8" s="1"/>
  <c r="B2015" i="8" s="1"/>
  <c r="B2016" i="8" s="1"/>
  <c r="B2017" i="8" s="1"/>
  <c r="B2018" i="8" s="1"/>
  <c r="B2019" i="8" s="1"/>
  <c r="B2020" i="8" s="1"/>
  <c r="B2021" i="8" s="1"/>
  <c r="B2022" i="8" s="1"/>
  <c r="B2023" i="8" s="1"/>
  <c r="B2024" i="8" s="1"/>
  <c r="B2025" i="8" s="1"/>
  <c r="B2026" i="8" s="1"/>
  <c r="B2027" i="8" s="1"/>
  <c r="B2028" i="8" s="1"/>
  <c r="B2029" i="8" s="1"/>
  <c r="B2030" i="8" s="1"/>
  <c r="B2031" i="8" s="1"/>
  <c r="B2032" i="8" s="1"/>
  <c r="B2033" i="8" s="1"/>
  <c r="B2034" i="8" s="1"/>
  <c r="B2035" i="8" s="1"/>
  <c r="B2036" i="8" s="1"/>
  <c r="B2037" i="8" s="1"/>
  <c r="B2038" i="8" s="1"/>
  <c r="B2039" i="8" s="1"/>
  <c r="B2040" i="8" s="1"/>
  <c r="B2041" i="8" s="1"/>
  <c r="B2042" i="8" s="1"/>
  <c r="B2043" i="8" s="1"/>
  <c r="B2044" i="8" s="1"/>
  <c r="B2045" i="8" s="1"/>
  <c r="B2046" i="8" s="1"/>
  <c r="B2047" i="8" s="1"/>
  <c r="B2048" i="8" s="1"/>
  <c r="B2049" i="8" s="1"/>
  <c r="B2050" i="8" s="1"/>
  <c r="B2051" i="8" s="1"/>
  <c r="B2052" i="8" s="1"/>
  <c r="B2053" i="8" s="1"/>
  <c r="B2054" i="8" s="1"/>
  <c r="B2055" i="8" s="1"/>
  <c r="B2056" i="8" s="1"/>
  <c r="B2057" i="8" s="1"/>
  <c r="B2058" i="8" s="1"/>
  <c r="B2059" i="8" s="1"/>
  <c r="B2060" i="8" s="1"/>
  <c r="B2061" i="8" s="1"/>
  <c r="B2062" i="8" s="1"/>
  <c r="B2063" i="8" s="1"/>
  <c r="B2064" i="8" s="1"/>
  <c r="B2065" i="8" s="1"/>
  <c r="B2066" i="8" s="1"/>
  <c r="B2067" i="8" s="1"/>
  <c r="B2068" i="8" s="1"/>
  <c r="B2069" i="8" s="1"/>
  <c r="B2070" i="8" s="1"/>
  <c r="B2071" i="8" s="1"/>
  <c r="B2072" i="8" s="1"/>
  <c r="B2073" i="8" s="1"/>
  <c r="B2074" i="8" s="1"/>
  <c r="B2075" i="8" s="1"/>
  <c r="B2076" i="8" s="1"/>
  <c r="B2077" i="8" s="1"/>
  <c r="B2078" i="8" s="1"/>
  <c r="B2079" i="8" s="1"/>
  <c r="B2080" i="8" s="1"/>
  <c r="B2081" i="8" s="1"/>
  <c r="B2082" i="8" s="1"/>
  <c r="B2083" i="8" s="1"/>
  <c r="B2084" i="8" s="1"/>
  <c r="B2085" i="8" s="1"/>
  <c r="B2086" i="8" s="1"/>
  <c r="B2087" i="8" s="1"/>
  <c r="B2088" i="8" s="1"/>
  <c r="B2089" i="8" s="1"/>
  <c r="B2090" i="8" s="1"/>
  <c r="B2091" i="8" s="1"/>
  <c r="B2092" i="8" s="1"/>
  <c r="B2093" i="8" s="1"/>
  <c r="B2094" i="8" s="1"/>
  <c r="B2095" i="8" s="1"/>
  <c r="B2096" i="8" s="1"/>
  <c r="B2097" i="8" s="1"/>
  <c r="B2098" i="8" s="1"/>
  <c r="B2099" i="8" s="1"/>
  <c r="B2100" i="8" s="1"/>
  <c r="B2101" i="8" s="1"/>
  <c r="B2102" i="8" s="1"/>
  <c r="B2103" i="8" s="1"/>
  <c r="B2104" i="8" s="1"/>
  <c r="B2105" i="8" s="1"/>
  <c r="B2106" i="8" s="1"/>
  <c r="B2107" i="8" s="1"/>
  <c r="B2108" i="8" s="1"/>
  <c r="B2109" i="8" s="1"/>
  <c r="B2110" i="8" s="1"/>
  <c r="B2111" i="8" s="1"/>
  <c r="B2112" i="8" s="1"/>
  <c r="B2113" i="8" s="1"/>
  <c r="B2114" i="8" s="1"/>
  <c r="B2115" i="8" s="1"/>
  <c r="B2116" i="8" s="1"/>
  <c r="B2117" i="8" s="1"/>
  <c r="B2118" i="8" s="1"/>
  <c r="B2119" i="8" s="1"/>
  <c r="B2120" i="8" s="1"/>
  <c r="B2121" i="8" s="1"/>
  <c r="B2122" i="8" s="1"/>
  <c r="B2123" i="8" s="1"/>
  <c r="B2124" i="8" s="1"/>
  <c r="B2125" i="8" s="1"/>
  <c r="B2126" i="8" s="1"/>
  <c r="B2127" i="8" s="1"/>
  <c r="B2128" i="8" s="1"/>
  <c r="B2129" i="8" s="1"/>
  <c r="B2130" i="8" s="1"/>
  <c r="B2131" i="8" s="1"/>
  <c r="B2132" i="8" s="1"/>
  <c r="B2133" i="8" s="1"/>
  <c r="B2134" i="8" s="1"/>
  <c r="B2135" i="8" s="1"/>
  <c r="B2136" i="8" s="1"/>
  <c r="B2137" i="8" s="1"/>
  <c r="B2138" i="8" s="1"/>
  <c r="B2139" i="8" s="1"/>
  <c r="B2140" i="8" s="1"/>
  <c r="B2141" i="8" s="1"/>
  <c r="B2142" i="8" s="1"/>
  <c r="B2143" i="8" s="1"/>
  <c r="B2144" i="8" s="1"/>
  <c r="B2145" i="8" s="1"/>
  <c r="B2146" i="8" s="1"/>
  <c r="B2147" i="8" s="1"/>
  <c r="B2148" i="8" s="1"/>
  <c r="B2149" i="8" s="1"/>
  <c r="B2150" i="8" s="1"/>
  <c r="B2151" i="8" s="1"/>
  <c r="B2152" i="8" s="1"/>
  <c r="B2153" i="8" s="1"/>
  <c r="B2154" i="8" s="1"/>
  <c r="B2155" i="8" s="1"/>
  <c r="B2156" i="8" s="1"/>
  <c r="B2157" i="8" s="1"/>
  <c r="B2158" i="8" s="1"/>
  <c r="B2159" i="8" s="1"/>
  <c r="B2160" i="8" s="1"/>
  <c r="B2161" i="8" s="1"/>
  <c r="B2162" i="8" s="1"/>
  <c r="B2163" i="8" s="1"/>
  <c r="B2164" i="8" s="1"/>
  <c r="B2165" i="8" s="1"/>
  <c r="B2166" i="8" s="1"/>
  <c r="B2167" i="8" s="1"/>
  <c r="B2168" i="8" s="1"/>
  <c r="B2169" i="8" s="1"/>
  <c r="B2170" i="8" s="1"/>
  <c r="B2171" i="8" s="1"/>
  <c r="B2172" i="8" s="1"/>
  <c r="B2173" i="8" s="1"/>
  <c r="B2174" i="8" s="1"/>
  <c r="B2175" i="8" s="1"/>
  <c r="B2176" i="8" s="1"/>
  <c r="B2177" i="8" s="1"/>
  <c r="B2178" i="8" s="1"/>
  <c r="B2179" i="8" s="1"/>
  <c r="B2180" i="8" s="1"/>
  <c r="B2181" i="8" s="1"/>
  <c r="B2182" i="8" s="1"/>
  <c r="B2183" i="8" s="1"/>
  <c r="B2184" i="8" s="1"/>
  <c r="B2185" i="8" s="1"/>
  <c r="B2186" i="8" s="1"/>
  <c r="B2187" i="8" s="1"/>
  <c r="B2188" i="8" s="1"/>
  <c r="B2189" i="8" s="1"/>
  <c r="B2190" i="8" s="1"/>
  <c r="B2191" i="8" s="1"/>
  <c r="B2192" i="8" s="1"/>
  <c r="B2193" i="8" s="1"/>
  <c r="B2194" i="8" s="1"/>
  <c r="B2195" i="8" s="1"/>
  <c r="B2196" i="8" s="1"/>
  <c r="B2197" i="8" s="1"/>
  <c r="B2198" i="8" s="1"/>
  <c r="B2199" i="8" s="1"/>
  <c r="B2200" i="8" s="1"/>
  <c r="B2201" i="8" s="1"/>
  <c r="B2202" i="8" s="1"/>
  <c r="B2203" i="8" s="1"/>
  <c r="B2204" i="8" s="1"/>
  <c r="B2205" i="8" s="1"/>
  <c r="B2206" i="8" s="1"/>
  <c r="B2207" i="8" s="1"/>
  <c r="B2208" i="8" s="1"/>
  <c r="B2209" i="8" s="1"/>
  <c r="B2210" i="8" s="1"/>
  <c r="B2211" i="8" s="1"/>
  <c r="B2212" i="8" s="1"/>
  <c r="B2213" i="8" s="1"/>
  <c r="B2214" i="8" s="1"/>
  <c r="B2215" i="8" s="1"/>
  <c r="B2216" i="8" s="1"/>
  <c r="B2217" i="8" s="1"/>
  <c r="B2218" i="8" s="1"/>
  <c r="B1909" i="8"/>
  <c r="B1910" i="8" s="1"/>
  <c r="B1911" i="8" s="1"/>
  <c r="B1912" i="8" s="1"/>
  <c r="B1913" i="8" s="1"/>
  <c r="B1914" i="8" s="1"/>
  <c r="B1915" i="8" s="1"/>
  <c r="B1916" i="8" s="1"/>
  <c r="B1917" i="8" s="1"/>
  <c r="B1918" i="8" s="1"/>
  <c r="B1919" i="8" s="1"/>
  <c r="B1920" i="8" s="1"/>
  <c r="B1921" i="8" s="1"/>
  <c r="B1922" i="8" s="1"/>
  <c r="B1923" i="8" s="1"/>
  <c r="B1924" i="8" s="1"/>
  <c r="B1925" i="8" s="1"/>
  <c r="B1926" i="8" s="1"/>
  <c r="B1927" i="8" s="1"/>
  <c r="B1928" i="8" s="1"/>
  <c r="B1929" i="8" s="1"/>
  <c r="B1930" i="8" s="1"/>
  <c r="B1931" i="8" s="1"/>
  <c r="B1932" i="8" s="1"/>
  <c r="B1933" i="8" s="1"/>
  <c r="B1934" i="8" s="1"/>
  <c r="B1935" i="8" s="1"/>
  <c r="B1936" i="8" s="1"/>
  <c r="B1937" i="8" s="1"/>
  <c r="B1938" i="8" s="1"/>
  <c r="B1939" i="8" s="1"/>
  <c r="B1940" i="8" s="1"/>
  <c r="B1941" i="8" s="1"/>
  <c r="B1942" i="8" s="1"/>
  <c r="B1943" i="8" s="1"/>
  <c r="B1944" i="8" s="1"/>
  <c r="B1945" i="8" s="1"/>
  <c r="B1946" i="8" s="1"/>
  <c r="B1947" i="8" s="1"/>
  <c r="B1948" i="8" s="1"/>
  <c r="B1949" i="8" s="1"/>
  <c r="B1950" i="8" s="1"/>
  <c r="B1951" i="8" s="1"/>
  <c r="B1952" i="8" s="1"/>
  <c r="B1953" i="8" s="1"/>
  <c r="B1954" i="8" s="1"/>
  <c r="B1955" i="8" s="1"/>
  <c r="B1956" i="8" s="1"/>
  <c r="B1957" i="8" s="1"/>
  <c r="B1958" i="8" s="1"/>
  <c r="B1959" i="8" s="1"/>
  <c r="B1960" i="8" s="1"/>
  <c r="B1961" i="8" s="1"/>
  <c r="B1962" i="8" s="1"/>
  <c r="B1963" i="8" s="1"/>
  <c r="B1964" i="8" s="1"/>
  <c r="B1965" i="8" s="1"/>
  <c r="B1966" i="8" s="1"/>
  <c r="B1967" i="8" s="1"/>
  <c r="B1968" i="8" s="1"/>
  <c r="B1969" i="8" s="1"/>
  <c r="B1970" i="8" s="1"/>
  <c r="B1971" i="8" s="1"/>
  <c r="B1972" i="8" s="1"/>
  <c r="B1973" i="8" s="1"/>
  <c r="B1974" i="8" s="1"/>
  <c r="B1975" i="8" s="1"/>
  <c r="B1976" i="8" s="1"/>
  <c r="B1977" i="8" s="1"/>
  <c r="B1978" i="8" s="1"/>
  <c r="B1979" i="8" s="1"/>
  <c r="B1980" i="8" s="1"/>
  <c r="B1837" i="8"/>
  <c r="B1838" i="8" s="1"/>
  <c r="B1839" i="8" s="1"/>
  <c r="B1840" i="8" s="1"/>
  <c r="B1841" i="8" s="1"/>
  <c r="B1842" i="8" s="1"/>
  <c r="B1843" i="8" s="1"/>
  <c r="B1844" i="8" s="1"/>
  <c r="B1845" i="8" s="1"/>
  <c r="B1846" i="8" s="1"/>
  <c r="B1847" i="8" s="1"/>
  <c r="B1848" i="8" s="1"/>
  <c r="B1849" i="8" s="1"/>
  <c r="B1850" i="8" s="1"/>
  <c r="B1851" i="8" s="1"/>
  <c r="B1852" i="8" s="1"/>
  <c r="B1853" i="8" s="1"/>
  <c r="B1854" i="8" s="1"/>
  <c r="B1855" i="8" s="1"/>
  <c r="B1856" i="8" s="1"/>
  <c r="B1857" i="8" s="1"/>
  <c r="B1858" i="8" s="1"/>
  <c r="B1859" i="8" s="1"/>
  <c r="B1860" i="8" s="1"/>
  <c r="B1861" i="8" s="1"/>
  <c r="B1862" i="8" s="1"/>
  <c r="B1863" i="8" s="1"/>
  <c r="B1864" i="8" s="1"/>
  <c r="B1865" i="8" s="1"/>
  <c r="B1866" i="8" s="1"/>
  <c r="B1867" i="8" s="1"/>
  <c r="B1868" i="8" s="1"/>
  <c r="B1869" i="8" s="1"/>
  <c r="B1870" i="8" s="1"/>
  <c r="B1871" i="8" s="1"/>
  <c r="B1872" i="8" s="1"/>
  <c r="B1873" i="8" s="1"/>
  <c r="B1874" i="8" s="1"/>
  <c r="B1875" i="8" s="1"/>
  <c r="B1876" i="8" s="1"/>
  <c r="B1877" i="8" s="1"/>
  <c r="B1878" i="8" s="1"/>
  <c r="B1879" i="8" s="1"/>
  <c r="B1880" i="8" s="1"/>
  <c r="B1881" i="8" s="1"/>
  <c r="B1882" i="8" s="1"/>
  <c r="B1883" i="8" s="1"/>
  <c r="B1884" i="8" s="1"/>
  <c r="B1885" i="8" s="1"/>
  <c r="B1886" i="8" s="1"/>
  <c r="B1887" i="8" s="1"/>
  <c r="B1888" i="8" s="1"/>
  <c r="B1889" i="8" s="1"/>
  <c r="B1890" i="8" s="1"/>
  <c r="B1891" i="8" s="1"/>
  <c r="B1892" i="8" s="1"/>
  <c r="B1893" i="8" s="1"/>
  <c r="B1894" i="8" s="1"/>
  <c r="B1895" i="8" s="1"/>
  <c r="B1896" i="8" s="1"/>
  <c r="B1897" i="8" s="1"/>
  <c r="B1898" i="8" s="1"/>
  <c r="B1899" i="8" s="1"/>
  <c r="B1900" i="8" s="1"/>
  <c r="B1901" i="8" s="1"/>
  <c r="B1902" i="8" s="1"/>
  <c r="B1903" i="8" s="1"/>
  <c r="B1904" i="8" s="1"/>
  <c r="B1905" i="8" s="1"/>
  <c r="B1906" i="8" s="1"/>
  <c r="B1907" i="8" s="1"/>
  <c r="B1805" i="8"/>
  <c r="B1806" i="8" s="1"/>
  <c r="B1807" i="8" s="1"/>
  <c r="B1808" i="8" s="1"/>
  <c r="B1809" i="8" s="1"/>
  <c r="B1810" i="8" s="1"/>
  <c r="B1811" i="8" s="1"/>
  <c r="B1812" i="8" s="1"/>
  <c r="B1813" i="8" s="1"/>
  <c r="B1814" i="8" s="1"/>
  <c r="B1815" i="8" s="1"/>
  <c r="B1816" i="8" s="1"/>
  <c r="B1817" i="8" s="1"/>
  <c r="B1818" i="8" s="1"/>
  <c r="B1819" i="8" s="1"/>
  <c r="B1820" i="8" s="1"/>
  <c r="B1821" i="8" s="1"/>
  <c r="B1822" i="8" s="1"/>
  <c r="B1823" i="8" s="1"/>
  <c r="B1824" i="8" s="1"/>
  <c r="B1825" i="8" s="1"/>
  <c r="B1826" i="8" s="1"/>
  <c r="B1827" i="8" s="1"/>
  <c r="B1828" i="8" s="1"/>
  <c r="B1829" i="8" s="1"/>
  <c r="B1830" i="8" s="1"/>
  <c r="B1831" i="8" s="1"/>
  <c r="B1832" i="8" s="1"/>
  <c r="B1833" i="8" s="1"/>
  <c r="B1834" i="8" s="1"/>
  <c r="B1835" i="8" s="1"/>
  <c r="B1728" i="8"/>
  <c r="B1729" i="8" s="1"/>
  <c r="B1730" i="8" s="1"/>
  <c r="B1731" i="8" s="1"/>
  <c r="B1732" i="8" s="1"/>
  <c r="B1733" i="8" s="1"/>
  <c r="B1734" i="8" s="1"/>
  <c r="B1735" i="8" s="1"/>
  <c r="B1736" i="8" s="1"/>
  <c r="B1737" i="8" s="1"/>
  <c r="B1738" i="8" s="1"/>
  <c r="B1739" i="8" s="1"/>
  <c r="B1740" i="8" s="1"/>
  <c r="B1741" i="8" s="1"/>
  <c r="B1742" i="8" s="1"/>
  <c r="B1743" i="8" s="1"/>
  <c r="B1744" i="8" s="1"/>
  <c r="B1745" i="8" s="1"/>
  <c r="B1746" i="8" s="1"/>
  <c r="B1747" i="8" s="1"/>
  <c r="B1748" i="8" s="1"/>
  <c r="B1749" i="8" s="1"/>
  <c r="B1750" i="8" s="1"/>
  <c r="B1751" i="8" s="1"/>
  <c r="B1752" i="8" s="1"/>
  <c r="B1753" i="8" s="1"/>
  <c r="B1754" i="8" s="1"/>
  <c r="B1755" i="8" s="1"/>
  <c r="B1756" i="8" s="1"/>
  <c r="B1757" i="8" s="1"/>
  <c r="B1758" i="8" s="1"/>
  <c r="B1759" i="8" s="1"/>
  <c r="B1760" i="8" s="1"/>
  <c r="B1761" i="8" s="1"/>
  <c r="B1762" i="8" s="1"/>
  <c r="B1763" i="8" s="1"/>
  <c r="B1764" i="8" s="1"/>
  <c r="B1765" i="8" s="1"/>
  <c r="B1766" i="8" s="1"/>
  <c r="B1767" i="8" s="1"/>
  <c r="B1768" i="8" s="1"/>
  <c r="B1769" i="8" s="1"/>
  <c r="B1770" i="8" s="1"/>
  <c r="B1771" i="8" s="1"/>
  <c r="B1772" i="8" s="1"/>
  <c r="B1773" i="8" s="1"/>
  <c r="B1774" i="8" s="1"/>
  <c r="B1775" i="8" s="1"/>
  <c r="B1776" i="8" s="1"/>
  <c r="B1777" i="8" s="1"/>
  <c r="B1778" i="8" s="1"/>
  <c r="B1779" i="8" s="1"/>
  <c r="B1780" i="8" s="1"/>
  <c r="B1781" i="8" s="1"/>
  <c r="B1782" i="8" s="1"/>
  <c r="B1783" i="8" s="1"/>
  <c r="B1784" i="8" s="1"/>
  <c r="B1785" i="8" s="1"/>
  <c r="B1786" i="8" s="1"/>
  <c r="B1787" i="8" s="1"/>
  <c r="B1788" i="8" s="1"/>
  <c r="B1789" i="8" s="1"/>
  <c r="B1790" i="8" s="1"/>
  <c r="B1791" i="8" s="1"/>
  <c r="B1792" i="8" s="1"/>
  <c r="B1793" i="8" s="1"/>
  <c r="B1794" i="8" s="1"/>
  <c r="B1795" i="8" s="1"/>
  <c r="B1796" i="8" s="1"/>
  <c r="B1797" i="8" s="1"/>
  <c r="B1798" i="8" s="1"/>
  <c r="B1799" i="8" s="1"/>
  <c r="B1800" i="8" s="1"/>
  <c r="B1801" i="8" s="1"/>
  <c r="B1802" i="8" s="1"/>
  <c r="B1803" i="8" s="1"/>
  <c r="A37" i="7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777" i="7" s="1"/>
  <c r="A1778" i="7" s="1"/>
  <c r="A1779" i="7" s="1"/>
  <c r="A1780" i="7" s="1"/>
  <c r="A1781" i="7" s="1"/>
  <c r="A1782" i="7" s="1"/>
  <c r="A1783" i="7" s="1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831" i="7" s="1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852" i="7" s="1"/>
  <c r="A1853" i="7" s="1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67" i="7" s="1"/>
  <c r="A1868" i="7" s="1"/>
  <c r="A1869" i="7" s="1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918" i="7" s="1"/>
  <c r="A1919" i="7" s="1"/>
  <c r="A1920" i="7" s="1"/>
  <c r="A1921" i="7" s="1"/>
  <c r="A1922" i="7" s="1"/>
  <c r="A1923" i="7" s="1"/>
  <c r="A1924" i="7" s="1"/>
  <c r="A1925" i="7" s="1"/>
  <c r="A1926" i="7" s="1"/>
  <c r="A1927" i="7" s="1"/>
  <c r="A1928" i="7" s="1"/>
  <c r="A1929" i="7" s="1"/>
  <c r="A1930" i="7" s="1"/>
  <c r="A1931" i="7" s="1"/>
  <c r="A1932" i="7" s="1"/>
  <c r="A1933" i="7" s="1"/>
  <c r="A1934" i="7" s="1"/>
  <c r="A1935" i="7" s="1"/>
  <c r="A1936" i="7" s="1"/>
  <c r="A1937" i="7" s="1"/>
  <c r="A1938" i="7" s="1"/>
  <c r="A1939" i="7" s="1"/>
  <c r="A1940" i="7" s="1"/>
  <c r="A1941" i="7" s="1"/>
  <c r="A1942" i="7" s="1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59" i="7" s="1"/>
  <c r="A1960" i="7" s="1"/>
  <c r="A1961" i="7" s="1"/>
  <c r="A1962" i="7" s="1"/>
  <c r="A1963" i="7" s="1"/>
  <c r="A1964" i="7" s="1"/>
  <c r="A1965" i="7" s="1"/>
  <c r="A1966" i="7" s="1"/>
  <c r="A1967" i="7" s="1"/>
  <c r="A1968" i="7" s="1"/>
  <c r="A1969" i="7" s="1"/>
  <c r="A1970" i="7" s="1"/>
  <c r="A1971" i="7" s="1"/>
  <c r="A1972" i="7" s="1"/>
  <c r="A1973" i="7" s="1"/>
  <c r="A1974" i="7" s="1"/>
  <c r="A1975" i="7" s="1"/>
  <c r="A1976" i="7" s="1"/>
  <c r="A1977" i="7" s="1"/>
  <c r="A1978" i="7" s="1"/>
  <c r="A1979" i="7" s="1"/>
  <c r="A1980" i="7" s="1"/>
  <c r="A1981" i="7" s="1"/>
  <c r="A1982" i="7" s="1"/>
  <c r="A1983" i="7" s="1"/>
  <c r="A1984" i="7" s="1"/>
  <c r="A1985" i="7" s="1"/>
  <c r="A1986" i="7" s="1"/>
  <c r="A1987" i="7" s="1"/>
  <c r="A1988" i="7" s="1"/>
  <c r="A1989" i="7" s="1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2002" i="7" s="1"/>
  <c r="A2003" i="7" s="1"/>
  <c r="A2004" i="7" s="1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38" i="7" s="1"/>
  <c r="A2039" i="7" s="1"/>
  <c r="A2040" i="7" s="1"/>
  <c r="A2041" i="7" s="1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146" i="7" s="1"/>
  <c r="A2147" i="7" s="1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B2171" i="7"/>
  <c r="B2172" i="7" s="1"/>
  <c r="B2173" i="7" s="1"/>
  <c r="B2174" i="7" s="1"/>
  <c r="B2175" i="7" s="1"/>
  <c r="B2176" i="7" s="1"/>
  <c r="B2177" i="7" s="1"/>
  <c r="B2178" i="7" s="1"/>
  <c r="B2179" i="7" s="1"/>
  <c r="B2180" i="7" s="1"/>
  <c r="B2181" i="7" s="1"/>
  <c r="B2182" i="7" s="1"/>
  <c r="B2183" i="7" s="1"/>
  <c r="B2184" i="7" s="1"/>
  <c r="B2185" i="7" s="1"/>
  <c r="B2186" i="7" s="1"/>
  <c r="E2171" i="7"/>
  <c r="E2172" i="7"/>
  <c r="E2173" i="7"/>
  <c r="E2174" i="7" s="1"/>
  <c r="E2175" i="7" s="1"/>
  <c r="E2176" i="7" s="1"/>
  <c r="E2177" i="7" s="1"/>
  <c r="E2178" i="7" s="1"/>
  <c r="E2179" i="7" s="1"/>
  <c r="E2180" i="7" s="1"/>
  <c r="E2181" i="7" s="1"/>
  <c r="E2182" i="7" s="1"/>
  <c r="E2183" i="7" s="1"/>
  <c r="E2184" i="7" s="1"/>
  <c r="E2185" i="7" s="1"/>
  <c r="E2186" i="7" s="1"/>
  <c r="B2120" i="7"/>
  <c r="B2121" i="7"/>
  <c r="B2122" i="7"/>
  <c r="B2123" i="7" s="1"/>
  <c r="B2124" i="7" s="1"/>
  <c r="B2125" i="7" s="1"/>
  <c r="B2126" i="7" s="1"/>
  <c r="B2127" i="7" s="1"/>
  <c r="B2128" i="7" s="1"/>
  <c r="B2129" i="7" s="1"/>
  <c r="B2130" i="7" s="1"/>
  <c r="B2131" i="7" s="1"/>
  <c r="B2132" i="7" s="1"/>
  <c r="B2133" i="7" s="1"/>
  <c r="B2134" i="7" s="1"/>
  <c r="B2135" i="7" s="1"/>
  <c r="B2136" i="7" s="1"/>
  <c r="B2137" i="7" s="1"/>
  <c r="B2138" i="7" s="1"/>
  <c r="B2139" i="7" s="1"/>
  <c r="B2140" i="7" s="1"/>
  <c r="B2141" i="7" s="1"/>
  <c r="B2142" i="7" s="1"/>
  <c r="B2143" i="7" s="1"/>
  <c r="B2144" i="7" s="1"/>
  <c r="B2145" i="7" s="1"/>
  <c r="B2146" i="7" s="1"/>
  <c r="B2147" i="7" s="1"/>
  <c r="B2148" i="7" s="1"/>
  <c r="B2149" i="7" s="1"/>
  <c r="B2150" i="7" s="1"/>
  <c r="B2151" i="7" s="1"/>
  <c r="B2152" i="7" s="1"/>
  <c r="B2153" i="7" s="1"/>
  <c r="B2154" i="7" s="1"/>
  <c r="B2155" i="7" s="1"/>
  <c r="B2156" i="7" s="1"/>
  <c r="B2157" i="7" s="1"/>
  <c r="B2158" i="7" s="1"/>
  <c r="B2159" i="7" s="1"/>
  <c r="B2160" i="7" s="1"/>
  <c r="B2161" i="7" s="1"/>
  <c r="B2162" i="7" s="1"/>
  <c r="B2163" i="7" s="1"/>
  <c r="B2164" i="7" s="1"/>
  <c r="B2165" i="7" s="1"/>
  <c r="B2166" i="7" s="1"/>
  <c r="B2167" i="7" s="1"/>
  <c r="B2168" i="7" s="1"/>
  <c r="B2169" i="7" s="1"/>
  <c r="B2105" i="7"/>
  <c r="B2106" i="7" s="1"/>
  <c r="B2107" i="7" s="1"/>
  <c r="B2108" i="7" s="1"/>
  <c r="B2109" i="7" s="1"/>
  <c r="B2110" i="7" s="1"/>
  <c r="B2111" i="7" s="1"/>
  <c r="B2112" i="7" s="1"/>
  <c r="B2113" i="7" s="1"/>
  <c r="B2114" i="7" s="1"/>
  <c r="B2115" i="7" s="1"/>
  <c r="B2116" i="7" s="1"/>
  <c r="B2117" i="7" s="1"/>
  <c r="B2118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A1603" i="8" s="1"/>
  <c r="A1604" i="8" s="1"/>
  <c r="A1605" i="8" s="1"/>
  <c r="A1606" i="8" s="1"/>
  <c r="A1607" i="8" s="1"/>
  <c r="A1608" i="8" s="1"/>
  <c r="A1609" i="8" s="1"/>
  <c r="A1610" i="8" s="1"/>
  <c r="A1611" i="8" s="1"/>
  <c r="A1612" i="8" s="1"/>
  <c r="A1613" i="8" s="1"/>
  <c r="A1614" i="8" s="1"/>
  <c r="A1615" i="8" s="1"/>
  <c r="A1616" i="8" s="1"/>
  <c r="A1617" i="8" s="1"/>
  <c r="A1618" i="8" s="1"/>
  <c r="A1619" i="8" s="1"/>
  <c r="A1620" i="8" s="1"/>
  <c r="A1621" i="8" s="1"/>
  <c r="A1622" i="8" s="1"/>
  <c r="A1623" i="8" s="1"/>
  <c r="A1624" i="8" s="1"/>
  <c r="A1625" i="8" s="1"/>
  <c r="A1626" i="8" s="1"/>
  <c r="A1627" i="8" s="1"/>
  <c r="A1628" i="8" s="1"/>
  <c r="A1629" i="8" s="1"/>
  <c r="A1630" i="8" s="1"/>
  <c r="A1631" i="8" s="1"/>
  <c r="A1632" i="8" s="1"/>
  <c r="A1633" i="8" s="1"/>
  <c r="A1634" i="8" s="1"/>
  <c r="A1635" i="8" s="1"/>
  <c r="A1636" i="8" s="1"/>
  <c r="A1637" i="8" s="1"/>
  <c r="A1638" i="8" s="1"/>
  <c r="A1639" i="8" s="1"/>
  <c r="A1640" i="8" s="1"/>
  <c r="A1641" i="8" s="1"/>
  <c r="A1642" i="8" s="1"/>
  <c r="A1643" i="8" s="1"/>
  <c r="A1644" i="8" s="1"/>
  <c r="A1645" i="8" s="1"/>
  <c r="A1646" i="8" s="1"/>
  <c r="A1647" i="8" s="1"/>
  <c r="A1648" i="8" s="1"/>
  <c r="A1649" i="8" s="1"/>
  <c r="A1650" i="8" s="1"/>
  <c r="A1651" i="8" s="1"/>
  <c r="A1652" i="8" s="1"/>
  <c r="A1653" i="8" s="1"/>
  <c r="A1654" i="8" s="1"/>
  <c r="A1655" i="8" s="1"/>
  <c r="A1656" i="8" s="1"/>
  <c r="A1657" i="8" s="1"/>
  <c r="A1658" i="8" s="1"/>
  <c r="A1659" i="8" s="1"/>
  <c r="A1660" i="8" s="1"/>
  <c r="A1661" i="8" s="1"/>
  <c r="A1662" i="8" s="1"/>
  <c r="A1663" i="8" s="1"/>
  <c r="A1664" i="8" s="1"/>
  <c r="A1665" i="8" s="1"/>
  <c r="A1666" i="8" s="1"/>
  <c r="A1667" i="8" s="1"/>
  <c r="A1668" i="8" s="1"/>
  <c r="A1669" i="8" s="1"/>
  <c r="A1670" i="8" s="1"/>
  <c r="A1671" i="8" s="1"/>
  <c r="A1672" i="8" s="1"/>
  <c r="A1673" i="8" s="1"/>
  <c r="A1674" i="8" s="1"/>
  <c r="A1675" i="8" s="1"/>
  <c r="A1676" i="8" s="1"/>
  <c r="A1677" i="8" s="1"/>
  <c r="A1678" i="8" s="1"/>
  <c r="A1679" i="8" s="1"/>
  <c r="A1680" i="8" s="1"/>
  <c r="A1681" i="8" s="1"/>
  <c r="A1682" i="8" s="1"/>
  <c r="A1683" i="8" s="1"/>
  <c r="A1684" i="8" s="1"/>
  <c r="A1685" i="8" s="1"/>
  <c r="A1686" i="8" s="1"/>
  <c r="A1687" i="8" s="1"/>
  <c r="A1688" i="8" s="1"/>
  <c r="A1689" i="8" s="1"/>
  <c r="A1690" i="8" s="1"/>
  <c r="A1691" i="8" s="1"/>
  <c r="A1692" i="8" s="1"/>
  <c r="A1693" i="8" s="1"/>
  <c r="A1694" i="8" s="1"/>
  <c r="A1695" i="8" s="1"/>
  <c r="A1696" i="8" s="1"/>
  <c r="A1697" i="8" s="1"/>
  <c r="A1698" i="8" s="1"/>
  <c r="A1699" i="8" s="1"/>
  <c r="A1700" i="8" s="1"/>
  <c r="A1701" i="8" s="1"/>
  <c r="A1702" i="8" s="1"/>
  <c r="A1703" i="8" s="1"/>
  <c r="A1704" i="8" s="1"/>
  <c r="A1705" i="8" s="1"/>
  <c r="A1706" i="8" s="1"/>
  <c r="A1707" i="8" s="1"/>
  <c r="A1708" i="8" s="1"/>
  <c r="A1709" i="8" s="1"/>
  <c r="A1710" i="8" s="1"/>
  <c r="A1711" i="8" s="1"/>
  <c r="A1712" i="8" s="1"/>
  <c r="A1713" i="8" s="1"/>
  <c r="A1714" i="8" s="1"/>
  <c r="A1715" i="8" s="1"/>
  <c r="A1716" i="8" s="1"/>
  <c r="A1717" i="8" s="1"/>
  <c r="A1718" i="8" s="1"/>
  <c r="A1719" i="8" s="1"/>
  <c r="A1720" i="8" s="1"/>
  <c r="A1721" i="8" s="1"/>
  <c r="A1722" i="8" s="1"/>
  <c r="A1723" i="8" s="1"/>
  <c r="A1724" i="8" s="1"/>
  <c r="A1725" i="8" s="1"/>
  <c r="A1726" i="8" s="1"/>
  <c r="A1727" i="8" s="1"/>
  <c r="A1728" i="8" s="1"/>
  <c r="A1729" i="8" s="1"/>
  <c r="A1730" i="8" s="1"/>
  <c r="A1731" i="8" s="1"/>
  <c r="A1732" i="8" s="1"/>
  <c r="A1733" i="8" s="1"/>
  <c r="A1734" i="8" s="1"/>
  <c r="A1735" i="8" s="1"/>
  <c r="A1736" i="8" s="1"/>
  <c r="A1737" i="8" s="1"/>
  <c r="A1738" i="8" s="1"/>
  <c r="A1739" i="8" s="1"/>
  <c r="A1740" i="8" s="1"/>
  <c r="A1741" i="8" s="1"/>
  <c r="A1742" i="8" s="1"/>
  <c r="A1743" i="8" s="1"/>
  <c r="A1744" i="8" s="1"/>
  <c r="A1745" i="8" s="1"/>
  <c r="A1746" i="8" s="1"/>
  <c r="A1747" i="8" s="1"/>
  <c r="A1748" i="8" s="1"/>
  <c r="A1749" i="8" s="1"/>
  <c r="A1750" i="8" s="1"/>
  <c r="A1751" i="8" s="1"/>
  <c r="A1752" i="8" s="1"/>
  <c r="A1753" i="8" s="1"/>
  <c r="A1754" i="8" s="1"/>
  <c r="A1755" i="8" s="1"/>
  <c r="A1756" i="8" s="1"/>
  <c r="A1757" i="8" s="1"/>
  <c r="A1758" i="8" s="1"/>
  <c r="A1759" i="8" s="1"/>
  <c r="A1760" i="8" s="1"/>
  <c r="A1761" i="8" s="1"/>
  <c r="A1762" i="8" s="1"/>
  <c r="A1763" i="8" s="1"/>
  <c r="A1764" i="8" s="1"/>
  <c r="A1765" i="8" s="1"/>
  <c r="A1766" i="8" s="1"/>
  <c r="A1767" i="8" s="1"/>
  <c r="A1768" i="8" s="1"/>
  <c r="A1769" i="8" s="1"/>
  <c r="A1770" i="8" s="1"/>
  <c r="A1771" i="8" s="1"/>
  <c r="A1772" i="8" s="1"/>
  <c r="A1773" i="8" s="1"/>
  <c r="A1774" i="8" s="1"/>
  <c r="A1775" i="8" s="1"/>
  <c r="A1776" i="8" s="1"/>
  <c r="A1777" i="8" s="1"/>
  <c r="A1778" i="8" s="1"/>
  <c r="A1779" i="8" s="1"/>
  <c r="A1780" i="8" s="1"/>
  <c r="A1781" i="8" s="1"/>
  <c r="A1782" i="8" s="1"/>
  <c r="A1783" i="8" s="1"/>
  <c r="A1784" i="8" s="1"/>
  <c r="A1785" i="8" s="1"/>
  <c r="A1786" i="8" s="1"/>
  <c r="A1787" i="8" s="1"/>
  <c r="A1788" i="8" s="1"/>
  <c r="A1789" i="8" s="1"/>
  <c r="A1790" i="8" s="1"/>
  <c r="A1791" i="8" s="1"/>
  <c r="A1792" i="8" s="1"/>
  <c r="A1793" i="8" s="1"/>
  <c r="A1794" i="8" s="1"/>
  <c r="A1795" i="8" s="1"/>
  <c r="A1796" i="8" s="1"/>
  <c r="A1797" i="8" s="1"/>
  <c r="A1798" i="8" s="1"/>
  <c r="A1799" i="8" s="1"/>
  <c r="A1800" i="8" s="1"/>
  <c r="A1801" i="8" s="1"/>
  <c r="A1802" i="8" s="1"/>
  <c r="A1803" i="8" s="1"/>
  <c r="A1804" i="8" s="1"/>
  <c r="A1805" i="8" s="1"/>
  <c r="A1806" i="8" s="1"/>
  <c r="A1807" i="8" s="1"/>
  <c r="A1808" i="8" s="1"/>
  <c r="A1809" i="8" s="1"/>
  <c r="A1810" i="8" s="1"/>
  <c r="A1811" i="8" s="1"/>
  <c r="A1812" i="8" s="1"/>
  <c r="A1813" i="8" s="1"/>
  <c r="A1814" i="8" s="1"/>
  <c r="A1815" i="8" s="1"/>
  <c r="A1816" i="8" s="1"/>
  <c r="A1817" i="8" s="1"/>
  <c r="A1818" i="8" s="1"/>
  <c r="A1819" i="8" s="1"/>
  <c r="A1820" i="8" s="1"/>
  <c r="A1821" i="8" s="1"/>
  <c r="A1822" i="8" s="1"/>
  <c r="A1823" i="8" s="1"/>
  <c r="A1824" i="8" s="1"/>
  <c r="A1825" i="8" s="1"/>
  <c r="A1826" i="8" s="1"/>
  <c r="A1827" i="8" s="1"/>
  <c r="A1828" i="8" s="1"/>
  <c r="A1829" i="8" s="1"/>
  <c r="A1830" i="8" s="1"/>
  <c r="A1831" i="8" s="1"/>
  <c r="A1832" i="8" s="1"/>
  <c r="A1833" i="8" s="1"/>
  <c r="A1834" i="8" s="1"/>
  <c r="A1835" i="8" s="1"/>
  <c r="A1836" i="8" s="1"/>
  <c r="A1837" i="8" s="1"/>
  <c r="A1838" i="8" s="1"/>
  <c r="A1839" i="8" s="1"/>
  <c r="A1840" i="8" s="1"/>
  <c r="A1841" i="8" s="1"/>
  <c r="A1842" i="8" s="1"/>
  <c r="A1843" i="8" s="1"/>
  <c r="A1844" i="8" s="1"/>
  <c r="A1845" i="8" s="1"/>
  <c r="A1846" i="8" s="1"/>
  <c r="A1847" i="8" s="1"/>
  <c r="A1848" i="8" s="1"/>
  <c r="A1849" i="8" s="1"/>
  <c r="A1850" i="8" s="1"/>
  <c r="A1851" i="8" s="1"/>
  <c r="A1852" i="8" s="1"/>
  <c r="A1853" i="8" s="1"/>
  <c r="A1854" i="8" s="1"/>
  <c r="A1855" i="8" s="1"/>
  <c r="A1856" i="8" s="1"/>
  <c r="A1857" i="8" s="1"/>
  <c r="A1858" i="8" s="1"/>
  <c r="A1859" i="8" s="1"/>
  <c r="A1860" i="8" s="1"/>
  <c r="A1861" i="8" s="1"/>
  <c r="A1862" i="8" s="1"/>
  <c r="A1863" i="8" s="1"/>
  <c r="A1864" i="8" s="1"/>
  <c r="A1865" i="8" s="1"/>
  <c r="A1866" i="8" s="1"/>
  <c r="A1867" i="8" s="1"/>
  <c r="A1868" i="8" s="1"/>
  <c r="A1869" i="8" s="1"/>
  <c r="A1870" i="8" s="1"/>
  <c r="A1871" i="8" s="1"/>
  <c r="A1872" i="8" s="1"/>
  <c r="A1873" i="8" s="1"/>
  <c r="A1874" i="8" s="1"/>
  <c r="A1875" i="8" s="1"/>
  <c r="A1876" i="8" s="1"/>
  <c r="A1877" i="8" s="1"/>
  <c r="A1878" i="8" s="1"/>
  <c r="A1879" i="8" s="1"/>
  <c r="A1880" i="8" s="1"/>
  <c r="A1881" i="8" s="1"/>
  <c r="A1882" i="8" s="1"/>
  <c r="A1883" i="8" s="1"/>
  <c r="A1884" i="8" s="1"/>
  <c r="A1885" i="8" s="1"/>
  <c r="A1886" i="8" s="1"/>
  <c r="A1887" i="8" s="1"/>
  <c r="A1888" i="8" s="1"/>
  <c r="A1889" i="8" s="1"/>
  <c r="A1890" i="8" s="1"/>
  <c r="A1891" i="8" s="1"/>
  <c r="A1892" i="8" s="1"/>
  <c r="A1893" i="8" s="1"/>
  <c r="A1894" i="8" s="1"/>
  <c r="A1895" i="8" s="1"/>
  <c r="A1896" i="8" s="1"/>
  <c r="A1897" i="8" s="1"/>
  <c r="A1898" i="8" s="1"/>
  <c r="A1899" i="8" s="1"/>
  <c r="A1900" i="8" s="1"/>
  <c r="A1901" i="8" s="1"/>
  <c r="A1902" i="8" s="1"/>
  <c r="A1903" i="8" s="1"/>
  <c r="A1904" i="8" s="1"/>
  <c r="A1905" i="8" s="1"/>
  <c r="A1906" i="8" s="1"/>
  <c r="A1907" i="8" s="1"/>
  <c r="A1908" i="8" s="1"/>
  <c r="A1909" i="8" s="1"/>
  <c r="A1910" i="8" s="1"/>
  <c r="A1911" i="8" s="1"/>
  <c r="A1912" i="8" s="1"/>
  <c r="A1913" i="8" s="1"/>
  <c r="A1914" i="8" s="1"/>
  <c r="A1915" i="8" s="1"/>
  <c r="A1916" i="8" s="1"/>
  <c r="A1917" i="8" s="1"/>
  <c r="A1918" i="8" s="1"/>
  <c r="A1919" i="8" s="1"/>
  <c r="A1920" i="8" s="1"/>
  <c r="A1921" i="8" s="1"/>
  <c r="A1922" i="8" s="1"/>
  <c r="A1923" i="8" s="1"/>
  <c r="A1924" i="8" s="1"/>
  <c r="A1925" i="8" s="1"/>
  <c r="A1926" i="8" s="1"/>
  <c r="A1927" i="8" s="1"/>
  <c r="A1928" i="8" s="1"/>
  <c r="A1929" i="8" s="1"/>
  <c r="A1930" i="8" s="1"/>
  <c r="A1931" i="8" s="1"/>
  <c r="A1932" i="8" s="1"/>
  <c r="A1933" i="8" s="1"/>
  <c r="A1934" i="8" s="1"/>
  <c r="A1935" i="8" s="1"/>
  <c r="A1936" i="8" s="1"/>
  <c r="A1937" i="8" s="1"/>
  <c r="A1938" i="8" s="1"/>
  <c r="A1939" i="8" s="1"/>
  <c r="A1940" i="8" s="1"/>
  <c r="A1941" i="8" s="1"/>
  <c r="A1942" i="8" s="1"/>
  <c r="A1943" i="8" s="1"/>
  <c r="A1944" i="8" s="1"/>
  <c r="A1945" i="8" s="1"/>
  <c r="A1946" i="8" s="1"/>
  <c r="A1947" i="8" s="1"/>
  <c r="A1948" i="8" s="1"/>
  <c r="A1949" i="8" s="1"/>
  <c r="A1950" i="8" s="1"/>
  <c r="A1951" i="8" s="1"/>
  <c r="A1952" i="8" s="1"/>
  <c r="A1953" i="8" s="1"/>
  <c r="A1954" i="8" s="1"/>
  <c r="A1955" i="8" s="1"/>
  <c r="A1956" i="8" s="1"/>
  <c r="A1957" i="8" s="1"/>
  <c r="A1958" i="8" s="1"/>
  <c r="A1959" i="8" s="1"/>
  <c r="A1960" i="8" s="1"/>
  <c r="A1961" i="8" s="1"/>
  <c r="A1962" i="8" s="1"/>
  <c r="A1963" i="8" s="1"/>
  <c r="A1964" i="8" s="1"/>
  <c r="A1965" i="8" s="1"/>
  <c r="A1966" i="8" s="1"/>
  <c r="A1967" i="8" s="1"/>
  <c r="A1968" i="8" s="1"/>
  <c r="A1969" i="8" s="1"/>
  <c r="A1970" i="8" s="1"/>
  <c r="A1971" i="8" s="1"/>
  <c r="A1972" i="8" s="1"/>
  <c r="A1973" i="8" s="1"/>
  <c r="A1974" i="8" s="1"/>
  <c r="A1975" i="8" s="1"/>
  <c r="A1976" i="8" s="1"/>
  <c r="A1977" i="8" s="1"/>
  <c r="A1978" i="8" s="1"/>
  <c r="A1979" i="8" s="1"/>
  <c r="A1980" i="8" s="1"/>
  <c r="A1981" i="8" s="1"/>
  <c r="A1982" i="8" s="1"/>
  <c r="A1983" i="8" s="1"/>
  <c r="A1984" i="8" s="1"/>
  <c r="A1985" i="8" s="1"/>
  <c r="A1986" i="8" s="1"/>
  <c r="A1987" i="8" s="1"/>
  <c r="A1988" i="8" s="1"/>
  <c r="A1989" i="8" s="1"/>
  <c r="A1990" i="8" s="1"/>
  <c r="A1991" i="8" s="1"/>
  <c r="A1992" i="8" s="1"/>
  <c r="A1993" i="8" s="1"/>
  <c r="A1994" i="8" s="1"/>
  <c r="A1995" i="8" s="1"/>
  <c r="A1996" i="8" s="1"/>
  <c r="A1997" i="8" s="1"/>
  <c r="A1998" i="8" s="1"/>
  <c r="A1999" i="8" s="1"/>
  <c r="A2000" i="8" s="1"/>
  <c r="A2001" i="8" s="1"/>
  <c r="A2002" i="8" s="1"/>
  <c r="A2003" i="8" s="1"/>
  <c r="A2004" i="8" s="1"/>
  <c r="A2005" i="8" s="1"/>
  <c r="A2006" i="8" s="1"/>
  <c r="A2007" i="8" s="1"/>
  <c r="A2008" i="8" s="1"/>
  <c r="A2009" i="8" s="1"/>
  <c r="A2010" i="8" s="1"/>
  <c r="A2011" i="8" s="1"/>
  <c r="A2012" i="8" s="1"/>
  <c r="A2013" i="8" s="1"/>
  <c r="A2014" i="8" s="1"/>
  <c r="A2015" i="8" s="1"/>
  <c r="A2016" i="8" s="1"/>
  <c r="A2017" i="8" s="1"/>
  <c r="A2018" i="8" s="1"/>
  <c r="A2019" i="8" s="1"/>
  <c r="A2020" i="8" s="1"/>
  <c r="A2021" i="8" s="1"/>
  <c r="A2022" i="8" s="1"/>
  <c r="A2023" i="8" s="1"/>
  <c r="A2024" i="8" s="1"/>
  <c r="A2025" i="8" s="1"/>
  <c r="A2026" i="8" s="1"/>
  <c r="A2027" i="8" s="1"/>
  <c r="A2028" i="8" s="1"/>
  <c r="A2029" i="8" s="1"/>
  <c r="A2030" i="8" s="1"/>
  <c r="A2031" i="8" s="1"/>
  <c r="A2032" i="8" s="1"/>
  <c r="A2033" i="8" s="1"/>
  <c r="A2034" i="8" s="1"/>
  <c r="A2035" i="8" s="1"/>
  <c r="A2036" i="8" s="1"/>
  <c r="A2037" i="8" s="1"/>
  <c r="A2038" i="8" s="1"/>
  <c r="A2039" i="8" s="1"/>
  <c r="A2040" i="8" s="1"/>
  <c r="A2041" i="8" s="1"/>
  <c r="A2042" i="8" s="1"/>
  <c r="A2043" i="8" s="1"/>
  <c r="A2044" i="8" s="1"/>
  <c r="A2045" i="8" s="1"/>
  <c r="A2046" i="8" s="1"/>
  <c r="A2047" i="8" s="1"/>
  <c r="A2048" i="8" s="1"/>
  <c r="A2049" i="8" s="1"/>
  <c r="A2050" i="8" s="1"/>
  <c r="A2051" i="8" s="1"/>
  <c r="A2052" i="8" s="1"/>
  <c r="A2053" i="8" s="1"/>
  <c r="A2054" i="8" s="1"/>
  <c r="A2055" i="8" s="1"/>
  <c r="A2056" i="8" s="1"/>
  <c r="A2057" i="8" s="1"/>
  <c r="A2058" i="8" s="1"/>
  <c r="A2059" i="8" s="1"/>
  <c r="A2060" i="8" s="1"/>
  <c r="A2061" i="8" s="1"/>
  <c r="A2062" i="8" s="1"/>
  <c r="A2063" i="8" s="1"/>
  <c r="A2064" i="8" s="1"/>
  <c r="A2065" i="8" s="1"/>
  <c r="A2066" i="8" s="1"/>
  <c r="A2067" i="8" s="1"/>
  <c r="A2068" i="8" s="1"/>
  <c r="A2069" i="8" s="1"/>
  <c r="A2070" i="8" s="1"/>
  <c r="A2071" i="8" s="1"/>
  <c r="A2072" i="8" s="1"/>
  <c r="A2073" i="8" s="1"/>
  <c r="A2074" i="8" s="1"/>
  <c r="A2075" i="8" s="1"/>
  <c r="A2076" i="8" s="1"/>
  <c r="A2077" i="8" s="1"/>
  <c r="A2078" i="8" s="1"/>
  <c r="A2079" i="8" s="1"/>
  <c r="A2080" i="8" s="1"/>
  <c r="A2081" i="8" s="1"/>
  <c r="A2082" i="8" s="1"/>
  <c r="A2083" i="8" s="1"/>
  <c r="A2084" i="8" s="1"/>
  <c r="A2085" i="8" s="1"/>
  <c r="A2086" i="8" s="1"/>
  <c r="A2087" i="8" s="1"/>
  <c r="A2088" i="8" s="1"/>
  <c r="A2089" i="8" s="1"/>
  <c r="A2090" i="8" s="1"/>
  <c r="A2091" i="8" s="1"/>
  <c r="A2092" i="8" s="1"/>
  <c r="A2093" i="8" s="1"/>
  <c r="A2094" i="8" s="1"/>
  <c r="A2095" i="8" s="1"/>
  <c r="A2096" i="8" s="1"/>
  <c r="A2097" i="8" s="1"/>
  <c r="A2098" i="8" s="1"/>
  <c r="A2099" i="8" s="1"/>
  <c r="A2100" i="8" s="1"/>
  <c r="A2101" i="8" s="1"/>
  <c r="A2102" i="8" s="1"/>
  <c r="A2103" i="8" s="1"/>
  <c r="A2104" i="8" s="1"/>
  <c r="A2105" i="8" s="1"/>
  <c r="A2106" i="8" s="1"/>
  <c r="A2107" i="8" s="1"/>
  <c r="A2108" i="8" s="1"/>
  <c r="A2109" i="8" s="1"/>
  <c r="A2110" i="8" s="1"/>
  <c r="A2111" i="8" s="1"/>
  <c r="A2112" i="8" s="1"/>
  <c r="A2113" i="8" s="1"/>
  <c r="A2114" i="8" s="1"/>
  <c r="A2115" i="8" s="1"/>
  <c r="A2116" i="8" s="1"/>
  <c r="A2117" i="8" s="1"/>
  <c r="A2118" i="8" s="1"/>
  <c r="A2119" i="8" s="1"/>
  <c r="A2120" i="8" s="1"/>
  <c r="A2121" i="8" s="1"/>
  <c r="A2122" i="8" s="1"/>
  <c r="A2123" i="8" s="1"/>
  <c r="A2124" i="8" s="1"/>
  <c r="A2125" i="8" s="1"/>
  <c r="A2126" i="8" s="1"/>
  <c r="A2127" i="8" s="1"/>
  <c r="A2128" i="8" s="1"/>
  <c r="A2129" i="8" s="1"/>
  <c r="A2130" i="8" s="1"/>
  <c r="A2131" i="8" s="1"/>
  <c r="A2132" i="8" s="1"/>
  <c r="A2133" i="8" s="1"/>
  <c r="A2134" i="8" s="1"/>
  <c r="A2135" i="8" s="1"/>
  <c r="A2136" i="8" s="1"/>
  <c r="A2137" i="8" s="1"/>
  <c r="A2138" i="8" s="1"/>
  <c r="A2139" i="8" s="1"/>
  <c r="A2140" i="8" s="1"/>
  <c r="A2141" i="8" s="1"/>
  <c r="A2142" i="8" s="1"/>
  <c r="A2143" i="8" s="1"/>
  <c r="A2144" i="8" s="1"/>
  <c r="A2145" i="8" s="1"/>
  <c r="A2146" i="8" s="1"/>
  <c r="A2147" i="8" s="1"/>
  <c r="A2148" i="8" s="1"/>
  <c r="A2149" i="8" s="1"/>
  <c r="A2150" i="8" s="1"/>
  <c r="A2151" i="8" s="1"/>
  <c r="A2152" i="8" s="1"/>
  <c r="A2153" i="8" s="1"/>
  <c r="A2154" i="8" s="1"/>
  <c r="A2155" i="8" s="1"/>
  <c r="A2156" i="8" s="1"/>
  <c r="A2157" i="8" s="1"/>
  <c r="A2158" i="8" s="1"/>
  <c r="A2159" i="8" s="1"/>
  <c r="A2160" i="8" s="1"/>
  <c r="A2161" i="8" s="1"/>
  <c r="A2162" i="8" s="1"/>
  <c r="A2163" i="8" s="1"/>
  <c r="A2164" i="8" s="1"/>
  <c r="A2165" i="8" s="1"/>
  <c r="A2166" i="8" s="1"/>
  <c r="A2167" i="8" s="1"/>
  <c r="A2168" i="8" s="1"/>
  <c r="A2169" i="8" s="1"/>
  <c r="A2170" i="8" s="1"/>
  <c r="A2171" i="8" s="1"/>
  <c r="A2172" i="8" s="1"/>
  <c r="A2173" i="8" s="1"/>
  <c r="A2174" i="8" s="1"/>
  <c r="A2175" i="8" s="1"/>
  <c r="A2176" i="8" s="1"/>
  <c r="A2177" i="8" s="1"/>
  <c r="A2178" i="8" s="1"/>
  <c r="A2179" i="8" s="1"/>
  <c r="A2180" i="8" s="1"/>
  <c r="A2181" i="8" s="1"/>
  <c r="A2182" i="8" s="1"/>
  <c r="A2183" i="8" s="1"/>
  <c r="A2184" i="8" s="1"/>
  <c r="A2185" i="8" s="1"/>
  <c r="A2186" i="8" s="1"/>
  <c r="A2187" i="8" s="1"/>
  <c r="A2188" i="8" s="1"/>
  <c r="A2189" i="8" s="1"/>
  <c r="A2190" i="8" s="1"/>
  <c r="A2191" i="8" s="1"/>
  <c r="A2192" i="8" s="1"/>
  <c r="A2193" i="8" s="1"/>
  <c r="A2194" i="8" s="1"/>
  <c r="A2195" i="8" s="1"/>
  <c r="A2196" i="8" s="1"/>
  <c r="A2197" i="8" s="1"/>
  <c r="A2198" i="8" s="1"/>
  <c r="A2199" i="8" s="1"/>
  <c r="A2200" i="8" s="1"/>
  <c r="A2201" i="8" s="1"/>
  <c r="A2202" i="8" s="1"/>
  <c r="A2203" i="8" s="1"/>
  <c r="A2204" i="8" s="1"/>
  <c r="A2205" i="8" s="1"/>
  <c r="A2206" i="8" s="1"/>
  <c r="A2207" i="8" s="1"/>
  <c r="A2208" i="8" s="1"/>
  <c r="A2209" i="8" s="1"/>
  <c r="A2210" i="8" s="1"/>
  <c r="A2211" i="8" s="1"/>
  <c r="A2212" i="8" s="1"/>
  <c r="A2213" i="8" s="1"/>
  <c r="A2214" i="8" s="1"/>
  <c r="A2215" i="8" s="1"/>
  <c r="A2216" i="8" s="1"/>
  <c r="A2217" i="8" s="1"/>
  <c r="A2218" i="8" s="1"/>
  <c r="A2219" i="8" s="1"/>
  <c r="A2220" i="8" s="1"/>
  <c r="A2221" i="8" s="1"/>
  <c r="A2222" i="8" s="1"/>
  <c r="A2223" i="8" s="1"/>
  <c r="A2224" i="8" s="1"/>
  <c r="A2225" i="8" s="1"/>
  <c r="A2226" i="8" s="1"/>
  <c r="A2227" i="8" s="1"/>
  <c r="A2228" i="8" s="1"/>
  <c r="A2229" i="8" s="1"/>
  <c r="A2230" i="8" s="1"/>
  <c r="A2231" i="8" s="1"/>
  <c r="A2232" i="8" s="1"/>
  <c r="A2233" i="8" s="1"/>
  <c r="A2234" i="8" s="1"/>
  <c r="A2235" i="8" s="1"/>
  <c r="A2236" i="8" s="1"/>
  <c r="A2237" i="8" s="1"/>
  <c r="A2238" i="8" s="1"/>
  <c r="A2239" i="8" s="1"/>
  <c r="A2240" i="8" s="1"/>
  <c r="A2241" i="8" s="1"/>
  <c r="A2242" i="8" s="1"/>
  <c r="A2243" i="8" s="1"/>
  <c r="A2244" i="8" s="1"/>
  <c r="A2245" i="8" s="1"/>
  <c r="A2246" i="8" s="1"/>
  <c r="A2247" i="8" s="1"/>
  <c r="A2248" i="8" s="1"/>
  <c r="A2249" i="8" s="1"/>
  <c r="A2250" i="8" s="1"/>
  <c r="A2251" i="8" s="1"/>
  <c r="A2252" i="8" s="1"/>
  <c r="A2253" i="8" s="1"/>
  <c r="A2254" i="8" s="1"/>
  <c r="A2255" i="8" s="1"/>
  <c r="A2256" i="8" s="1"/>
  <c r="A2257" i="8" s="1"/>
  <c r="A2258" i="8" s="1"/>
  <c r="A2259" i="8" s="1"/>
  <c r="A2260" i="8" s="1"/>
  <c r="A2261" i="8" s="1"/>
  <c r="A2262" i="8" s="1"/>
  <c r="A2263" i="8" s="1"/>
  <c r="A2264" i="8" s="1"/>
  <c r="A2265" i="8" s="1"/>
  <c r="A2266" i="8" s="1"/>
  <c r="A2267" i="8" s="1"/>
  <c r="A2268" i="8" s="1"/>
  <c r="A2269" i="8" s="1"/>
  <c r="A2270" i="8" s="1"/>
  <c r="A2271" i="8" s="1"/>
  <c r="A2272" i="8" s="1"/>
  <c r="A2273" i="8" s="1"/>
  <c r="A2274" i="8" s="1"/>
  <c r="A2275" i="8" s="1"/>
  <c r="A2276" i="8" s="1"/>
  <c r="A2277" i="8" s="1"/>
  <c r="A2278" i="8" s="1"/>
  <c r="A2279" i="8" s="1"/>
  <c r="A2280" i="8" s="1"/>
  <c r="A2281" i="8" s="1"/>
  <c r="A2282" i="8" s="1"/>
  <c r="A2283" i="8" s="1"/>
  <c r="A2284" i="8" s="1"/>
  <c r="A2285" i="8" s="1"/>
  <c r="A2286" i="8" s="1"/>
  <c r="A2287" i="8" s="1"/>
  <c r="A2288" i="8" s="1"/>
  <c r="A2289" i="8" s="1"/>
  <c r="A2290" i="8" s="1"/>
  <c r="A2291" i="8" s="1"/>
  <c r="A2292" i="8" s="1"/>
  <c r="A2293" i="8" s="1"/>
  <c r="A2294" i="8" s="1"/>
  <c r="A2295" i="8" s="1"/>
  <c r="A2296" i="8" s="1"/>
  <c r="A2297" i="8" s="1"/>
  <c r="A2298" i="8" s="1"/>
  <c r="A2299" i="8" s="1"/>
  <c r="A2300" i="8" s="1"/>
  <c r="A2301" i="8" s="1"/>
  <c r="A2302" i="8" s="1"/>
  <c r="A2303" i="8" s="1"/>
  <c r="A2304" i="8" s="1"/>
  <c r="A2305" i="8" s="1"/>
  <c r="A2306" i="8" s="1"/>
  <c r="A2307" i="8" s="1"/>
  <c r="A2308" i="8" s="1"/>
  <c r="A2309" i="8" s="1"/>
  <c r="A2310" i="8" s="1"/>
  <c r="A2311" i="8" s="1"/>
  <c r="A2312" i="8" s="1"/>
  <c r="A2313" i="8" s="1"/>
  <c r="A2314" i="8" s="1"/>
  <c r="A2315" i="8" s="1"/>
  <c r="A2316" i="8" s="1"/>
  <c r="A2317" i="8" s="1"/>
  <c r="A2318" i="8" s="1"/>
  <c r="A2319" i="8" s="1"/>
  <c r="A2320" i="8" s="1"/>
  <c r="A2321" i="8" s="1"/>
  <c r="A2322" i="8" s="1"/>
  <c r="A2323" i="8" s="1"/>
  <c r="A2324" i="8" s="1"/>
  <c r="A2325" i="8" s="1"/>
  <c r="A2326" i="8" s="1"/>
  <c r="A2327" i="8" s="1"/>
  <c r="A2328" i="8" s="1"/>
  <c r="A2329" i="8" s="1"/>
  <c r="A2330" i="8" s="1"/>
  <c r="A2331" i="8" s="1"/>
  <c r="A2332" i="8" s="1"/>
  <c r="A2333" i="8" s="1"/>
  <c r="A2334" i="8" s="1"/>
  <c r="A2335" i="8" s="1"/>
  <c r="A2336" i="8" s="1"/>
  <c r="A2337" i="8" s="1"/>
  <c r="A2338" i="8" s="1"/>
  <c r="A2339" i="8" s="1"/>
  <c r="A2340" i="8" s="1"/>
  <c r="A2341" i="8" s="1"/>
  <c r="A2342" i="8" s="1"/>
  <c r="A2343" i="8" s="1"/>
  <c r="A2344" i="8" s="1"/>
  <c r="A2345" i="8" s="1"/>
  <c r="A2346" i="8" s="1"/>
  <c r="A2347" i="8" s="1"/>
  <c r="A2348" i="8" s="1"/>
  <c r="A2349" i="8" s="1"/>
  <c r="A2350" i="8" s="1"/>
  <c r="A2351" i="8" s="1"/>
  <c r="A2352" i="8" s="1"/>
  <c r="A2353" i="8" s="1"/>
  <c r="A2354" i="8" s="1"/>
  <c r="A2355" i="8" s="1"/>
  <c r="A2356" i="8" s="1"/>
  <c r="A2357" i="8" s="1"/>
  <c r="A2358" i="8" s="1"/>
  <c r="A2359" i="8" s="1"/>
  <c r="A2360" i="8" s="1"/>
  <c r="A2361" i="8" s="1"/>
  <c r="A2362" i="8" s="1"/>
  <c r="A2363" i="8" s="1"/>
  <c r="A2364" i="8" s="1"/>
  <c r="A2365" i="8" s="1"/>
  <c r="A2366" i="8" s="1"/>
  <c r="A2367" i="8" s="1"/>
  <c r="A2368" i="8" s="1"/>
  <c r="A2369" i="8" s="1"/>
  <c r="A2370" i="8" s="1"/>
  <c r="A2371" i="8" s="1"/>
  <c r="A2372" i="8" s="1"/>
  <c r="A2373" i="8" s="1"/>
  <c r="A2374" i="8" s="1"/>
  <c r="A2375" i="8" s="1"/>
  <c r="A2376" i="8" s="1"/>
  <c r="A2377" i="8" s="1"/>
  <c r="A2378" i="8" s="1"/>
  <c r="A2379" i="8" s="1"/>
  <c r="A2380" i="8" s="1"/>
  <c r="A2381" i="8" s="1"/>
  <c r="A2382" i="8" s="1"/>
  <c r="A2383" i="8" s="1"/>
  <c r="A2384" i="8" s="1"/>
  <c r="A2385" i="8" s="1"/>
  <c r="A2386" i="8" s="1"/>
  <c r="A2387" i="8" s="1"/>
  <c r="A2388" i="8" s="1"/>
  <c r="A2389" i="8" s="1"/>
  <c r="A2390" i="8" s="1"/>
  <c r="A2391" i="8" s="1"/>
  <c r="A2392" i="8" s="1"/>
  <c r="A2393" i="8" s="1"/>
  <c r="A2394" i="8" s="1"/>
  <c r="A2395" i="8" s="1"/>
  <c r="A2396" i="8" s="1"/>
  <c r="A2397" i="8" s="1"/>
  <c r="A2398" i="8" s="1"/>
  <c r="A2399" i="8" s="1"/>
  <c r="A2400" i="8" s="1"/>
  <c r="A2401" i="8" s="1"/>
  <c r="A2402" i="8" s="1"/>
  <c r="A2403" i="8" s="1"/>
  <c r="A2404" i="8" s="1"/>
  <c r="A2405" i="8" s="1"/>
  <c r="A2406" i="8" s="1"/>
  <c r="A2407" i="8" s="1"/>
  <c r="A2408" i="8" s="1"/>
  <c r="A2409" i="8" s="1"/>
  <c r="A2410" i="8" s="1"/>
  <c r="A2411" i="8" s="1"/>
  <c r="A2412" i="8" s="1"/>
  <c r="A2413" i="8" s="1"/>
  <c r="A2414" i="8" s="1"/>
  <c r="A2415" i="8" s="1"/>
  <c r="A2416" i="8" s="1"/>
  <c r="A2417" i="8" s="1"/>
  <c r="A2418" i="8" s="1"/>
  <c r="A2419" i="8" s="1"/>
  <c r="A2420" i="8" s="1"/>
  <c r="A2421" i="8" s="1"/>
  <c r="A2422" i="8" s="1"/>
  <c r="A2423" i="8" s="1"/>
  <c r="A2424" i="8" s="1"/>
  <c r="A2425" i="8" s="1"/>
  <c r="A2426" i="8" s="1"/>
  <c r="A2427" i="8" s="1"/>
  <c r="A2428" i="8" s="1"/>
  <c r="A2429" i="8" s="1"/>
  <c r="A2430" i="8" s="1"/>
  <c r="A2431" i="8" s="1"/>
  <c r="A2432" i="8" s="1"/>
  <c r="A2433" i="8" s="1"/>
  <c r="A2434" i="8" s="1"/>
  <c r="A2435" i="8" s="1"/>
  <c r="A2436" i="8" s="1"/>
  <c r="A2437" i="8" s="1"/>
  <c r="A2438" i="8" s="1"/>
  <c r="A2439" i="8" s="1"/>
  <c r="A2440" i="8" s="1"/>
  <c r="A2441" i="8" s="1"/>
  <c r="A2442" i="8" s="1"/>
  <c r="A2443" i="8" s="1"/>
  <c r="A2444" i="8" s="1"/>
  <c r="A2445" i="8" s="1"/>
  <c r="A2446" i="8" s="1"/>
  <c r="A2447" i="8" s="1"/>
  <c r="A2448" i="8" s="1"/>
  <c r="A2449" i="8" s="1"/>
  <c r="A2450" i="8" s="1"/>
  <c r="A2451" i="8" s="1"/>
  <c r="A2452" i="8" s="1"/>
  <c r="A2453" i="8" s="1"/>
  <c r="A2454" i="8" s="1"/>
  <c r="A2455" i="8" s="1"/>
  <c r="A2456" i="8" s="1"/>
  <c r="A2457" i="8" s="1"/>
  <c r="A2458" i="8" s="1"/>
  <c r="A2459" i="8" s="1"/>
  <c r="A2460" i="8" s="1"/>
  <c r="A2461" i="8" s="1"/>
  <c r="A2462" i="8" s="1"/>
  <c r="A2463" i="8" s="1"/>
  <c r="A2464" i="8" s="1"/>
  <c r="A2465" i="8" s="1"/>
  <c r="A2466" i="8" s="1"/>
  <c r="A2467" i="8" s="1"/>
  <c r="A2468" i="8" s="1"/>
  <c r="A2469" i="8" s="1"/>
  <c r="A2470" i="8" s="1"/>
  <c r="A2471" i="8" s="1"/>
  <c r="A2472" i="8" s="1"/>
  <c r="A2473" i="8" s="1"/>
  <c r="A2474" i="8" s="1"/>
  <c r="A2475" i="8" s="1"/>
  <c r="A2476" i="8" s="1"/>
  <c r="A2477" i="8" s="1"/>
  <c r="A2478" i="8" s="1"/>
  <c r="A2479" i="8" s="1"/>
  <c r="A2480" i="8" s="1"/>
  <c r="A2481" i="8" s="1"/>
  <c r="A2482" i="8" s="1"/>
  <c r="A2483" i="8" s="1"/>
  <c r="A2484" i="8" s="1"/>
  <c r="A2485" i="8" s="1"/>
  <c r="A2486" i="8" s="1"/>
  <c r="A2487" i="8" s="1"/>
  <c r="A2488" i="8" s="1"/>
  <c r="A2489" i="8" s="1"/>
  <c r="A2490" i="8" s="1"/>
  <c r="A2491" i="8" s="1"/>
  <c r="A2492" i="8" s="1"/>
  <c r="A2493" i="8" s="1"/>
  <c r="A2494" i="8" s="1"/>
  <c r="A2495" i="8" s="1"/>
  <c r="A2496" i="8" s="1"/>
  <c r="A2497" i="8" s="1"/>
  <c r="A2498" i="8" s="1"/>
  <c r="A2499" i="8" s="1"/>
  <c r="A2500" i="8" s="1"/>
  <c r="A2501" i="8" s="1"/>
  <c r="A2502" i="8" s="1"/>
  <c r="A2503" i="8" s="1"/>
  <c r="A2504" i="8" s="1"/>
  <c r="A2505" i="8" s="1"/>
  <c r="A2506" i="8" s="1"/>
  <c r="A2507" i="8" s="1"/>
  <c r="A2508" i="8" s="1"/>
  <c r="A2509" i="8" s="1"/>
  <c r="A2510" i="8" s="1"/>
  <c r="A2511" i="8" s="1"/>
  <c r="A2512" i="8" s="1"/>
  <c r="A2513" i="8" s="1"/>
  <c r="A2514" i="8" s="1"/>
  <c r="A2515" i="8" s="1"/>
  <c r="A2516" i="8" s="1"/>
  <c r="A2517" i="8" s="1"/>
  <c r="A2518" i="8" s="1"/>
  <c r="A2519" i="8" s="1"/>
  <c r="A2520" i="8" s="1"/>
  <c r="A2521" i="8" s="1"/>
  <c r="A2522" i="8" s="1"/>
  <c r="A2523" i="8" s="1"/>
  <c r="A2524" i="8" s="1"/>
  <c r="A2525" i="8" s="1"/>
  <c r="A2526" i="8" s="1"/>
  <c r="A2527" i="8" s="1"/>
  <c r="A2528" i="8" s="1"/>
  <c r="A2529" i="8" s="1"/>
  <c r="A2530" i="8" s="1"/>
  <c r="A2531" i="8" s="1"/>
  <c r="A2532" i="8" s="1"/>
  <c r="A2533" i="8" s="1"/>
  <c r="A2534" i="8" s="1"/>
  <c r="A2535" i="8" s="1"/>
  <c r="A2536" i="8" s="1"/>
  <c r="A2537" i="8" s="1"/>
  <c r="A2538" i="8" s="1"/>
  <c r="A2539" i="8" s="1"/>
  <c r="A2540" i="8" s="1"/>
  <c r="A2541" i="8" s="1"/>
  <c r="A2542" i="8" s="1"/>
  <c r="A2543" i="8" s="1"/>
  <c r="A2544" i="8" s="1"/>
  <c r="A2545" i="8" s="1"/>
  <c r="A2546" i="8" s="1"/>
  <c r="A2547" i="8" s="1"/>
  <c r="A2548" i="8" s="1"/>
  <c r="A2549" i="8" s="1"/>
  <c r="A2550" i="8" s="1"/>
  <c r="A2551" i="8" s="1"/>
  <c r="A2552" i="8" s="1"/>
  <c r="A2553" i="8" s="1"/>
  <c r="A2554" i="8" s="1"/>
  <c r="A2555" i="8" s="1"/>
  <c r="A2556" i="8" s="1"/>
  <c r="A2557" i="8" s="1"/>
  <c r="A2558" i="8" s="1"/>
  <c r="A2559" i="8" s="1"/>
  <c r="A2560" i="8" s="1"/>
  <c r="A2561" i="8" s="1"/>
  <c r="A2562" i="8" s="1"/>
  <c r="A2563" i="8" s="1"/>
  <c r="A2564" i="8" s="1"/>
  <c r="A2565" i="8" s="1"/>
  <c r="A2566" i="8" s="1"/>
  <c r="A2567" i="8" s="1"/>
  <c r="A2568" i="8" s="1"/>
  <c r="A2569" i="8" s="1"/>
  <c r="A2570" i="8" s="1"/>
  <c r="A2571" i="8" s="1"/>
  <c r="A2572" i="8" s="1"/>
  <c r="A2573" i="8" s="1"/>
  <c r="A2574" i="8" s="1"/>
  <c r="A2575" i="8" s="1"/>
  <c r="A2576" i="8" s="1"/>
  <c r="A2577" i="8" s="1"/>
  <c r="A2578" i="8" s="1"/>
  <c r="A2579" i="8" s="1"/>
  <c r="A2580" i="8" s="1"/>
  <c r="A2581" i="8" s="1"/>
  <c r="A2582" i="8" s="1"/>
  <c r="A2583" i="8" s="1"/>
  <c r="A2584" i="8" s="1"/>
  <c r="A2585" i="8" s="1"/>
  <c r="A2586" i="8" s="1"/>
  <c r="A2587" i="8" s="1"/>
  <c r="A2588" i="8" s="1"/>
  <c r="A2589" i="8" s="1"/>
  <c r="A2590" i="8" s="1"/>
  <c r="A2591" i="8" s="1"/>
  <c r="A2592" i="8" s="1"/>
  <c r="A2593" i="8" s="1"/>
  <c r="A2594" i="8" s="1"/>
  <c r="A2595" i="8" s="1"/>
  <c r="A2596" i="8" s="1"/>
  <c r="A2597" i="8" s="1"/>
  <c r="A2598" i="8" s="1"/>
  <c r="A2599" i="8" s="1"/>
  <c r="A2600" i="8" s="1"/>
  <c r="A2601" i="8" s="1"/>
  <c r="A2602" i="8" s="1"/>
  <c r="A2603" i="8" s="1"/>
  <c r="A2604" i="8" s="1"/>
  <c r="A2605" i="8" s="1"/>
  <c r="A2606" i="8" s="1"/>
  <c r="A2607" i="8" s="1"/>
  <c r="A2608" i="8" s="1"/>
  <c r="A2609" i="8" s="1"/>
  <c r="A2610" i="8" s="1"/>
  <c r="A2611" i="8" s="1"/>
  <c r="A2612" i="8" s="1"/>
  <c r="A2613" i="8" s="1"/>
  <c r="A2614" i="8" s="1"/>
  <c r="A2615" i="8" s="1"/>
  <c r="A2616" i="8" s="1"/>
  <c r="A2617" i="8" s="1"/>
  <c r="A2618" i="8" s="1"/>
  <c r="A2619" i="8" s="1"/>
  <c r="A2620" i="8" s="1"/>
  <c r="A2621" i="8" s="1"/>
  <c r="A2622" i="8" s="1"/>
  <c r="A2623" i="8" s="1"/>
  <c r="A2624" i="8" s="1"/>
  <c r="A2625" i="8" s="1"/>
  <c r="A2626" i="8" s="1"/>
  <c r="A2627" i="8" s="1"/>
  <c r="A2628" i="8" s="1"/>
  <c r="A2629" i="8" s="1"/>
  <c r="A2630" i="8" s="1"/>
  <c r="A2631" i="8" s="1"/>
  <c r="A2632" i="8" s="1"/>
  <c r="A2633" i="8" s="1"/>
  <c r="A2634" i="8" s="1"/>
  <c r="A2635" i="8" s="1"/>
  <c r="A2636" i="8" s="1"/>
  <c r="A2637" i="8" s="1"/>
  <c r="A2638" i="8" s="1"/>
  <c r="A2639" i="8" s="1"/>
  <c r="A2640" i="8" s="1"/>
  <c r="A2641" i="8" s="1"/>
  <c r="A2642" i="8" s="1"/>
  <c r="A2643" i="8" s="1"/>
  <c r="A2644" i="8" s="1"/>
  <c r="A2645" i="8" s="1"/>
  <c r="A2646" i="8" s="1"/>
  <c r="A2647" i="8" s="1"/>
  <c r="A2648" i="8" s="1"/>
  <c r="A2649" i="8" s="1"/>
  <c r="A2650" i="8" s="1"/>
  <c r="A2651" i="8" s="1"/>
  <c r="A2652" i="8" s="1"/>
  <c r="A2653" i="8" s="1"/>
  <c r="A2654" i="8" s="1"/>
  <c r="A2655" i="8" s="1"/>
  <c r="A2656" i="8" s="1"/>
  <c r="A2657" i="8" s="1"/>
  <c r="A2658" i="8" s="1"/>
  <c r="A2659" i="8" s="1"/>
  <c r="A2660" i="8" s="1"/>
  <c r="A2661" i="8" s="1"/>
  <c r="A2662" i="8" s="1"/>
  <c r="A2663" i="8" s="1"/>
  <c r="A2664" i="8" s="1"/>
  <c r="A2665" i="8" s="1"/>
  <c r="A2666" i="8" s="1"/>
  <c r="A2667" i="8" s="1"/>
  <c r="A2668" i="8" s="1"/>
  <c r="A2669" i="8" s="1"/>
  <c r="A2670" i="8" s="1"/>
  <c r="A2671" i="8" s="1"/>
  <c r="A2672" i="8" s="1"/>
  <c r="A2673" i="8" s="1"/>
  <c r="A2674" i="8" s="1"/>
  <c r="A2675" i="8" s="1"/>
  <c r="A2676" i="8" s="1"/>
  <c r="A2677" i="8" s="1"/>
  <c r="A2678" i="8" s="1"/>
  <c r="A2679" i="8" s="1"/>
  <c r="A2680" i="8" s="1"/>
  <c r="A2681" i="8" s="1"/>
  <c r="A2682" i="8" s="1"/>
  <c r="A2683" i="8" s="1"/>
  <c r="A2684" i="8" s="1"/>
  <c r="A2685" i="8" s="1"/>
  <c r="A2686" i="8" s="1"/>
  <c r="A2687" i="8" s="1"/>
  <c r="A2688" i="8" s="1"/>
  <c r="A2689" i="8" s="1"/>
  <c r="A2690" i="8" s="1"/>
  <c r="A2691" i="8" s="1"/>
  <c r="A2692" i="8" s="1"/>
  <c r="A2693" i="8" s="1"/>
  <c r="A2694" i="8" s="1"/>
  <c r="A2695" i="8" s="1"/>
  <c r="A2696" i="8" s="1"/>
  <c r="A2697" i="8" s="1"/>
  <c r="A2698" i="8" s="1"/>
  <c r="A2699" i="8" s="1"/>
  <c r="A2700" i="8" s="1"/>
  <c r="A2701" i="8" s="1"/>
  <c r="A2702" i="8" s="1"/>
  <c r="A2703" i="8" s="1"/>
  <c r="A2704" i="8" s="1"/>
  <c r="A2705" i="8" s="1"/>
  <c r="A2706" i="8" s="1"/>
  <c r="A2707" i="8" s="1"/>
  <c r="A2708" i="8" s="1"/>
  <c r="A2709" i="8" s="1"/>
  <c r="A2710" i="8" s="1"/>
  <c r="A2711" i="8" s="1"/>
  <c r="A2712" i="8" s="1"/>
  <c r="A2713" i="8" s="1"/>
  <c r="A2714" i="8" s="1"/>
  <c r="A2715" i="8" s="1"/>
  <c r="A2716" i="8" s="1"/>
  <c r="A2717" i="8" s="1"/>
  <c r="A2718" i="8" s="1"/>
  <c r="A2719" i="8" s="1"/>
  <c r="A2720" i="8" s="1"/>
  <c r="A2721" i="8" s="1"/>
  <c r="A2722" i="8" s="1"/>
  <c r="A2723" i="8" s="1"/>
  <c r="A2724" i="8" s="1"/>
  <c r="A2725" i="8" s="1"/>
  <c r="A2726" i="8" s="1"/>
  <c r="A2727" i="8" s="1"/>
  <c r="A2728" i="8" s="1"/>
  <c r="A2729" i="8" s="1"/>
  <c r="A2730" i="8" s="1"/>
  <c r="A2731" i="8" s="1"/>
  <c r="A2732" i="8" s="1"/>
  <c r="A2733" i="8" s="1"/>
  <c r="A2734" i="8" s="1"/>
  <c r="A2735" i="8" s="1"/>
  <c r="A2736" i="8" s="1"/>
  <c r="A2737" i="8" s="1"/>
  <c r="A2738" i="8" s="1"/>
  <c r="A2739" i="8" s="1"/>
  <c r="A2740" i="8" s="1"/>
  <c r="A2741" i="8" s="1"/>
  <c r="A2742" i="8" s="1"/>
  <c r="A2743" i="8" s="1"/>
  <c r="A2744" i="8" s="1"/>
  <c r="A2745" i="8" s="1"/>
  <c r="A2746" i="8" s="1"/>
  <c r="A2747" i="8" s="1"/>
  <c r="A2748" i="8" s="1"/>
  <c r="A2749" i="8" s="1"/>
  <c r="A2750" i="8" s="1"/>
  <c r="A2751" i="8" s="1"/>
  <c r="A2752" i="8" s="1"/>
  <c r="A2753" i="8" s="1"/>
  <c r="A2754" i="8" s="1"/>
  <c r="A2755" i="8" s="1"/>
  <c r="A2756" i="8" s="1"/>
  <c r="A2757" i="8" s="1"/>
  <c r="A2758" i="8" s="1"/>
  <c r="A2759" i="8" s="1"/>
  <c r="A2760" i="8" s="1"/>
  <c r="A2761" i="8" s="1"/>
  <c r="A2762" i="8" s="1"/>
  <c r="A2763" i="8" s="1"/>
  <c r="A2764" i="8" s="1"/>
  <c r="A2765" i="8" s="1"/>
  <c r="A2766" i="8" s="1"/>
  <c r="A2767" i="8" s="1"/>
  <c r="A2768" i="8" s="1"/>
  <c r="A2769" i="8" s="1"/>
  <c r="A2770" i="8" s="1"/>
  <c r="A2771" i="8" s="1"/>
  <c r="A2772" i="8" s="1"/>
  <c r="A2773" i="8" s="1"/>
  <c r="A2774" i="8" s="1"/>
  <c r="A2775" i="8" s="1"/>
  <c r="A2776" i="8" s="1"/>
  <c r="A2777" i="8" s="1"/>
  <c r="A2778" i="8" s="1"/>
  <c r="A2779" i="8" s="1"/>
  <c r="A2780" i="8" s="1"/>
  <c r="A2781" i="8" s="1"/>
  <c r="A2782" i="8" s="1"/>
  <c r="A2783" i="8" s="1"/>
  <c r="A2784" i="8" s="1"/>
  <c r="A2785" i="8" s="1"/>
  <c r="A2786" i="8" s="1"/>
  <c r="A2787" i="8" s="1"/>
  <c r="A2788" i="8" s="1"/>
  <c r="A2789" i="8" s="1"/>
  <c r="A2790" i="8" s="1"/>
  <c r="A2791" i="8" s="1"/>
  <c r="A2792" i="8" s="1"/>
  <c r="A2793" i="8" s="1"/>
  <c r="A2794" i="8" s="1"/>
  <c r="A2795" i="8" s="1"/>
  <c r="A2796" i="8" s="1"/>
  <c r="A2797" i="8" s="1"/>
  <c r="A2798" i="8" s="1"/>
  <c r="A2799" i="8" s="1"/>
  <c r="A2800" i="8" s="1"/>
  <c r="A2801" i="8" s="1"/>
  <c r="A2802" i="8" s="1"/>
  <c r="A2803" i="8" s="1"/>
  <c r="A2804" i="8" s="1"/>
  <c r="A2805" i="8" s="1"/>
  <c r="A2806" i="8" s="1"/>
  <c r="A2807" i="8" s="1"/>
  <c r="A2808" i="8" s="1"/>
  <c r="A2809" i="8" s="1"/>
  <c r="A2810" i="8" s="1"/>
  <c r="A2811" i="8" s="1"/>
  <c r="A2812" i="8" s="1"/>
  <c r="A2813" i="8" s="1"/>
  <c r="A2814" i="8" s="1"/>
  <c r="A2815" i="8" s="1"/>
  <c r="A2816" i="8" s="1"/>
  <c r="A2817" i="8" s="1"/>
  <c r="A2818" i="8" s="1"/>
  <c r="A2819" i="8" s="1"/>
  <c r="A2820" i="8" s="1"/>
  <c r="A2821" i="8" s="1"/>
  <c r="A2822" i="8" s="1"/>
  <c r="A2823" i="8" s="1"/>
  <c r="A2824" i="8" s="1"/>
  <c r="A2825" i="8" s="1"/>
  <c r="A2826" i="8" s="1"/>
  <c r="A2827" i="8" s="1"/>
  <c r="A2828" i="8" s="1"/>
  <c r="A2829" i="8" s="1"/>
  <c r="A2830" i="8" s="1"/>
  <c r="A2831" i="8" s="1"/>
  <c r="A2832" i="8" s="1"/>
  <c r="A2833" i="8" s="1"/>
  <c r="A2834" i="8" s="1"/>
  <c r="A2835" i="8" s="1"/>
  <c r="A2836" i="8" s="1"/>
  <c r="A2837" i="8" s="1"/>
  <c r="A2838" i="8" s="1"/>
  <c r="A2839" i="8" s="1"/>
  <c r="A2840" i="8" s="1"/>
  <c r="A2841" i="8" s="1"/>
  <c r="A2842" i="8" s="1"/>
  <c r="A2843" i="8" s="1"/>
  <c r="A2844" i="8" s="1"/>
  <c r="A2845" i="8" s="1"/>
  <c r="A2846" i="8" s="1"/>
  <c r="A2847" i="8" s="1"/>
  <c r="A2848" i="8" s="1"/>
  <c r="A2849" i="8" s="1"/>
  <c r="A2850" i="8" s="1"/>
  <c r="A2851" i="8" s="1"/>
  <c r="A2852" i="8" s="1"/>
  <c r="A2853" i="8" s="1"/>
  <c r="A2854" i="8" s="1"/>
  <c r="A2855" i="8" s="1"/>
  <c r="A2856" i="8" s="1"/>
  <c r="A2857" i="8" s="1"/>
  <c r="A2858" i="8" s="1"/>
  <c r="A2859" i="8" s="1"/>
  <c r="A2860" i="8" s="1"/>
  <c r="A2861" i="8" s="1"/>
  <c r="A2862" i="8" s="1"/>
  <c r="A2863" i="8" s="1"/>
  <c r="A2864" i="8" s="1"/>
  <c r="A2865" i="8" s="1"/>
  <c r="A2866" i="8" s="1"/>
  <c r="A2867" i="8" s="1"/>
  <c r="A2868" i="8" s="1"/>
  <c r="A2869" i="8" s="1"/>
  <c r="A2870" i="8" s="1"/>
  <c r="A2871" i="8" s="1"/>
  <c r="A2872" i="8" s="1"/>
  <c r="A2873" i="8" s="1"/>
  <c r="A2874" i="8" s="1"/>
  <c r="A2875" i="8" s="1"/>
  <c r="A2876" i="8" s="1"/>
  <c r="A2877" i="8" s="1"/>
  <c r="A2878" i="8" s="1"/>
  <c r="A2879" i="8" s="1"/>
  <c r="A2880" i="8" s="1"/>
  <c r="A2881" i="8" s="1"/>
  <c r="A2882" i="8" s="1"/>
  <c r="A2883" i="8" s="1"/>
  <c r="A2884" i="8" s="1"/>
  <c r="A2885" i="8" s="1"/>
  <c r="A2886" i="8" s="1"/>
  <c r="A2887" i="8" s="1"/>
  <c r="A2888" i="8" s="1"/>
  <c r="A2889" i="8" s="1"/>
  <c r="A2890" i="8" s="1"/>
  <c r="A2891" i="8" s="1"/>
  <c r="A2892" i="8" s="1"/>
  <c r="A2893" i="8" s="1"/>
  <c r="A2894" i="8" s="1"/>
  <c r="A2895" i="8" s="1"/>
  <c r="A2896" i="8" s="1"/>
  <c r="A2897" i="8" s="1"/>
  <c r="A2898" i="8" s="1"/>
  <c r="A2899" i="8" s="1"/>
  <c r="A2900" i="8" s="1"/>
  <c r="A2901" i="8" s="1"/>
  <c r="A2902" i="8" s="1"/>
  <c r="A2903" i="8" s="1"/>
  <c r="A2904" i="8" s="1"/>
  <c r="A2905" i="8" s="1"/>
  <c r="A2906" i="8" s="1"/>
  <c r="A2907" i="8" s="1"/>
  <c r="A2908" i="8" s="1"/>
  <c r="A2909" i="8" s="1"/>
  <c r="A2910" i="8" s="1"/>
  <c r="A2911" i="8" s="1"/>
  <c r="A2912" i="8" s="1"/>
  <c r="A2913" i="8" s="1"/>
  <c r="A2914" i="8" s="1"/>
  <c r="A2915" i="8" s="1"/>
  <c r="A2916" i="8" s="1"/>
  <c r="A2917" i="8" s="1"/>
  <c r="A2918" i="8" s="1"/>
  <c r="A2919" i="8" s="1"/>
  <c r="A2920" i="8" s="1"/>
  <c r="A2921" i="8" s="1"/>
  <c r="A2922" i="8" s="1"/>
  <c r="A2923" i="8" s="1"/>
  <c r="A2924" i="8" s="1"/>
  <c r="A2925" i="8" s="1"/>
  <c r="A2926" i="8" s="1"/>
  <c r="A2927" i="8" s="1"/>
  <c r="A2928" i="8" s="1"/>
  <c r="A2929" i="8" s="1"/>
  <c r="A2930" i="8" s="1"/>
  <c r="A2931" i="8" s="1"/>
  <c r="A2932" i="8" s="1"/>
  <c r="A2933" i="8" s="1"/>
  <c r="A2934" i="8" s="1"/>
  <c r="A2935" i="8" s="1"/>
  <c r="A2936" i="8" s="1"/>
  <c r="A2937" i="8" s="1"/>
  <c r="A2938" i="8" s="1"/>
  <c r="A2939" i="8" s="1"/>
  <c r="A2940" i="8" s="1"/>
  <c r="A2941" i="8" s="1"/>
  <c r="A2942" i="8" s="1"/>
  <c r="A2943" i="8" s="1"/>
  <c r="A2944" i="8" s="1"/>
  <c r="A2945" i="8" s="1"/>
  <c r="A2946" i="8" s="1"/>
  <c r="A2947" i="8" s="1"/>
  <c r="A2948" i="8" s="1"/>
  <c r="A2949" i="8" s="1"/>
  <c r="A2950" i="8" s="1"/>
  <c r="A2951" i="8" s="1"/>
  <c r="A2952" i="8" s="1"/>
  <c r="A2953" i="8" s="1"/>
  <c r="A2954" i="8" s="1"/>
  <c r="A2955" i="8" s="1"/>
  <c r="A2956" i="8" s="1"/>
  <c r="A2957" i="8" s="1"/>
  <c r="A2958" i="8" s="1"/>
  <c r="A2959" i="8" s="1"/>
  <c r="A2960" i="8" s="1"/>
  <c r="A2961" i="8" s="1"/>
  <c r="A2962" i="8" s="1"/>
  <c r="A2963" i="8" s="1"/>
  <c r="A2964" i="8" s="1"/>
  <c r="A2965" i="8" s="1"/>
  <c r="A2966" i="8" s="1"/>
  <c r="A2967" i="8" s="1"/>
  <c r="A2968" i="8" s="1"/>
  <c r="A2969" i="8" s="1"/>
  <c r="A2970" i="8" s="1"/>
  <c r="A2971" i="8" s="1"/>
  <c r="A2972" i="8" s="1"/>
  <c r="A2973" i="8" s="1"/>
  <c r="A2974" i="8" s="1"/>
  <c r="A2975" i="8" s="1"/>
  <c r="A2976" i="8" s="1"/>
  <c r="A2977" i="8" s="1"/>
  <c r="A2978" i="8" s="1"/>
  <c r="A2979" i="8" s="1"/>
  <c r="A2980" i="8" s="1"/>
  <c r="A2981" i="8" s="1"/>
  <c r="A2982" i="8" s="1"/>
  <c r="A2983" i="8" s="1"/>
  <c r="A2984" i="8" s="1"/>
  <c r="A2985" i="8" s="1"/>
  <c r="A2986" i="8" s="1"/>
  <c r="A2987" i="8" s="1"/>
  <c r="A2988" i="8" s="1"/>
  <c r="A2989" i="8" s="1"/>
  <c r="A2990" i="8" s="1"/>
  <c r="A2991" i="8" s="1"/>
  <c r="A2992" i="8" s="1"/>
  <c r="A2993" i="8" s="1"/>
  <c r="A2994" i="8" s="1"/>
  <c r="A2995" i="8" s="1"/>
  <c r="A2996" i="8" s="1"/>
  <c r="A2997" i="8" s="1"/>
  <c r="A2998" i="8" s="1"/>
  <c r="A2999" i="8" s="1"/>
  <c r="A3000" i="8" s="1"/>
  <c r="A3001" i="8" s="1"/>
  <c r="A3002" i="8" s="1"/>
  <c r="A3003" i="8" s="1"/>
  <c r="A3004" i="8" s="1"/>
  <c r="A3005" i="8" s="1"/>
  <c r="A3006" i="8" s="1"/>
  <c r="A3007" i="8" s="1"/>
  <c r="A3008" i="8" s="1"/>
  <c r="A3009" i="8" s="1"/>
  <c r="A3010" i="8" s="1"/>
  <c r="A3011" i="8" s="1"/>
  <c r="A3012" i="8" s="1"/>
  <c r="A3013" i="8" s="1"/>
  <c r="A3014" i="8" s="1"/>
  <c r="A3015" i="8" s="1"/>
  <c r="A3016" i="8" s="1"/>
  <c r="A3017" i="8" s="1"/>
  <c r="A3018" i="8" s="1"/>
  <c r="A3019" i="8" s="1"/>
  <c r="A3020" i="8" s="1"/>
  <c r="A3021" i="8" s="1"/>
  <c r="A3022" i="8" s="1"/>
  <c r="A3023" i="8" s="1"/>
  <c r="A3024" i="8" s="1"/>
  <c r="A3025" i="8" s="1"/>
  <c r="A3026" i="8" s="1"/>
  <c r="A3027" i="8" s="1"/>
  <c r="A3028" i="8" s="1"/>
  <c r="A3029" i="8" s="1"/>
  <c r="A3030" i="8" s="1"/>
  <c r="A3031" i="8" s="1"/>
  <c r="A3032" i="8" s="1"/>
  <c r="A3033" i="8" s="1"/>
  <c r="A3034" i="8" s="1"/>
  <c r="A3035" i="8" s="1"/>
  <c r="A3036" i="8" s="1"/>
  <c r="A3037" i="8" s="1"/>
  <c r="A3038" i="8" s="1"/>
  <c r="A3039" i="8" s="1"/>
  <c r="A3040" i="8" s="1"/>
  <c r="A3041" i="8" s="1"/>
  <c r="A3042" i="8" s="1"/>
  <c r="A3043" i="8" s="1"/>
  <c r="A3044" i="8" s="1"/>
  <c r="A3045" i="8" s="1"/>
  <c r="A3046" i="8" s="1"/>
  <c r="A3047" i="8" s="1"/>
  <c r="A3048" i="8" s="1"/>
  <c r="A3049" i="8" s="1"/>
  <c r="A3050" i="8" s="1"/>
  <c r="A3051" i="8" s="1"/>
  <c r="A3052" i="8" s="1"/>
  <c r="A3053" i="8" s="1"/>
  <c r="A3054" i="8" s="1"/>
  <c r="A3055" i="8" s="1"/>
  <c r="A3056" i="8" s="1"/>
  <c r="A3057" i="8" s="1"/>
  <c r="A3058" i="8" s="1"/>
  <c r="A3059" i="8" s="1"/>
  <c r="A3060" i="8" s="1"/>
  <c r="A3061" i="8" s="1"/>
  <c r="A3062" i="8" s="1"/>
  <c r="A3063" i="8" s="1"/>
  <c r="A3064" i="8" s="1"/>
  <c r="A3065" i="8" s="1"/>
  <c r="A3066" i="8" s="1"/>
  <c r="A3067" i="8" s="1"/>
  <c r="A3068" i="8" s="1"/>
  <c r="A3069" i="8" s="1"/>
  <c r="A3070" i="8" s="1"/>
  <c r="A3071" i="8" s="1"/>
  <c r="A3072" i="8" s="1"/>
  <c r="A3073" i="8" s="1"/>
  <c r="A3074" i="8" s="1"/>
  <c r="A3075" i="8" s="1"/>
  <c r="A3076" i="8" s="1"/>
  <c r="A3077" i="8" s="1"/>
  <c r="A3078" i="8" s="1"/>
  <c r="A3079" i="8" s="1"/>
  <c r="A3080" i="8" s="1"/>
  <c r="A3081" i="8" s="1"/>
  <c r="A3082" i="8" s="1"/>
  <c r="A3083" i="8" s="1"/>
  <c r="A3084" i="8" s="1"/>
  <c r="A3085" i="8" s="1"/>
  <c r="A3086" i="8" s="1"/>
  <c r="A3087" i="8" s="1"/>
  <c r="A3088" i="8" s="1"/>
  <c r="A3089" i="8" s="1"/>
  <c r="A3090" i="8" s="1"/>
  <c r="A3091" i="8" s="1"/>
  <c r="A3092" i="8" s="1"/>
  <c r="A3093" i="8" s="1"/>
  <c r="A3094" i="8" s="1"/>
  <c r="A3095" i="8" s="1"/>
  <c r="A3096" i="8" s="1"/>
  <c r="A3097" i="8" s="1"/>
  <c r="A3098" i="8" s="1"/>
  <c r="A3099" i="8" s="1"/>
  <c r="A3100" i="8" s="1"/>
  <c r="A3101" i="8" s="1"/>
  <c r="A3102" i="8" s="1"/>
  <c r="A3103" i="8" s="1"/>
  <c r="A3104" i="8" s="1"/>
  <c r="A3105" i="8" s="1"/>
  <c r="A3106" i="8" s="1"/>
  <c r="A3107" i="8" s="1"/>
  <c r="A3108" i="8" s="1"/>
  <c r="A3109" i="8" s="1"/>
  <c r="A3110" i="8" s="1"/>
  <c r="A3111" i="8" s="1"/>
  <c r="A3112" i="8" s="1"/>
  <c r="A3113" i="8" s="1"/>
  <c r="A3114" i="8" s="1"/>
  <c r="A3115" i="8" s="1"/>
  <c r="A3116" i="8" s="1"/>
  <c r="A3117" i="8" s="1"/>
  <c r="A3118" i="8" s="1"/>
  <c r="A3119" i="8" s="1"/>
  <c r="A3120" i="8" s="1"/>
  <c r="A3121" i="8" s="1"/>
  <c r="A3122" i="8" s="1"/>
  <c r="A3123" i="8" s="1"/>
  <c r="A3124" i="8" s="1"/>
  <c r="A3125" i="8" s="1"/>
  <c r="A3126" i="8" s="1"/>
  <c r="A3127" i="8" s="1"/>
  <c r="A3128" i="8" s="1"/>
  <c r="A3129" i="8" s="1"/>
  <c r="A3130" i="8" s="1"/>
  <c r="A3131" i="8" s="1"/>
  <c r="A3132" i="8" s="1"/>
  <c r="A3133" i="8" s="1"/>
  <c r="A3134" i="8" s="1"/>
  <c r="A3135" i="8" s="1"/>
  <c r="A3136" i="8" s="1"/>
  <c r="A3137" i="8" s="1"/>
  <c r="A3138" i="8" s="1"/>
  <c r="A3139" i="8" s="1"/>
  <c r="A3140" i="8" s="1"/>
  <c r="A3141" i="8" s="1"/>
  <c r="A3142" i="8" s="1"/>
  <c r="A3143" i="8" s="1"/>
  <c r="A3144" i="8" s="1"/>
  <c r="A3145" i="8" s="1"/>
  <c r="A3146" i="8" s="1"/>
  <c r="A3147" i="8" s="1"/>
  <c r="A3148" i="8" s="1"/>
  <c r="A3149" i="8" s="1"/>
  <c r="A3150" i="8" s="1"/>
  <c r="A3151" i="8" s="1"/>
  <c r="A3152" i="8" s="1"/>
  <c r="A3153" i="8" s="1"/>
  <c r="A3154" i="8" s="1"/>
  <c r="A3155" i="8" s="1"/>
  <c r="A3156" i="8" s="1"/>
  <c r="A3157" i="8" s="1"/>
  <c r="A3158" i="8" s="1"/>
  <c r="A3159" i="8" s="1"/>
  <c r="A3160" i="8" s="1"/>
  <c r="A3161" i="8" s="1"/>
  <c r="A3162" i="8" s="1"/>
  <c r="A3163" i="8" s="1"/>
  <c r="A3164" i="8" s="1"/>
  <c r="A3165" i="8" s="1"/>
  <c r="A3166" i="8" s="1"/>
  <c r="A3167" i="8" s="1"/>
  <c r="A3168" i="8" s="1"/>
  <c r="A3169" i="8" s="1"/>
  <c r="A3170" i="8" s="1"/>
  <c r="A3171" i="8" s="1"/>
  <c r="A3172" i="8" s="1"/>
  <c r="A3173" i="8" s="1"/>
  <c r="A3174" i="8" s="1"/>
  <c r="A3175" i="8" s="1"/>
  <c r="A3176" i="8" s="1"/>
  <c r="A3177" i="8" s="1"/>
  <c r="A3178" i="8" s="1"/>
  <c r="A3179" i="8" s="1"/>
  <c r="A3180" i="8" s="1"/>
  <c r="A3181" i="8" s="1"/>
  <c r="A3182" i="8" s="1"/>
  <c r="A3183" i="8" s="1"/>
  <c r="A3184" i="8" s="1"/>
  <c r="A3185" i="8" s="1"/>
  <c r="A3186" i="8" s="1"/>
  <c r="A3187" i="8" s="1"/>
  <c r="A3188" i="8" s="1"/>
  <c r="A3189" i="8" s="1"/>
  <c r="A3190" i="8" s="1"/>
  <c r="A3191" i="8" s="1"/>
  <c r="A3192" i="8" s="1"/>
  <c r="A3193" i="8" s="1"/>
  <c r="A3194" i="8" s="1"/>
  <c r="A3195" i="8" s="1"/>
  <c r="A3196" i="8" s="1"/>
  <c r="A3197" i="8" s="1"/>
  <c r="A3198" i="8" s="1"/>
  <c r="A3199" i="8" s="1"/>
  <c r="A3200" i="8" s="1"/>
  <c r="A3201" i="8" s="1"/>
  <c r="A3202" i="8" s="1"/>
  <c r="A3203" i="8" s="1"/>
  <c r="A3204" i="8" s="1"/>
  <c r="A3205" i="8" s="1"/>
  <c r="A3206" i="8" s="1"/>
  <c r="A3207" i="8" s="1"/>
  <c r="A3208" i="8" s="1"/>
  <c r="A3209" i="8" s="1"/>
  <c r="A3210" i="8" s="1"/>
  <c r="A3211" i="8" s="1"/>
  <c r="A3212" i="8" s="1"/>
  <c r="A3213" i="8" s="1"/>
  <c r="A3214" i="8" s="1"/>
  <c r="A3215" i="8" s="1"/>
  <c r="A3216" i="8" s="1"/>
  <c r="A3217" i="8" s="1"/>
  <c r="A3218" i="8" s="1"/>
  <c r="A3219" i="8" s="1"/>
  <c r="A3220" i="8" s="1"/>
  <c r="A3221" i="8" s="1"/>
  <c r="A3222" i="8" s="1"/>
  <c r="A3223" i="8" s="1"/>
  <c r="A3224" i="8" s="1"/>
  <c r="A3225" i="8" s="1"/>
  <c r="A3226" i="8" s="1"/>
  <c r="A3227" i="8" s="1"/>
  <c r="A3228" i="8" s="1"/>
  <c r="A3229" i="8" s="1"/>
  <c r="A3230" i="8" s="1"/>
  <c r="A3231" i="8" s="1"/>
  <c r="A3232" i="8" s="1"/>
  <c r="A3233" i="8" s="1"/>
  <c r="A3234" i="8" s="1"/>
  <c r="A3235" i="8" s="1"/>
  <c r="A3236" i="8" s="1"/>
  <c r="A3237" i="8" s="1"/>
  <c r="A3238" i="8" s="1"/>
  <c r="A3239" i="8" s="1"/>
  <c r="A3240" i="8" s="1"/>
  <c r="A3241" i="8" s="1"/>
  <c r="A3242" i="8" s="1"/>
  <c r="A3243" i="8" s="1"/>
  <c r="A3244" i="8" s="1"/>
  <c r="A3245" i="8" s="1"/>
  <c r="A3246" i="8" s="1"/>
  <c r="A3247" i="8" s="1"/>
  <c r="A3248" i="8" s="1"/>
  <c r="A3249" i="8" s="1"/>
  <c r="A3250" i="8" s="1"/>
  <c r="A3251" i="8" s="1"/>
  <c r="A3252" i="8" s="1"/>
  <c r="A3253" i="8" s="1"/>
  <c r="A3254" i="8" s="1"/>
  <c r="A3255" i="8" s="1"/>
  <c r="A3256" i="8" s="1"/>
  <c r="A3257" i="8" s="1"/>
  <c r="A3258" i="8" s="1"/>
  <c r="A3259" i="8" s="1"/>
  <c r="A3260" i="8" s="1"/>
  <c r="A3261" i="8" s="1"/>
  <c r="A3262" i="8" s="1"/>
  <c r="A3263" i="8" s="1"/>
  <c r="A3264" i="8" s="1"/>
  <c r="A3265" i="8" s="1"/>
  <c r="A3266" i="8" s="1"/>
  <c r="A3267" i="8" s="1"/>
  <c r="A3268" i="8" s="1"/>
  <c r="A3269" i="8" s="1"/>
  <c r="A3270" i="8" s="1"/>
  <c r="A3271" i="8" s="1"/>
  <c r="A3272" i="8" s="1"/>
  <c r="A3273" i="8" s="1"/>
  <c r="A3274" i="8" s="1"/>
  <c r="A3275" i="8" s="1"/>
  <c r="A3276" i="8" s="1"/>
  <c r="A3277" i="8" s="1"/>
  <c r="A3278" i="8" s="1"/>
  <c r="A3279" i="8" s="1"/>
  <c r="A3280" i="8" s="1"/>
  <c r="A3281" i="8" s="1"/>
  <c r="A3282" i="8" s="1"/>
  <c r="A3283" i="8" s="1"/>
  <c r="A3284" i="8" s="1"/>
  <c r="A3285" i="8" s="1"/>
  <c r="A3286" i="8" s="1"/>
  <c r="A3287" i="8" s="1"/>
  <c r="A3288" i="8" s="1"/>
  <c r="A3289" i="8" s="1"/>
  <c r="A3290" i="8" s="1"/>
  <c r="A3291" i="8" s="1"/>
  <c r="A3292" i="8" s="1"/>
  <c r="A3293" i="8" s="1"/>
  <c r="A3294" i="8" s="1"/>
  <c r="A3295" i="8" s="1"/>
  <c r="A3296" i="8" s="1"/>
  <c r="A3297" i="8" s="1"/>
  <c r="A3298" i="8" s="1"/>
  <c r="A3299" i="8" s="1"/>
  <c r="A3300" i="8" s="1"/>
  <c r="A3301" i="8" s="1"/>
  <c r="A3302" i="8" s="1"/>
  <c r="A3303" i="8" s="1"/>
  <c r="A3304" i="8" s="1"/>
  <c r="A3305" i="8" s="1"/>
  <c r="A3306" i="8" s="1"/>
  <c r="A3307" i="8" s="1"/>
  <c r="A3308" i="8" s="1"/>
  <c r="A3309" i="8" s="1"/>
  <c r="A3310" i="8" s="1"/>
  <c r="A3311" i="8" s="1"/>
  <c r="A3312" i="8" s="1"/>
  <c r="A3313" i="8" s="1"/>
  <c r="A3314" i="8" s="1"/>
  <c r="A3315" i="8" s="1"/>
  <c r="A3316" i="8" s="1"/>
  <c r="A3317" i="8" s="1"/>
  <c r="A3318" i="8" s="1"/>
  <c r="A3319" i="8" s="1"/>
  <c r="A3320" i="8" s="1"/>
  <c r="A3321" i="8" s="1"/>
  <c r="A3322" i="8" s="1"/>
  <c r="A3323" i="8" s="1"/>
  <c r="A3324" i="8" s="1"/>
  <c r="A3325" i="8" s="1"/>
  <c r="A3326" i="8" s="1"/>
  <c r="A3327" i="8" s="1"/>
  <c r="A3328" i="8" s="1"/>
  <c r="A3329" i="8" s="1"/>
  <c r="A3330" i="8" s="1"/>
  <c r="A3331" i="8" s="1"/>
  <c r="A3332" i="8" s="1"/>
  <c r="A3333" i="8" s="1"/>
  <c r="A3334" i="8" s="1"/>
  <c r="A3335" i="8" s="1"/>
  <c r="A3336" i="8" s="1"/>
  <c r="A3337" i="8" s="1"/>
  <c r="A3338" i="8" s="1"/>
  <c r="A3339" i="8" s="1"/>
  <c r="A3340" i="8" s="1"/>
  <c r="A3341" i="8" s="1"/>
  <c r="A3342" i="8" s="1"/>
  <c r="A3343" i="8" s="1"/>
  <c r="A3344" i="8" s="1"/>
  <c r="A3345" i="8" s="1"/>
  <c r="A3346" i="8" s="1"/>
  <c r="A3347" i="8" s="1"/>
  <c r="A3348" i="8" s="1"/>
  <c r="A3349" i="8" s="1"/>
  <c r="A3350" i="8" s="1"/>
  <c r="A3351" i="8" s="1"/>
  <c r="A3352" i="8" s="1"/>
  <c r="A3353" i="8" s="1"/>
  <c r="A3354" i="8" s="1"/>
  <c r="A3355" i="8" s="1"/>
  <c r="A3356" i="8" s="1"/>
  <c r="A3357" i="8" s="1"/>
  <c r="A3358" i="8" s="1"/>
  <c r="A3359" i="8" s="1"/>
  <c r="A3360" i="8" s="1"/>
  <c r="A3361" i="8" s="1"/>
  <c r="A3362" i="8" s="1"/>
  <c r="A3363" i="8" s="1"/>
  <c r="A3364" i="8" s="1"/>
  <c r="A3365" i="8" s="1"/>
  <c r="A3366" i="8" s="1"/>
  <c r="A3367" i="8" s="1"/>
  <c r="A3368" i="8" s="1"/>
  <c r="A3369" i="8" s="1"/>
  <c r="A3370" i="8" s="1"/>
  <c r="A3371" i="8" s="1"/>
  <c r="A3372" i="8" s="1"/>
  <c r="A3373" i="8" s="1"/>
  <c r="A3374" i="8" s="1"/>
  <c r="A3375" i="8" s="1"/>
  <c r="A3376" i="8" s="1"/>
  <c r="A3377" i="8" s="1"/>
  <c r="A3378" i="8" s="1"/>
  <c r="A3379" i="8" s="1"/>
  <c r="A3380" i="8" s="1"/>
  <c r="A3381" i="8" s="1"/>
  <c r="A3382" i="8" s="1"/>
  <c r="A3383" i="8" s="1"/>
  <c r="A3384" i="8" s="1"/>
  <c r="A3385" i="8" s="1"/>
  <c r="A3386" i="8" s="1"/>
  <c r="A3387" i="8" s="1"/>
  <c r="A3388" i="8" s="1"/>
  <c r="A3389" i="8" s="1"/>
  <c r="A3390" i="8" s="1"/>
  <c r="A3391" i="8" s="1"/>
  <c r="A3392" i="8" s="1"/>
  <c r="A3393" i="8" s="1"/>
  <c r="A3394" i="8" s="1"/>
  <c r="A3395" i="8" s="1"/>
  <c r="A3396" i="8" s="1"/>
  <c r="A3397" i="8" s="1"/>
  <c r="A3398" i="8" s="1"/>
  <c r="A3399" i="8" s="1"/>
  <c r="A3400" i="8" s="1"/>
  <c r="A3401" i="8" s="1"/>
  <c r="A3402" i="8" s="1"/>
  <c r="A3403" i="8" s="1"/>
  <c r="A3404" i="8" s="1"/>
  <c r="A3405" i="8" s="1"/>
  <c r="A3406" i="8" s="1"/>
  <c r="A3407" i="8" s="1"/>
  <c r="A3408" i="8" s="1"/>
  <c r="A3409" i="8" s="1"/>
  <c r="A3410" i="8" s="1"/>
  <c r="A3411" i="8" s="1"/>
  <c r="A3412" i="8" s="1"/>
  <c r="A3413" i="8" s="1"/>
  <c r="A3414" i="8" s="1"/>
  <c r="A3415" i="8" s="1"/>
  <c r="A3416" i="8" s="1"/>
  <c r="A3417" i="8" s="1"/>
  <c r="A3418" i="8" s="1"/>
  <c r="A3419" i="8" s="1"/>
  <c r="A3420" i="8" s="1"/>
  <c r="A3421" i="8" s="1"/>
  <c r="A3422" i="8" s="1"/>
  <c r="A3423" i="8" s="1"/>
  <c r="A3424" i="8" s="1"/>
  <c r="A3425" i="8" s="1"/>
  <c r="A3426" i="8" s="1"/>
  <c r="A3427" i="8" s="1"/>
  <c r="A3428" i="8" s="1"/>
  <c r="A3429" i="8" s="1"/>
  <c r="A3430" i="8" s="1"/>
  <c r="A3431" i="8" s="1"/>
  <c r="A3432" i="8" s="1"/>
  <c r="A3433" i="8" s="1"/>
  <c r="A3434" i="8" s="1"/>
  <c r="A3435" i="8" s="1"/>
  <c r="A3436" i="8" s="1"/>
  <c r="A3437" i="8" s="1"/>
  <c r="A3438" i="8" s="1"/>
  <c r="A3439" i="8" s="1"/>
  <c r="A3440" i="8" s="1"/>
  <c r="A3441" i="8" s="1"/>
  <c r="A3442" i="8" s="1"/>
  <c r="A3443" i="8" s="1"/>
  <c r="A3444" i="8" s="1"/>
  <c r="A3445" i="8" s="1"/>
  <c r="A3446" i="8" s="1"/>
  <c r="A3447" i="8" s="1"/>
  <c r="A3448" i="8" s="1"/>
  <c r="A3449" i="8" s="1"/>
  <c r="A3450" i="8" s="1"/>
  <c r="A3451" i="8" s="1"/>
  <c r="A3452" i="8" s="1"/>
  <c r="A3453" i="8" s="1"/>
  <c r="A3454" i="8" s="1"/>
  <c r="A3455" i="8" s="1"/>
  <c r="A3456" i="8" s="1"/>
  <c r="A3457" i="8" s="1"/>
  <c r="A3458" i="8" s="1"/>
  <c r="A3459" i="8" s="1"/>
  <c r="A3460" i="8" s="1"/>
  <c r="A3461" i="8" s="1"/>
  <c r="A3462" i="8" s="1"/>
  <c r="A3463" i="8" s="1"/>
  <c r="A3464" i="8" s="1"/>
  <c r="A3465" i="8" s="1"/>
  <c r="A3466" i="8" s="1"/>
  <c r="A3467" i="8" s="1"/>
  <c r="A3468" i="8" s="1"/>
  <c r="A3469" i="8" s="1"/>
  <c r="A3470" i="8" s="1"/>
  <c r="A3471" i="8" s="1"/>
  <c r="A3472" i="8" s="1"/>
  <c r="A3473" i="8" s="1"/>
  <c r="A3474" i="8" s="1"/>
  <c r="A3475" i="8" s="1"/>
  <c r="A3476" i="8" s="1"/>
  <c r="A3477" i="8" s="1"/>
  <c r="A3478" i="8" s="1"/>
  <c r="A3479" i="8" s="1"/>
  <c r="A3480" i="8" s="1"/>
  <c r="A3481" i="8" s="1"/>
  <c r="A3482" i="8" s="1"/>
  <c r="A3483" i="8" s="1"/>
  <c r="A3484" i="8" s="1"/>
  <c r="A3485" i="8" s="1"/>
  <c r="A3486" i="8" s="1"/>
  <c r="A3487" i="8" s="1"/>
  <c r="A3488" i="8" s="1"/>
  <c r="A3489" i="8" s="1"/>
  <c r="A3490" i="8" s="1"/>
  <c r="A3491" i="8" s="1"/>
  <c r="A3492" i="8" s="1"/>
  <c r="A3493" i="8" s="1"/>
  <c r="A3494" i="8" s="1"/>
  <c r="A3495" i="8" s="1"/>
  <c r="A3496" i="8" s="1"/>
  <c r="A3497" i="8" s="1"/>
  <c r="A3498" i="8" s="1"/>
  <c r="A3499" i="8" s="1"/>
  <c r="A3500" i="8" s="1"/>
  <c r="A3501" i="8" s="1"/>
  <c r="A3502" i="8" s="1"/>
  <c r="A3503" i="8" s="1"/>
  <c r="A3504" i="8" s="1"/>
  <c r="A3505" i="8" s="1"/>
  <c r="A3506" i="8" s="1"/>
  <c r="A3507" i="8" s="1"/>
  <c r="A3508" i="8" s="1"/>
  <c r="A3509" i="8" s="1"/>
  <c r="A3510" i="8" s="1"/>
  <c r="A3511" i="8" s="1"/>
  <c r="A3512" i="8" s="1"/>
  <c r="A3513" i="8" s="1"/>
  <c r="A3514" i="8" s="1"/>
  <c r="A3515" i="8" s="1"/>
  <c r="A3516" i="8" s="1"/>
  <c r="A3517" i="8" s="1"/>
  <c r="A3518" i="8" s="1"/>
  <c r="A3519" i="8" s="1"/>
  <c r="A3520" i="8" s="1"/>
  <c r="A3521" i="8" s="1"/>
  <c r="A3522" i="8" s="1"/>
  <c r="A3523" i="8" s="1"/>
  <c r="A3524" i="8" s="1"/>
  <c r="A3525" i="8" s="1"/>
  <c r="A3526" i="8" s="1"/>
  <c r="A3527" i="8" s="1"/>
  <c r="A3528" i="8" s="1"/>
  <c r="A3529" i="8" s="1"/>
  <c r="A3530" i="8" s="1"/>
  <c r="A3531" i="8" s="1"/>
  <c r="A3532" i="8" s="1"/>
  <c r="A3533" i="8" s="1"/>
  <c r="A3534" i="8" s="1"/>
  <c r="A3535" i="8" s="1"/>
  <c r="A3536" i="8" s="1"/>
  <c r="A3537" i="8" s="1"/>
  <c r="A3538" i="8" s="1"/>
  <c r="A3539" i="8" s="1"/>
  <c r="A3540" i="8" s="1"/>
  <c r="A3541" i="8" s="1"/>
  <c r="A3542" i="8" s="1"/>
  <c r="A3543" i="8" s="1"/>
  <c r="A3544" i="8" s="1"/>
  <c r="A3545" i="8" s="1"/>
  <c r="A3546" i="8" s="1"/>
  <c r="A3547" i="8" s="1"/>
  <c r="A3548" i="8" s="1"/>
  <c r="A3549" i="8" s="1"/>
  <c r="A3550" i="8" s="1"/>
  <c r="A3551" i="8" s="1"/>
  <c r="A3552" i="8" s="1"/>
  <c r="A3553" i="8" s="1"/>
  <c r="A3554" i="8" s="1"/>
  <c r="A3555" i="8" s="1"/>
  <c r="A3556" i="8" s="1"/>
  <c r="A3557" i="8" s="1"/>
  <c r="A3558" i="8" s="1"/>
  <c r="A3559" i="8" s="1"/>
  <c r="A3560" i="8" s="1"/>
  <c r="A3561" i="8" s="1"/>
  <c r="A3562" i="8" s="1"/>
  <c r="A3563" i="8" s="1"/>
  <c r="A3564" i="8" s="1"/>
  <c r="A3565" i="8" s="1"/>
  <c r="A3566" i="8" s="1"/>
  <c r="A3567" i="8" s="1"/>
  <c r="A3568" i="8" s="1"/>
  <c r="A3569" i="8" s="1"/>
  <c r="A3570" i="8" s="1"/>
  <c r="A3571" i="8" s="1"/>
  <c r="A3572" i="8" s="1"/>
  <c r="A3573" i="8" s="1"/>
  <c r="A3574" i="8" s="1"/>
  <c r="A3575" i="8" s="1"/>
  <c r="A3576" i="8" s="1"/>
  <c r="A3577" i="8" s="1"/>
  <c r="A3578" i="8" s="1"/>
  <c r="A3579" i="8" s="1"/>
  <c r="A3580" i="8" s="1"/>
  <c r="A3581" i="8" s="1"/>
  <c r="A3582" i="8" s="1"/>
  <c r="A3583" i="8" s="1"/>
  <c r="A3584" i="8" s="1"/>
  <c r="A3585" i="8" s="1"/>
  <c r="A3586" i="8" s="1"/>
  <c r="A3587" i="8" s="1"/>
  <c r="A3588" i="8" s="1"/>
  <c r="A3589" i="8" s="1"/>
  <c r="A3590" i="8" s="1"/>
  <c r="A3591" i="8" s="1"/>
  <c r="A3592" i="8" s="1"/>
  <c r="A3593" i="8" s="1"/>
  <c r="A3594" i="8" s="1"/>
  <c r="A3595" i="8" s="1"/>
  <c r="A3596" i="8" s="1"/>
  <c r="A3597" i="8" s="1"/>
  <c r="A3598" i="8" s="1"/>
  <c r="A3599" i="8" s="1"/>
  <c r="A3600" i="8" s="1"/>
  <c r="A3601" i="8" s="1"/>
  <c r="A3602" i="8" s="1"/>
  <c r="A3603" i="8" s="1"/>
  <c r="A3604" i="8" s="1"/>
  <c r="A3605" i="8" s="1"/>
  <c r="A3606" i="8" s="1"/>
  <c r="A3607" i="8" s="1"/>
  <c r="A3608" i="8" s="1"/>
  <c r="A3609" i="8" s="1"/>
  <c r="A3610" i="8" s="1"/>
  <c r="A3611" i="8" s="1"/>
  <c r="A3612" i="8" s="1"/>
  <c r="A3613" i="8" s="1"/>
  <c r="A3614" i="8" s="1"/>
  <c r="A3615" i="8" s="1"/>
  <c r="A3616" i="8" s="1"/>
  <c r="A3617" i="8" s="1"/>
  <c r="A3618" i="8" s="1"/>
  <c r="A3619" i="8" s="1"/>
  <c r="A3620" i="8" s="1"/>
  <c r="A3621" i="8" s="1"/>
  <c r="A3622" i="8" s="1"/>
  <c r="A3623" i="8" s="1"/>
  <c r="A3624" i="8" s="1"/>
  <c r="A3625" i="8" s="1"/>
  <c r="A3626" i="8" s="1"/>
  <c r="A3627" i="8" s="1"/>
  <c r="A3628" i="8" s="1"/>
  <c r="A3629" i="8" s="1"/>
  <c r="A3630" i="8" s="1"/>
  <c r="A3631" i="8" s="1"/>
  <c r="A3632" i="8" s="1"/>
  <c r="A3633" i="8" s="1"/>
  <c r="A3634" i="8" s="1"/>
  <c r="A3635" i="8" s="1"/>
  <c r="A3636" i="8" s="1"/>
  <c r="A3637" i="8" s="1"/>
  <c r="A3638" i="8" s="1"/>
  <c r="A3639" i="8" s="1"/>
  <c r="A3640" i="8" s="1"/>
  <c r="A3641" i="8" s="1"/>
  <c r="A3642" i="8" s="1"/>
  <c r="A3643" i="8" s="1"/>
  <c r="A3644" i="8" s="1"/>
  <c r="A3645" i="8" s="1"/>
  <c r="A3646" i="8" s="1"/>
  <c r="A3647" i="8" s="1"/>
  <c r="A3648" i="8" s="1"/>
  <c r="A3649" i="8" s="1"/>
  <c r="A3650" i="8" s="1"/>
  <c r="A3651" i="8" s="1"/>
  <c r="A3652" i="8" s="1"/>
  <c r="A3653" i="8" s="1"/>
  <c r="A3654" i="8" s="1"/>
  <c r="A3655" i="8" s="1"/>
  <c r="A3656" i="8" s="1"/>
  <c r="A3657" i="8" s="1"/>
  <c r="A3658" i="8" s="1"/>
  <c r="A3659" i="8" s="1"/>
  <c r="A3660" i="8" s="1"/>
  <c r="A3661" i="8" s="1"/>
  <c r="A3662" i="8" s="1"/>
  <c r="A3663" i="8" s="1"/>
  <c r="A3664" i="8" s="1"/>
  <c r="A3665" i="8" s="1"/>
  <c r="A3666" i="8" s="1"/>
  <c r="A3667" i="8" s="1"/>
  <c r="A3668" i="8" s="1"/>
  <c r="A3669" i="8" s="1"/>
  <c r="A3670" i="8" s="1"/>
  <c r="A3671" i="8" s="1"/>
  <c r="A3672" i="8" s="1"/>
  <c r="A3673" i="8" s="1"/>
  <c r="A3674" i="8" s="1"/>
  <c r="A3675" i="8" s="1"/>
  <c r="A3676" i="8" s="1"/>
  <c r="A3677" i="8" s="1"/>
  <c r="A3678" i="8" s="1"/>
  <c r="A3679" i="8" s="1"/>
  <c r="A3680" i="8" s="1"/>
  <c r="A3681" i="8" s="1"/>
  <c r="A3682" i="8" s="1"/>
  <c r="A3683" i="8" s="1"/>
  <c r="A3684" i="8" s="1"/>
  <c r="A3685" i="8" s="1"/>
  <c r="A3686" i="8" s="1"/>
  <c r="A3687" i="8" s="1"/>
  <c r="A3688" i="8" s="1"/>
  <c r="A3689" i="8" s="1"/>
  <c r="A3690" i="8" s="1"/>
  <c r="A3691" i="8" s="1"/>
  <c r="A3692" i="8" s="1"/>
  <c r="A3693" i="8" s="1"/>
  <c r="A3694" i="8" s="1"/>
  <c r="A3695" i="8" s="1"/>
  <c r="A3696" i="8" s="1"/>
  <c r="A3697" i="8" s="1"/>
  <c r="A3698" i="8" s="1"/>
  <c r="A3699" i="8" s="1"/>
  <c r="A3700" i="8" s="1"/>
  <c r="A3701" i="8" s="1"/>
  <c r="A3702" i="8" s="1"/>
  <c r="A3703" i="8" s="1"/>
  <c r="A3704" i="8" s="1"/>
  <c r="A3705" i="8" s="1"/>
  <c r="A3706" i="8" s="1"/>
  <c r="A3707" i="8" s="1"/>
  <c r="A3708" i="8" s="1"/>
  <c r="A3709" i="8" s="1"/>
  <c r="A3710" i="8" s="1"/>
  <c r="A3711" i="8" s="1"/>
  <c r="A3712" i="8" s="1"/>
  <c r="A3713" i="8" s="1"/>
  <c r="A3714" i="8" s="1"/>
  <c r="A3715" i="8" s="1"/>
  <c r="A3716" i="8" s="1"/>
  <c r="A3717" i="8" s="1"/>
  <c r="A3718" i="8" s="1"/>
  <c r="A3719" i="8" s="1"/>
  <c r="A3720" i="8" s="1"/>
  <c r="A3721" i="8" s="1"/>
  <c r="A3722" i="8" s="1"/>
  <c r="A3723" i="8" s="1"/>
  <c r="A3724" i="8" s="1"/>
  <c r="A3725" i="8" s="1"/>
  <c r="A3726" i="8" s="1"/>
  <c r="A3727" i="8" s="1"/>
  <c r="A3728" i="8" s="1"/>
  <c r="A3729" i="8" s="1"/>
  <c r="A3730" i="8" s="1"/>
  <c r="A3731" i="8" s="1"/>
  <c r="A3732" i="8" s="1"/>
  <c r="A3733" i="8" s="1"/>
  <c r="A3734" i="8" s="1"/>
  <c r="A3735" i="8" s="1"/>
  <c r="A3736" i="8" s="1"/>
  <c r="A3737" i="8" s="1"/>
  <c r="A3738" i="8" s="1"/>
  <c r="A3739" i="8" s="1"/>
  <c r="A3740" i="8" s="1"/>
  <c r="A3741" i="8" s="1"/>
  <c r="A3742" i="8" s="1"/>
  <c r="A3743" i="8" s="1"/>
  <c r="A3744" i="8" s="1"/>
  <c r="A3745" i="8" s="1"/>
  <c r="A3746" i="8" s="1"/>
  <c r="A3747" i="8" s="1"/>
  <c r="A3748" i="8" s="1"/>
  <c r="A3749" i="8" s="1"/>
  <c r="A3750" i="8" s="1"/>
  <c r="A3751" i="8" s="1"/>
  <c r="A3752" i="8" s="1"/>
  <c r="A3753" i="8" s="1"/>
  <c r="A3754" i="8" s="1"/>
  <c r="A3755" i="8" s="1"/>
  <c r="A3756" i="8" s="1"/>
  <c r="A3757" i="8" s="1"/>
  <c r="A3758" i="8" s="1"/>
  <c r="A3759" i="8" s="1"/>
  <c r="A3760" i="8" s="1"/>
  <c r="A3761" i="8" s="1"/>
  <c r="A3762" i="8" s="1"/>
  <c r="A3763" i="8" s="1"/>
  <c r="A3764" i="8" s="1"/>
  <c r="A3765" i="8" s="1"/>
  <c r="A3766" i="8" s="1"/>
  <c r="A3767" i="8" s="1"/>
  <c r="A3768" i="8" s="1"/>
  <c r="A3769" i="8" s="1"/>
  <c r="A3770" i="8" s="1"/>
  <c r="A3771" i="8" s="1"/>
  <c r="A3772" i="8" s="1"/>
  <c r="A3773" i="8" s="1"/>
  <c r="A3774" i="8" s="1"/>
  <c r="A3775" i="8" s="1"/>
  <c r="A3776" i="8" s="1"/>
  <c r="A3777" i="8" s="1"/>
  <c r="A3778" i="8" s="1"/>
  <c r="A3779" i="8" s="1"/>
  <c r="A3780" i="8" s="1"/>
  <c r="A3781" i="8" s="1"/>
  <c r="A3782" i="8" s="1"/>
  <c r="A3783" i="8" s="1"/>
  <c r="A3784" i="8" s="1"/>
  <c r="A3785" i="8" s="1"/>
  <c r="A3786" i="8" s="1"/>
  <c r="A3787" i="8" s="1"/>
  <c r="A3788" i="8" s="1"/>
  <c r="A3789" i="8" s="1"/>
  <c r="A3790" i="8" s="1"/>
  <c r="A3791" i="8" s="1"/>
  <c r="A3792" i="8" s="1"/>
  <c r="A3793" i="8" s="1"/>
  <c r="A3794" i="8" s="1"/>
  <c r="A3795" i="8" s="1"/>
  <c r="A3796" i="8" s="1"/>
  <c r="A3797" i="8" s="1"/>
  <c r="A3798" i="8" s="1"/>
  <c r="A3799" i="8" s="1"/>
  <c r="A3800" i="8" s="1"/>
  <c r="A3801" i="8" s="1"/>
  <c r="A3802" i="8" s="1"/>
  <c r="A3803" i="8" s="1"/>
  <c r="A3804" i="8" s="1"/>
  <c r="A3805" i="8" s="1"/>
  <c r="A3806" i="8" s="1"/>
  <c r="A3807" i="8" s="1"/>
  <c r="A3808" i="8" s="1"/>
  <c r="A3809" i="8" s="1"/>
  <c r="A3810" i="8" s="1"/>
  <c r="A3811" i="8" s="1"/>
  <c r="A3812" i="8" s="1"/>
  <c r="A3813" i="8" s="1"/>
  <c r="A3814" i="8" s="1"/>
  <c r="A3815" i="8" s="1"/>
  <c r="A3816" i="8" s="1"/>
  <c r="A3817" i="8" s="1"/>
  <c r="A3818" i="8" s="1"/>
  <c r="A3819" i="8" s="1"/>
  <c r="A3820" i="8" s="1"/>
  <c r="A3821" i="8" s="1"/>
  <c r="A3822" i="8" s="1"/>
  <c r="A3823" i="8" s="1"/>
  <c r="A3824" i="8" s="1"/>
  <c r="A3825" i="8" s="1"/>
  <c r="A3826" i="8" s="1"/>
  <c r="A3827" i="8" s="1"/>
  <c r="A3828" i="8" s="1"/>
  <c r="A3829" i="8" s="1"/>
  <c r="A3830" i="8" s="1"/>
  <c r="A3831" i="8" s="1"/>
  <c r="A3832" i="8" s="1"/>
  <c r="A3833" i="8" s="1"/>
  <c r="A3834" i="8" s="1"/>
  <c r="A3835" i="8" s="1"/>
  <c r="A3836" i="8" s="1"/>
  <c r="A3837" i="8" s="1"/>
  <c r="A3838" i="8" s="1"/>
  <c r="A3839" i="8" s="1"/>
  <c r="A3840" i="8" s="1"/>
  <c r="A3841" i="8" s="1"/>
  <c r="A3842" i="8" s="1"/>
  <c r="A3843" i="8" s="1"/>
  <c r="A3844" i="8" s="1"/>
  <c r="A3845" i="8" s="1"/>
  <c r="A3846" i="8" s="1"/>
  <c r="A3847" i="8" s="1"/>
  <c r="A3848" i="8" s="1"/>
  <c r="A3849" i="8" s="1"/>
  <c r="A3850" i="8" s="1"/>
  <c r="A3851" i="8" s="1"/>
  <c r="A3852" i="8" s="1"/>
  <c r="H16" i="5"/>
  <c r="J16" i="5"/>
  <c r="H17" i="5"/>
  <c r="J17" i="5"/>
  <c r="H18" i="5"/>
  <c r="J18" i="5"/>
  <c r="H19" i="5"/>
  <c r="J19" i="5"/>
  <c r="H20" i="5"/>
  <c r="J20" i="5"/>
  <c r="H21" i="5"/>
  <c r="J21" i="5"/>
  <c r="H22" i="5"/>
  <c r="J22" i="5"/>
  <c r="H23" i="5"/>
  <c r="J23" i="5"/>
  <c r="H24" i="5"/>
  <c r="J24" i="5"/>
  <c r="H25" i="5"/>
  <c r="J25" i="5"/>
  <c r="H26" i="5"/>
  <c r="J26" i="5"/>
  <c r="H27" i="5"/>
  <c r="J27" i="5"/>
  <c r="F17" i="5"/>
  <c r="F18" i="5"/>
  <c r="F19" i="5"/>
  <c r="F20" i="5"/>
  <c r="F21" i="5"/>
  <c r="F22" i="5"/>
  <c r="F23" i="5"/>
  <c r="F24" i="5"/>
  <c r="F25" i="5"/>
  <c r="F26" i="5"/>
  <c r="F27" i="5"/>
  <c r="G27" i="5"/>
  <c r="G26" i="5"/>
  <c r="G25" i="5"/>
  <c r="G24" i="5"/>
  <c r="G23" i="5"/>
  <c r="G22" i="5"/>
  <c r="G21" i="5"/>
  <c r="G20" i="5"/>
  <c r="G19" i="5"/>
  <c r="G18" i="5"/>
  <c r="G17" i="5"/>
  <c r="G16" i="5"/>
  <c r="F16" i="5"/>
  <c r="F2" i="5"/>
  <c r="H995" i="2"/>
  <c r="H996" i="2"/>
  <c r="H997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1" i="2"/>
  <c r="H1562" i="2"/>
  <c r="H992" i="2"/>
  <c r="H993" i="2"/>
  <c r="H989" i="2"/>
  <c r="H990" i="2"/>
  <c r="H986" i="2"/>
  <c r="H987" i="2"/>
  <c r="K1705" i="2"/>
  <c r="K1707" i="2"/>
  <c r="K1709" i="2"/>
  <c r="K1710" i="2"/>
  <c r="K1722" i="2"/>
  <c r="K1723" i="2"/>
  <c r="K1724" i="2"/>
  <c r="K1726" i="2"/>
  <c r="K1727" i="2"/>
  <c r="I1656" i="2"/>
  <c r="I1680" i="2"/>
  <c r="I1687" i="2"/>
  <c r="I1649" i="2"/>
  <c r="O1660" i="2"/>
  <c r="O1661" i="2"/>
  <c r="O1663" i="2"/>
  <c r="O1665" i="2"/>
  <c r="O1668" i="2"/>
  <c r="O1669" i="2"/>
  <c r="O1672" i="2"/>
  <c r="O1674" i="2"/>
  <c r="O1675" i="2"/>
  <c r="O1676" i="2"/>
  <c r="O1679" i="2"/>
  <c r="O1680" i="2"/>
  <c r="O1681" i="2"/>
  <c r="O1682" i="2"/>
  <c r="O1683" i="2"/>
  <c r="O1684" i="2"/>
  <c r="O1685" i="2"/>
  <c r="O1686" i="2"/>
  <c r="O1687" i="2"/>
  <c r="O1688" i="2"/>
  <c r="O1689" i="2"/>
  <c r="O1691" i="2"/>
  <c r="O1693" i="2"/>
  <c r="O1697" i="2"/>
  <c r="O1701" i="2"/>
  <c r="O1704" i="2"/>
  <c r="O1658" i="2"/>
  <c r="O1656" i="2"/>
  <c r="O1650" i="2"/>
  <c r="O1651" i="2"/>
  <c r="O1652" i="2"/>
  <c r="O1653" i="2"/>
  <c r="O1654" i="2"/>
  <c r="O1655" i="2"/>
  <c r="K1659" i="2"/>
  <c r="K1665" i="2"/>
  <c r="K1664" i="2"/>
  <c r="K1663" i="2"/>
  <c r="K1667" i="2"/>
  <c r="K1670" i="2"/>
  <c r="K1675" i="2"/>
  <c r="K1674" i="2"/>
  <c r="K1673" i="2"/>
  <c r="K1678" i="2"/>
  <c r="K1677" i="2"/>
  <c r="K1692" i="2"/>
  <c r="K1695" i="2"/>
  <c r="K1694" i="2"/>
  <c r="K1700" i="2"/>
  <c r="K1699" i="2"/>
  <c r="K1703" i="2"/>
  <c r="O1649" i="2"/>
  <c r="C1650" i="2"/>
  <c r="I1650" i="2"/>
  <c r="H2124" i="2"/>
  <c r="H2125" i="2"/>
  <c r="H2126" i="2"/>
  <c r="H2127" i="2"/>
  <c r="H2128" i="2"/>
  <c r="H2129" i="2"/>
  <c r="H2130" i="2"/>
  <c r="H2116" i="2"/>
  <c r="H2117" i="2"/>
  <c r="H2118" i="2"/>
  <c r="H2119" i="2"/>
  <c r="H2120" i="2"/>
  <c r="H2121" i="2"/>
  <c r="H2122" i="2"/>
  <c r="H2112" i="2"/>
  <c r="H2113" i="2"/>
  <c r="H2114" i="2"/>
  <c r="H2108" i="2"/>
  <c r="H2109" i="2"/>
  <c r="H2110" i="2"/>
  <c r="H2100" i="2"/>
  <c r="H2101" i="2"/>
  <c r="H2102" i="2"/>
  <c r="H2103" i="2"/>
  <c r="H2104" i="2"/>
  <c r="H2105" i="2"/>
  <c r="H2106" i="2"/>
  <c r="H2092" i="2"/>
  <c r="H2093" i="2"/>
  <c r="H2094" i="2"/>
  <c r="H2095" i="2"/>
  <c r="H2096" i="2"/>
  <c r="H2097" i="2"/>
  <c r="H2098" i="2"/>
  <c r="O2052" i="2"/>
  <c r="O2053" i="2"/>
  <c r="O2054" i="2"/>
  <c r="O2055" i="2"/>
  <c r="O2056" i="2"/>
  <c r="O2057" i="2"/>
  <c r="O2058" i="2"/>
  <c r="O1706" i="2"/>
  <c r="O1708" i="2"/>
  <c r="O1711" i="2"/>
  <c r="O1713" i="2"/>
  <c r="O1714" i="2"/>
  <c r="O1715" i="2"/>
  <c r="O1716" i="2"/>
  <c r="O1717" i="2"/>
  <c r="O1718" i="2"/>
  <c r="O1719" i="2"/>
  <c r="O1720" i="2"/>
  <c r="O1721" i="2"/>
  <c r="O1723" i="2"/>
  <c r="O1725" i="2"/>
  <c r="O1726" i="2"/>
  <c r="O1727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2051" i="2"/>
  <c r="N971" i="2"/>
  <c r="N972" i="2"/>
  <c r="N973" i="2"/>
  <c r="N974" i="2"/>
  <c r="N975" i="2"/>
  <c r="N976" i="2"/>
  <c r="N977" i="2"/>
  <c r="N978" i="2"/>
  <c r="N979" i="2"/>
  <c r="N970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47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1505" i="2"/>
  <c r="H942" i="2"/>
  <c r="H943" i="2"/>
  <c r="H944" i="2"/>
  <c r="H945" i="2"/>
  <c r="H946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59" i="2"/>
  <c r="H2084" i="2"/>
  <c r="H2085" i="2"/>
  <c r="H2086" i="2"/>
  <c r="H2087" i="2"/>
  <c r="H2088" i="2"/>
  <c r="H2089" i="2"/>
  <c r="H2090" i="2"/>
  <c r="H2076" i="2"/>
  <c r="H2077" i="2"/>
  <c r="H2078" i="2"/>
  <c r="H2079" i="2"/>
  <c r="H2080" i="2"/>
  <c r="H2081" i="2"/>
  <c r="H2082" i="2"/>
  <c r="H2068" i="2"/>
  <c r="H2069" i="2"/>
  <c r="H2070" i="2"/>
  <c r="H2071" i="2"/>
  <c r="H2072" i="2"/>
  <c r="H2073" i="2"/>
  <c r="H2074" i="2"/>
  <c r="H2060" i="2"/>
  <c r="H2061" i="2"/>
  <c r="H2062" i="2"/>
  <c r="H2063" i="2"/>
  <c r="H2064" i="2"/>
  <c r="H2065" i="2"/>
  <c r="H206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186" i="2"/>
  <c r="H211" i="2"/>
  <c r="H212" i="2"/>
  <c r="H213" i="2"/>
  <c r="H207" i="2"/>
  <c r="H208" i="2"/>
  <c r="H209" i="2"/>
  <c r="H203" i="2"/>
  <c r="H204" i="2"/>
  <c r="H205" i="2"/>
  <c r="H201" i="2"/>
  <c r="H199" i="2"/>
  <c r="H195" i="2"/>
  <c r="H196" i="2"/>
  <c r="H197" i="2"/>
  <c r="H192" i="2"/>
  <c r="H193" i="2"/>
  <c r="H191" i="2"/>
  <c r="H187" i="2"/>
  <c r="H188" i="2"/>
  <c r="H189" i="2"/>
  <c r="A187" i="2"/>
  <c r="A188" i="2"/>
  <c r="A189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I454" i="2"/>
  <c r="M454" i="2"/>
  <c r="I455" i="2"/>
  <c r="M455" i="2"/>
  <c r="I456" i="2"/>
  <c r="M456" i="2"/>
  <c r="I457" i="2"/>
  <c r="M457" i="2"/>
  <c r="I458" i="2"/>
  <c r="M458" i="2"/>
  <c r="I459" i="2"/>
  <c r="M459" i="2"/>
  <c r="I460" i="2"/>
  <c r="M460" i="2"/>
  <c r="I461" i="2"/>
  <c r="M461" i="2"/>
  <c r="I462" i="2"/>
  <c r="M462" i="2"/>
  <c r="I463" i="2"/>
  <c r="M463" i="2"/>
  <c r="I464" i="2"/>
  <c r="M464" i="2"/>
  <c r="I465" i="2"/>
  <c r="M465" i="2"/>
  <c r="I466" i="2"/>
  <c r="M466" i="2"/>
  <c r="I467" i="2"/>
  <c r="M467" i="2"/>
  <c r="I468" i="2"/>
  <c r="M468" i="2"/>
  <c r="I469" i="2"/>
  <c r="M469" i="2"/>
  <c r="I470" i="2"/>
  <c r="M470" i="2"/>
  <c r="I471" i="2"/>
  <c r="M471" i="2"/>
  <c r="I472" i="2"/>
  <c r="M472" i="2"/>
  <c r="I473" i="2"/>
  <c r="M473" i="2"/>
  <c r="I474" i="2"/>
  <c r="M474" i="2"/>
  <c r="I475" i="2"/>
  <c r="M475" i="2"/>
  <c r="I476" i="2"/>
  <c r="M476" i="2"/>
  <c r="I477" i="2"/>
  <c r="M477" i="2"/>
  <c r="I478" i="2"/>
  <c r="M478" i="2"/>
  <c r="I479" i="2"/>
  <c r="M479" i="2"/>
  <c r="I480" i="2"/>
  <c r="M480" i="2"/>
  <c r="I481" i="2"/>
  <c r="M481" i="2"/>
  <c r="I482" i="2"/>
  <c r="M482" i="2"/>
  <c r="I483" i="2"/>
  <c r="M483" i="2"/>
  <c r="I484" i="2"/>
  <c r="M484" i="2"/>
  <c r="I485" i="2"/>
  <c r="M485" i="2"/>
  <c r="I486" i="2"/>
  <c r="M486" i="2"/>
  <c r="I487" i="2"/>
  <c r="M487" i="2"/>
  <c r="I488" i="2"/>
  <c r="M488" i="2"/>
  <c r="I489" i="2"/>
  <c r="M489" i="2"/>
  <c r="I490" i="2"/>
  <c r="M490" i="2"/>
  <c r="I491" i="2"/>
  <c r="M491" i="2"/>
  <c r="I492" i="2"/>
  <c r="M492" i="2"/>
  <c r="I493" i="2"/>
  <c r="M493" i="2"/>
  <c r="I494" i="2"/>
  <c r="M494" i="2"/>
  <c r="I495" i="2"/>
  <c r="M495" i="2"/>
  <c r="I496" i="2"/>
  <c r="M496" i="2"/>
  <c r="I497" i="2"/>
  <c r="M497" i="2"/>
  <c r="I498" i="2"/>
  <c r="M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222" i="2"/>
  <c r="K1452" i="2"/>
  <c r="M1452" i="2"/>
  <c r="K1453" i="2"/>
  <c r="M1453" i="2"/>
  <c r="K1454" i="2"/>
  <c r="M1454" i="2"/>
  <c r="K1455" i="2"/>
  <c r="M1455" i="2"/>
  <c r="K1456" i="2"/>
  <c r="M1456" i="2"/>
  <c r="K1457" i="2"/>
  <c r="M1457" i="2"/>
  <c r="K1458" i="2"/>
  <c r="M1458" i="2"/>
  <c r="K1459" i="2"/>
  <c r="M1459" i="2"/>
  <c r="K1460" i="2"/>
  <c r="M1460" i="2"/>
  <c r="K1461" i="2"/>
  <c r="M1461" i="2"/>
  <c r="K1462" i="2"/>
  <c r="M1462" i="2"/>
  <c r="K1463" i="2"/>
  <c r="M1463" i="2"/>
  <c r="K1464" i="2"/>
  <c r="M1464" i="2"/>
  <c r="K1465" i="2"/>
  <c r="M1465" i="2"/>
  <c r="K1466" i="2"/>
  <c r="M1466" i="2"/>
  <c r="K1467" i="2"/>
  <c r="M1467" i="2"/>
  <c r="K1468" i="2"/>
  <c r="M1468" i="2"/>
  <c r="K1469" i="2"/>
  <c r="M1469" i="2"/>
  <c r="K1470" i="2"/>
  <c r="M1470" i="2"/>
  <c r="K1471" i="2"/>
  <c r="M1471" i="2"/>
  <c r="K1472" i="2"/>
  <c r="M1472" i="2"/>
  <c r="K1473" i="2"/>
  <c r="M1473" i="2"/>
  <c r="K1474" i="2"/>
  <c r="M1474" i="2"/>
  <c r="K1475" i="2"/>
  <c r="M1475" i="2"/>
  <c r="K1476" i="2"/>
  <c r="M1476" i="2"/>
  <c r="K1477" i="2"/>
  <c r="M1477" i="2"/>
  <c r="K1478" i="2"/>
  <c r="M1478" i="2"/>
  <c r="K1479" i="2"/>
  <c r="M1479" i="2"/>
  <c r="K1480" i="2"/>
  <c r="M1480" i="2"/>
  <c r="K1481" i="2"/>
  <c r="M1481" i="2"/>
  <c r="K1482" i="2"/>
  <c r="M1482" i="2"/>
  <c r="K1483" i="2"/>
  <c r="M1483" i="2"/>
  <c r="K1484" i="2"/>
  <c r="M1484" i="2"/>
  <c r="K1485" i="2"/>
  <c r="M1485" i="2"/>
  <c r="K1486" i="2"/>
  <c r="M1486" i="2"/>
  <c r="K1487" i="2"/>
  <c r="M1487" i="2"/>
  <c r="K1488" i="2"/>
  <c r="M1488" i="2"/>
  <c r="K1489" i="2"/>
  <c r="M1489" i="2"/>
  <c r="K1490" i="2"/>
  <c r="M1490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I1466" i="2"/>
  <c r="I1479" i="2"/>
  <c r="I1467" i="2"/>
  <c r="I1480" i="2"/>
  <c r="I1468" i="2"/>
  <c r="I1481" i="2"/>
  <c r="I1469" i="2"/>
  <c r="I1482" i="2"/>
  <c r="I1470" i="2"/>
  <c r="I1483" i="2"/>
  <c r="I1471" i="2"/>
  <c r="I1484" i="2"/>
  <c r="I1472" i="2"/>
  <c r="I1485" i="2"/>
  <c r="I1473" i="2"/>
  <c r="I1486" i="2"/>
  <c r="I1474" i="2"/>
  <c r="I1487" i="2"/>
  <c r="I1475" i="2"/>
  <c r="I1488" i="2"/>
  <c r="I1476" i="2"/>
  <c r="I1489" i="2"/>
  <c r="I1477" i="2"/>
  <c r="I1490" i="2"/>
  <c r="I1465" i="2"/>
  <c r="I1478" i="2"/>
  <c r="M1451" i="2"/>
  <c r="M1450" i="2"/>
  <c r="M1449" i="2"/>
  <c r="M1448" i="2"/>
  <c r="M1447" i="2"/>
  <c r="M1446" i="2"/>
  <c r="M1445" i="2"/>
  <c r="M1444" i="2"/>
  <c r="M1443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H1443" i="2"/>
  <c r="H1444" i="2"/>
  <c r="H1445" i="2"/>
  <c r="H1446" i="2"/>
  <c r="H1447" i="2"/>
  <c r="H1448" i="2"/>
  <c r="H1449" i="2"/>
  <c r="H1450" i="2"/>
  <c r="H1451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8" i="2"/>
  <c r="H479" i="2"/>
  <c r="H480" i="2"/>
  <c r="H481" i="2"/>
  <c r="H482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500" i="2"/>
  <c r="H501" i="2"/>
  <c r="H504" i="2"/>
  <c r="H505" i="2"/>
  <c r="H506" i="2"/>
  <c r="H507" i="2"/>
  <c r="H511" i="2"/>
  <c r="H512" i="2"/>
  <c r="H513" i="2"/>
  <c r="H1437" i="2"/>
  <c r="H1438" i="2"/>
  <c r="H1439" i="2"/>
  <c r="H1440" i="2"/>
  <c r="H144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21" i="2"/>
  <c r="A2222" i="2"/>
  <c r="A2223" i="2"/>
  <c r="P1068" i="2"/>
  <c r="P1067" i="2"/>
  <c r="P1066" i="2"/>
  <c r="P1065" i="2"/>
  <c r="P1064" i="2"/>
  <c r="P1063" i="2"/>
  <c r="P1062" i="2"/>
  <c r="P1061" i="2"/>
  <c r="P1060" i="2"/>
  <c r="P1059" i="2"/>
  <c r="P1058" i="2"/>
  <c r="P1057" i="2"/>
  <c r="P1056" i="2"/>
  <c r="P1055" i="2"/>
  <c r="P1054" i="2"/>
  <c r="P1053" i="2"/>
  <c r="P1052" i="2"/>
  <c r="P1051" i="2"/>
  <c r="P1050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20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998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2" i="2"/>
  <c r="K1761" i="2"/>
  <c r="K1760" i="2"/>
  <c r="K1759" i="2"/>
  <c r="K1758" i="2"/>
  <c r="K1756" i="2"/>
  <c r="K1755" i="2"/>
  <c r="K1754" i="2"/>
  <c r="K1753" i="2"/>
  <c r="K1752" i="2"/>
  <c r="P1790" i="2"/>
  <c r="P1789" i="2"/>
  <c r="P1788" i="2"/>
  <c r="P1787" i="2"/>
  <c r="P1786" i="2"/>
  <c r="P1785" i="2"/>
  <c r="P1784" i="2"/>
  <c r="P1783" i="2"/>
  <c r="P1782" i="2"/>
  <c r="P1781" i="2"/>
  <c r="P1780" i="2"/>
  <c r="P1779" i="2"/>
  <c r="P1778" i="2"/>
  <c r="P1777" i="2"/>
  <c r="P1776" i="2"/>
  <c r="P1775" i="2"/>
  <c r="P1774" i="2"/>
  <c r="P1773" i="2"/>
  <c r="P1772" i="2"/>
  <c r="P1771" i="2"/>
  <c r="P1770" i="2"/>
  <c r="P1769" i="2"/>
  <c r="P1768" i="2"/>
  <c r="P1767" i="2"/>
  <c r="P1766" i="2"/>
  <c r="P1765" i="2"/>
  <c r="P1764" i="2"/>
  <c r="P1763" i="2"/>
  <c r="P1762" i="2"/>
  <c r="P1761" i="2"/>
  <c r="P1760" i="2"/>
  <c r="P1759" i="2"/>
  <c r="P1758" i="2"/>
  <c r="P1757" i="2"/>
  <c r="P1756" i="2"/>
  <c r="P1755" i="2"/>
  <c r="P1754" i="2"/>
  <c r="P1753" i="2"/>
  <c r="P1752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28" i="2"/>
  <c r="I1735" i="2"/>
  <c r="I1741" i="2"/>
  <c r="I1747" i="2"/>
  <c r="I1736" i="2"/>
  <c r="I1737" i="2"/>
  <c r="I1738" i="2"/>
  <c r="I1744" i="2"/>
  <c r="I1750" i="2"/>
  <c r="I1739" i="2"/>
  <c r="I1745" i="2"/>
  <c r="I1751" i="2"/>
  <c r="I1742" i="2"/>
  <c r="I1748" i="2"/>
  <c r="I1743" i="2"/>
  <c r="I1749" i="2"/>
  <c r="I1734" i="2"/>
  <c r="I1740" i="2"/>
  <c r="I174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103" i="2"/>
  <c r="I103" i="2"/>
  <c r="P102" i="2"/>
  <c r="I102" i="2"/>
  <c r="P101" i="2"/>
  <c r="I101" i="2"/>
  <c r="P100" i="2"/>
  <c r="I100" i="2"/>
  <c r="P99" i="2"/>
  <c r="I99" i="2"/>
  <c r="P98" i="2"/>
  <c r="I98" i="2"/>
  <c r="P97" i="2"/>
  <c r="I97" i="2"/>
  <c r="P96" i="2"/>
  <c r="I96" i="2"/>
  <c r="P95" i="2"/>
  <c r="I95" i="2"/>
  <c r="P94" i="2"/>
  <c r="I94" i="2"/>
  <c r="P93" i="2"/>
  <c r="I93" i="2"/>
  <c r="P92" i="2"/>
  <c r="I92" i="2"/>
  <c r="H92" i="2"/>
  <c r="P91" i="2"/>
  <c r="I91" i="2"/>
  <c r="P90" i="2"/>
  <c r="I90" i="2"/>
  <c r="P89" i="2"/>
  <c r="I89" i="2"/>
  <c r="P88" i="2"/>
  <c r="I88" i="2"/>
  <c r="P87" i="2"/>
  <c r="I87" i="2"/>
  <c r="P86" i="2"/>
  <c r="I86" i="2"/>
  <c r="P85" i="2"/>
  <c r="I85" i="2"/>
  <c r="P84" i="2"/>
  <c r="I84" i="2"/>
  <c r="P83" i="2"/>
  <c r="I83" i="2"/>
  <c r="P82" i="2"/>
  <c r="I82" i="2"/>
  <c r="P81" i="2"/>
  <c r="I81" i="2"/>
  <c r="P80" i="2"/>
  <c r="I80" i="2"/>
  <c r="H80" i="2"/>
  <c r="P79" i="2"/>
  <c r="I79" i="2"/>
  <c r="P78" i="2"/>
  <c r="I78" i="2"/>
  <c r="P77" i="2"/>
  <c r="I77" i="2"/>
  <c r="P76" i="2"/>
  <c r="I76" i="2"/>
  <c r="P75" i="2"/>
  <c r="I75" i="2"/>
  <c r="P74" i="2"/>
  <c r="I74" i="2"/>
  <c r="P73" i="2"/>
  <c r="I73" i="2"/>
  <c r="P72" i="2"/>
  <c r="I72" i="2"/>
  <c r="P71" i="2"/>
  <c r="I71" i="2"/>
  <c r="P70" i="2"/>
  <c r="I70" i="2"/>
  <c r="P69" i="2"/>
  <c r="I69" i="2"/>
  <c r="P68" i="2"/>
  <c r="I68" i="2"/>
  <c r="P67" i="2"/>
  <c r="I67" i="2"/>
  <c r="H67" i="2"/>
  <c r="P66" i="2"/>
  <c r="I66" i="2"/>
  <c r="P65" i="2"/>
  <c r="I65" i="2"/>
  <c r="P64" i="2"/>
  <c r="I64" i="2"/>
  <c r="P63" i="2"/>
  <c r="I63" i="2"/>
  <c r="P62" i="2"/>
  <c r="I62" i="2"/>
  <c r="P61" i="2"/>
  <c r="I61" i="2"/>
  <c r="P60" i="2"/>
  <c r="I60" i="2"/>
  <c r="P59" i="2"/>
  <c r="I59" i="2"/>
  <c r="P58" i="2"/>
  <c r="I58" i="2"/>
  <c r="P57" i="2"/>
  <c r="I57" i="2"/>
  <c r="P56" i="2"/>
  <c r="I56" i="2"/>
  <c r="P55" i="2"/>
  <c r="I55" i="2"/>
  <c r="H55" i="2"/>
  <c r="P54" i="2"/>
  <c r="I54" i="2"/>
  <c r="P53" i="2"/>
  <c r="I53" i="2"/>
  <c r="P52" i="2"/>
  <c r="I52" i="2"/>
  <c r="P51" i="2"/>
  <c r="I51" i="2"/>
  <c r="P50" i="2"/>
  <c r="I50" i="2"/>
  <c r="P49" i="2"/>
  <c r="I49" i="2"/>
  <c r="P48" i="2"/>
  <c r="I48" i="2"/>
  <c r="P47" i="2"/>
  <c r="I47" i="2"/>
  <c r="P46" i="2"/>
  <c r="I46" i="2"/>
  <c r="P45" i="2"/>
  <c r="I45" i="2"/>
  <c r="P44" i="2"/>
  <c r="I44" i="2"/>
  <c r="P43" i="2"/>
  <c r="I43" i="2"/>
  <c r="H43" i="2"/>
  <c r="P42" i="2"/>
  <c r="I42" i="2"/>
  <c r="P41" i="2"/>
  <c r="I41" i="2"/>
  <c r="P40" i="2"/>
  <c r="I40" i="2"/>
  <c r="P39" i="2"/>
  <c r="I39" i="2"/>
  <c r="P38" i="2"/>
  <c r="I38" i="2"/>
  <c r="P37" i="2"/>
  <c r="I37" i="2"/>
  <c r="P36" i="2"/>
  <c r="I36" i="2"/>
  <c r="P35" i="2"/>
  <c r="I35" i="2"/>
  <c r="P34" i="2"/>
  <c r="I34" i="2"/>
  <c r="P33" i="2"/>
  <c r="I33" i="2"/>
  <c r="P32" i="2"/>
  <c r="I32" i="2"/>
  <c r="I31" i="2"/>
  <c r="H31" i="2"/>
  <c r="P31" i="2"/>
  <c r="B32" i="2"/>
  <c r="B33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J1644" i="2"/>
  <c r="J1645" i="2"/>
  <c r="J1646" i="2"/>
  <c r="J1647" i="2"/>
  <c r="J1648" i="2"/>
  <c r="J1643" i="2"/>
  <c r="L1644" i="2"/>
  <c r="L1645" i="2"/>
  <c r="L1646" i="2"/>
  <c r="L1647" i="2"/>
  <c r="L1648" i="2"/>
  <c r="L1643" i="2"/>
  <c r="J1633" i="2"/>
  <c r="L1635" i="2"/>
  <c r="L1636" i="2"/>
  <c r="L1637" i="2"/>
  <c r="L1638" i="2"/>
  <c r="L1639" i="2"/>
  <c r="L1640" i="2"/>
  <c r="L1641" i="2"/>
  <c r="L1642" i="2"/>
  <c r="L1634" i="2"/>
  <c r="J1634" i="2"/>
  <c r="J1635" i="2"/>
  <c r="J1636" i="2"/>
  <c r="J1637" i="2"/>
  <c r="J1638" i="2"/>
  <c r="J1639" i="2"/>
  <c r="J1640" i="2"/>
  <c r="J1641" i="2"/>
  <c r="J1642" i="2"/>
  <c r="L1633" i="2"/>
  <c r="L1627" i="2"/>
  <c r="J1627" i="2"/>
  <c r="L1626" i="2"/>
  <c r="J1626" i="2"/>
  <c r="L1625" i="2"/>
  <c r="J1625" i="2"/>
  <c r="L1624" i="2"/>
  <c r="J1624" i="2"/>
  <c r="L1623" i="2"/>
  <c r="J1623" i="2"/>
  <c r="H1623" i="2"/>
  <c r="H1624" i="2"/>
  <c r="H1625" i="2"/>
  <c r="H1626" i="2"/>
  <c r="H1627" i="2"/>
  <c r="L1622" i="2"/>
  <c r="J1622" i="2"/>
  <c r="H1635" i="2"/>
  <c r="H1636" i="2"/>
  <c r="H1638" i="2"/>
  <c r="H1639" i="2"/>
  <c r="H1641" i="2"/>
  <c r="H1642" i="2"/>
  <c r="H1644" i="2"/>
  <c r="H1645" i="2"/>
  <c r="H1647" i="2"/>
  <c r="H1648" i="2"/>
  <c r="J1593" i="2"/>
  <c r="L1593" i="2"/>
  <c r="J1594" i="2"/>
  <c r="L1594" i="2"/>
  <c r="J1595" i="2"/>
  <c r="L1595" i="2"/>
  <c r="J1596" i="2"/>
  <c r="L1596" i="2"/>
  <c r="J1597" i="2"/>
  <c r="L1597" i="2"/>
  <c r="J1598" i="2"/>
  <c r="L1598" i="2"/>
  <c r="J1599" i="2"/>
  <c r="L1599" i="2"/>
  <c r="J1600" i="2"/>
  <c r="L1600" i="2"/>
  <c r="J1601" i="2"/>
  <c r="L1601" i="2"/>
  <c r="J1602" i="2"/>
  <c r="L1602" i="2"/>
  <c r="J1603" i="2"/>
  <c r="L1603" i="2"/>
  <c r="J1604" i="2"/>
  <c r="L1604" i="2"/>
  <c r="J1605" i="2"/>
  <c r="L1605" i="2"/>
  <c r="J1606" i="2"/>
  <c r="L1606" i="2"/>
  <c r="J1607" i="2"/>
  <c r="L1607" i="2"/>
  <c r="J1608" i="2"/>
  <c r="L1608" i="2"/>
  <c r="J1609" i="2"/>
  <c r="L1609" i="2"/>
  <c r="J1610" i="2"/>
  <c r="L1610" i="2"/>
  <c r="J1611" i="2"/>
  <c r="L1611" i="2"/>
  <c r="J1612" i="2"/>
  <c r="L1612" i="2"/>
  <c r="J1613" i="2"/>
  <c r="L1613" i="2"/>
  <c r="J1614" i="2"/>
  <c r="L1614" i="2"/>
  <c r="J1615" i="2"/>
  <c r="L1615" i="2"/>
  <c r="J1616" i="2"/>
  <c r="L1616" i="2"/>
  <c r="J1617" i="2"/>
  <c r="L1617" i="2"/>
  <c r="J1618" i="2"/>
  <c r="L1618" i="2"/>
  <c r="J1619" i="2"/>
  <c r="L1619" i="2"/>
  <c r="J1620" i="2"/>
  <c r="L1620" i="2"/>
  <c r="J1621" i="2"/>
  <c r="L1621" i="2"/>
  <c r="J1628" i="2"/>
  <c r="L1628" i="2"/>
  <c r="J1629" i="2"/>
  <c r="L1629" i="2"/>
  <c r="J1630" i="2"/>
  <c r="L1630" i="2"/>
  <c r="J1631" i="2"/>
  <c r="L1631" i="2"/>
  <c r="J1632" i="2"/>
  <c r="L1632" i="2"/>
  <c r="J1592" i="2"/>
  <c r="L1592" i="2"/>
  <c r="K785" i="2"/>
  <c r="L785" i="2"/>
  <c r="K786" i="2"/>
  <c r="L786" i="2"/>
  <c r="K787" i="2"/>
  <c r="L787" i="2"/>
  <c r="K788" i="2"/>
  <c r="L788" i="2"/>
  <c r="K789" i="2"/>
  <c r="L789" i="2"/>
  <c r="K790" i="2"/>
  <c r="L790" i="2"/>
  <c r="K791" i="2"/>
  <c r="L791" i="2"/>
  <c r="K792" i="2"/>
  <c r="L792" i="2"/>
  <c r="K793" i="2"/>
  <c r="L793" i="2"/>
  <c r="K794" i="2"/>
  <c r="L794" i="2"/>
  <c r="K795" i="2"/>
  <c r="L795" i="2"/>
  <c r="K796" i="2"/>
  <c r="L796" i="2"/>
  <c r="K797" i="2"/>
  <c r="L797" i="2"/>
  <c r="K798" i="2"/>
  <c r="L798" i="2"/>
  <c r="K799" i="2"/>
  <c r="L799" i="2"/>
  <c r="K800" i="2"/>
  <c r="L800" i="2"/>
  <c r="K801" i="2"/>
  <c r="L801" i="2"/>
  <c r="K802" i="2"/>
  <c r="L802" i="2"/>
  <c r="K803" i="2"/>
  <c r="L803" i="2"/>
  <c r="K804" i="2"/>
  <c r="L804" i="2"/>
  <c r="K805" i="2"/>
  <c r="L805" i="2"/>
  <c r="K806" i="2"/>
  <c r="L806" i="2"/>
  <c r="K807" i="2"/>
  <c r="L807" i="2"/>
  <c r="K808" i="2"/>
  <c r="L808" i="2"/>
  <c r="K809" i="2"/>
  <c r="L809" i="2"/>
  <c r="K810" i="2"/>
  <c r="L810" i="2"/>
  <c r="K811" i="2"/>
  <c r="L811" i="2"/>
  <c r="K812" i="2"/>
  <c r="L812" i="2"/>
  <c r="K813" i="2"/>
  <c r="L813" i="2"/>
  <c r="K814" i="2"/>
  <c r="L814" i="2"/>
  <c r="K815" i="2"/>
  <c r="L815" i="2"/>
  <c r="K816" i="2"/>
  <c r="L816" i="2"/>
  <c r="K817" i="2"/>
  <c r="L817" i="2"/>
  <c r="K818" i="2"/>
  <c r="L818" i="2"/>
  <c r="K819" i="2"/>
  <c r="L819" i="2"/>
  <c r="K820" i="2"/>
  <c r="L820" i="2"/>
  <c r="K821" i="2"/>
  <c r="L821" i="2"/>
  <c r="K822" i="2"/>
  <c r="L822" i="2"/>
  <c r="K823" i="2"/>
  <c r="L823" i="2"/>
  <c r="K824" i="2"/>
  <c r="L824" i="2"/>
  <c r="K825" i="2"/>
  <c r="L825" i="2"/>
  <c r="K826" i="2"/>
  <c r="L826" i="2"/>
  <c r="K827" i="2"/>
  <c r="L827" i="2"/>
  <c r="K828" i="2"/>
  <c r="L828" i="2"/>
  <c r="K829" i="2"/>
  <c r="L829" i="2"/>
  <c r="K830" i="2"/>
  <c r="L830" i="2"/>
  <c r="K831" i="2"/>
  <c r="L831" i="2"/>
  <c r="K832" i="2"/>
  <c r="L832" i="2"/>
  <c r="L784" i="2"/>
  <c r="K784" i="2"/>
  <c r="H785" i="2"/>
  <c r="H786" i="2"/>
  <c r="H787" i="2"/>
  <c r="H788" i="2"/>
  <c r="H789" i="2"/>
  <c r="H790" i="2"/>
  <c r="H792" i="2"/>
  <c r="H793" i="2"/>
  <c r="H794" i="2"/>
  <c r="H795" i="2"/>
  <c r="H796" i="2"/>
  <c r="H797" i="2"/>
  <c r="H799" i="2"/>
  <c r="H800" i="2"/>
  <c r="H801" i="2"/>
  <c r="H802" i="2"/>
  <c r="H803" i="2"/>
  <c r="H804" i="2"/>
  <c r="H806" i="2"/>
  <c r="H807" i="2"/>
  <c r="H808" i="2"/>
  <c r="H809" i="2"/>
  <c r="H810" i="2"/>
  <c r="H811" i="2"/>
  <c r="H813" i="2"/>
  <c r="H814" i="2"/>
  <c r="H815" i="2"/>
  <c r="H816" i="2"/>
  <c r="H817" i="2"/>
  <c r="H818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1593" i="2"/>
  <c r="H1594" i="2"/>
  <c r="H1595" i="2"/>
  <c r="H1596" i="2"/>
  <c r="H1598" i="2"/>
  <c r="H1599" i="2"/>
  <c r="H1600" i="2"/>
  <c r="H1601" i="2"/>
  <c r="H1602" i="2"/>
  <c r="H1603" i="2"/>
  <c r="H1605" i="2"/>
  <c r="H1606" i="2"/>
  <c r="H1607" i="2"/>
  <c r="H1608" i="2"/>
  <c r="H1609" i="2"/>
  <c r="H1611" i="2"/>
  <c r="H1612" i="2"/>
  <c r="H1613" i="2"/>
  <c r="H1614" i="2"/>
  <c r="H1615" i="2"/>
  <c r="H1617" i="2"/>
  <c r="H1618" i="2"/>
  <c r="H1619" i="2"/>
  <c r="H1620" i="2"/>
  <c r="H1621" i="2"/>
  <c r="H1629" i="2"/>
  <c r="H1630" i="2"/>
  <c r="H1631" i="2"/>
  <c r="H1632" i="2"/>
  <c r="H1633" i="2"/>
  <c r="T1503" i="2"/>
  <c r="T1504" i="2"/>
  <c r="T24" i="2"/>
  <c r="T25" i="2"/>
  <c r="T26" i="2"/>
  <c r="T27" i="2"/>
  <c r="T28" i="2"/>
  <c r="T29" i="2"/>
  <c r="T30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U1503" i="2"/>
  <c r="U1504" i="2"/>
  <c r="U24" i="2"/>
  <c r="U25" i="2"/>
  <c r="U26" i="2"/>
  <c r="U27" i="2"/>
  <c r="U28" i="2"/>
  <c r="U29" i="2"/>
  <c r="U30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V1503" i="2"/>
  <c r="V1504" i="2"/>
  <c r="V24" i="2"/>
  <c r="V25" i="2"/>
  <c r="V26" i="2"/>
  <c r="V27" i="2"/>
  <c r="V28" i="2"/>
  <c r="V29" i="2"/>
  <c r="V30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W1503" i="2"/>
  <c r="W1504" i="2"/>
  <c r="W24" i="2"/>
  <c r="W25" i="2"/>
  <c r="W26" i="2"/>
  <c r="W27" i="2"/>
  <c r="W28" i="2"/>
  <c r="W29" i="2"/>
  <c r="W30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X1503" i="2"/>
  <c r="X1504" i="2"/>
  <c r="X24" i="2"/>
  <c r="X25" i="2"/>
  <c r="X26" i="2"/>
  <c r="X27" i="2"/>
  <c r="X28" i="2"/>
  <c r="X29" i="2"/>
  <c r="X30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Y1503" i="2"/>
  <c r="Y1504" i="2"/>
  <c r="Y24" i="2"/>
  <c r="Y25" i="2"/>
  <c r="Y26" i="2"/>
  <c r="Y27" i="2"/>
  <c r="Y28" i="2"/>
  <c r="Y29" i="2"/>
  <c r="Y30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S1503" i="2"/>
  <c r="S1504" i="2"/>
  <c r="S24" i="2"/>
  <c r="S25" i="2"/>
  <c r="S26" i="2"/>
  <c r="S27" i="2"/>
  <c r="S28" i="2"/>
  <c r="S29" i="2"/>
  <c r="S30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H122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3" i="2"/>
  <c r="K594" i="2"/>
  <c r="K595" i="2"/>
  <c r="K596" i="2"/>
  <c r="K597" i="2"/>
  <c r="K598" i="2"/>
  <c r="K599" i="2"/>
  <c r="K591" i="2"/>
  <c r="K592" i="2"/>
  <c r="K590" i="2"/>
  <c r="I550" i="2"/>
  <c r="I551" i="2"/>
  <c r="I552" i="2"/>
  <c r="I553" i="2"/>
  <c r="I554" i="2"/>
  <c r="I556" i="2"/>
  <c r="I557" i="2"/>
  <c r="I558" i="2"/>
  <c r="I559" i="2"/>
  <c r="I561" i="2"/>
  <c r="I562" i="2"/>
  <c r="I563" i="2"/>
  <c r="I564" i="2"/>
  <c r="I565" i="2"/>
  <c r="I566" i="2"/>
  <c r="I568" i="2"/>
  <c r="I570" i="2"/>
  <c r="I571" i="2"/>
  <c r="I573" i="2"/>
  <c r="I574" i="2"/>
  <c r="I575" i="2"/>
  <c r="I577" i="2"/>
  <c r="I578" i="2"/>
  <c r="I579" i="2"/>
  <c r="I580" i="2"/>
  <c r="I581" i="2"/>
  <c r="I582" i="2"/>
  <c r="I583" i="2"/>
  <c r="I585" i="2"/>
  <c r="I586" i="2"/>
  <c r="I587" i="2"/>
  <c r="I588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14" i="2"/>
  <c r="I536" i="2"/>
  <c r="I537" i="2"/>
  <c r="I538" i="2"/>
  <c r="I539" i="2"/>
  <c r="I540" i="2"/>
  <c r="I541" i="2"/>
  <c r="I542" i="2"/>
  <c r="I543" i="2"/>
  <c r="I544" i="2"/>
  <c r="I545" i="2"/>
  <c r="I530" i="2"/>
  <c r="I531" i="2"/>
  <c r="I532" i="2"/>
  <c r="I533" i="2"/>
  <c r="I53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1" i="2"/>
  <c r="H592" i="2"/>
  <c r="H594" i="2"/>
  <c r="H595" i="2"/>
  <c r="H596" i="2"/>
  <c r="H597" i="2"/>
  <c r="H598" i="2"/>
  <c r="H599" i="2"/>
  <c r="H601" i="2"/>
  <c r="H602" i="2"/>
  <c r="H603" i="2"/>
  <c r="H604" i="2"/>
  <c r="H605" i="2"/>
  <c r="H606" i="2"/>
  <c r="H607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119" i="2"/>
  <c r="H124" i="2"/>
  <c r="H126" i="2"/>
  <c r="H127" i="2"/>
  <c r="H129" i="2"/>
  <c r="H1492" i="2"/>
  <c r="H1493" i="2"/>
  <c r="H1494" i="2"/>
  <c r="H1496" i="2"/>
  <c r="H1497" i="2"/>
  <c r="H1498" i="2"/>
  <c r="H1499" i="2"/>
  <c r="H1501" i="2"/>
  <c r="H1502" i="2"/>
  <c r="H1503" i="2"/>
  <c r="H1504" i="2"/>
  <c r="L165" i="2"/>
  <c r="I165" i="2"/>
  <c r="H165" i="2"/>
  <c r="L164" i="2"/>
  <c r="I164" i="2"/>
  <c r="H164" i="2"/>
  <c r="L163" i="2"/>
  <c r="I163" i="2"/>
  <c r="H163" i="2"/>
  <c r="L162" i="2"/>
  <c r="I162" i="2"/>
  <c r="H162" i="2"/>
  <c r="L161" i="2"/>
  <c r="I161" i="2"/>
  <c r="H161" i="2"/>
  <c r="L160" i="2"/>
  <c r="I160" i="2"/>
  <c r="H160" i="2"/>
  <c r="L159" i="2"/>
  <c r="I159" i="2"/>
  <c r="H159" i="2"/>
  <c r="L158" i="2"/>
  <c r="I158" i="2"/>
  <c r="H158" i="2"/>
  <c r="L157" i="2"/>
  <c r="I157" i="2"/>
  <c r="H157" i="2"/>
  <c r="L156" i="2"/>
  <c r="I156" i="2"/>
  <c r="H156" i="2"/>
  <c r="L155" i="2"/>
  <c r="I155" i="2"/>
  <c r="H155" i="2"/>
  <c r="L154" i="2"/>
  <c r="I154" i="2"/>
  <c r="H154" i="2"/>
  <c r="L153" i="2"/>
  <c r="I153" i="2"/>
  <c r="H153" i="2"/>
  <c r="L152" i="2"/>
  <c r="I152" i="2"/>
  <c r="H152" i="2"/>
  <c r="L151" i="2"/>
  <c r="I151" i="2"/>
  <c r="H151" i="2"/>
  <c r="L150" i="2"/>
  <c r="I150" i="2"/>
  <c r="H150" i="2"/>
  <c r="L149" i="2"/>
  <c r="I149" i="2"/>
  <c r="H149" i="2"/>
  <c r="L148" i="2"/>
  <c r="I148" i="2"/>
  <c r="H148" i="2"/>
  <c r="L147" i="2"/>
  <c r="I147" i="2"/>
  <c r="H147" i="2"/>
  <c r="L146" i="2"/>
  <c r="I146" i="2"/>
  <c r="H146" i="2"/>
  <c r="L145" i="2"/>
  <c r="I145" i="2"/>
  <c r="H145" i="2"/>
  <c r="L144" i="2"/>
  <c r="I144" i="2"/>
  <c r="H144" i="2"/>
  <c r="L143" i="2"/>
  <c r="I143" i="2"/>
  <c r="H143" i="2"/>
  <c r="L142" i="2"/>
  <c r="I142" i="2"/>
  <c r="H142" i="2"/>
  <c r="L141" i="2"/>
  <c r="I141" i="2"/>
  <c r="H141" i="2"/>
  <c r="L140" i="2"/>
  <c r="I140" i="2"/>
  <c r="H140" i="2"/>
  <c r="L139" i="2"/>
  <c r="I139" i="2"/>
  <c r="H139" i="2"/>
  <c r="L138" i="2"/>
  <c r="I138" i="2"/>
  <c r="H138" i="2"/>
  <c r="L137" i="2"/>
  <c r="I137" i="2"/>
  <c r="H137" i="2"/>
  <c r="L136" i="2"/>
  <c r="I136" i="2"/>
  <c r="H136" i="2"/>
  <c r="L135" i="2"/>
  <c r="I135" i="2"/>
  <c r="H135" i="2"/>
  <c r="L134" i="2"/>
  <c r="I134" i="2"/>
  <c r="H134" i="2"/>
  <c r="L133" i="2"/>
  <c r="I133" i="2"/>
  <c r="H133" i="2"/>
  <c r="L132" i="2"/>
  <c r="I132" i="2"/>
  <c r="H132" i="2"/>
  <c r="L131" i="2"/>
  <c r="I131" i="2"/>
  <c r="H131" i="2"/>
  <c r="L130" i="2"/>
  <c r="I130" i="2"/>
  <c r="H130" i="2"/>
  <c r="A116" i="6"/>
  <c r="A117" i="6"/>
  <c r="A118" i="6"/>
  <c r="A119" i="6"/>
  <c r="A120" i="6"/>
  <c r="A121" i="6"/>
  <c r="A122" i="6"/>
  <c r="A123" i="6"/>
  <c r="A124" i="6"/>
  <c r="A82" i="6"/>
  <c r="A83" i="6"/>
  <c r="A72" i="6"/>
  <c r="A73" i="6"/>
  <c r="A74" i="6"/>
  <c r="A75" i="6"/>
  <c r="B62" i="6"/>
  <c r="B72" i="6"/>
  <c r="B63" i="6"/>
  <c r="B73" i="6"/>
  <c r="B64" i="6"/>
  <c r="B65" i="6"/>
  <c r="K65" i="6"/>
  <c r="B66" i="6"/>
  <c r="B67" i="6"/>
  <c r="B68" i="6"/>
  <c r="B69" i="6"/>
  <c r="K69" i="6"/>
  <c r="B70" i="6"/>
  <c r="B71" i="6"/>
  <c r="B81" i="6"/>
  <c r="B74" i="6"/>
  <c r="B84" i="6"/>
  <c r="B76" i="6"/>
  <c r="B77" i="6"/>
  <c r="K77" i="6"/>
  <c r="B78" i="6"/>
  <c r="B79" i="6"/>
  <c r="B89" i="6"/>
  <c r="B80" i="6"/>
  <c r="B86" i="6"/>
  <c r="B87" i="6"/>
  <c r="B88" i="6"/>
  <c r="B90" i="6"/>
  <c r="B108" i="6"/>
  <c r="B106" i="6"/>
  <c r="B116" i="6"/>
  <c r="B61" i="6"/>
  <c r="A40" i="6"/>
  <c r="A41" i="6"/>
  <c r="A43" i="6"/>
  <c r="B20" i="6"/>
  <c r="B21" i="6"/>
  <c r="B22" i="6"/>
  <c r="B32" i="6"/>
  <c r="B23" i="6"/>
  <c r="B24" i="6"/>
  <c r="B25" i="6"/>
  <c r="B26" i="6"/>
  <c r="B27" i="6"/>
  <c r="B37" i="6"/>
  <c r="B28" i="6"/>
  <c r="B29" i="6"/>
  <c r="B30" i="6"/>
  <c r="B31" i="6"/>
  <c r="B33" i="6"/>
  <c r="B34" i="6"/>
  <c r="B35" i="6"/>
  <c r="K45" i="6"/>
  <c r="B36" i="6"/>
  <c r="B38" i="6"/>
  <c r="K48" i="6"/>
  <c r="K53" i="6"/>
  <c r="K49" i="6"/>
  <c r="K51" i="6"/>
  <c r="K54" i="6"/>
  <c r="B19" i="6"/>
  <c r="D4" i="6"/>
  <c r="D5" i="6"/>
  <c r="D3" i="6"/>
  <c r="A6" i="6"/>
  <c r="A7" i="6"/>
  <c r="A5" i="6"/>
  <c r="E124" i="6"/>
  <c r="H124" i="6"/>
  <c r="E123" i="6"/>
  <c r="H123" i="6"/>
  <c r="E122" i="6"/>
  <c r="H122" i="6"/>
  <c r="E121" i="6"/>
  <c r="H121" i="6"/>
  <c r="E120" i="6"/>
  <c r="H120" i="6"/>
  <c r="E119" i="6"/>
  <c r="H119" i="6"/>
  <c r="E118" i="6"/>
  <c r="H118" i="6"/>
  <c r="E117" i="6"/>
  <c r="H117" i="6"/>
  <c r="E116" i="6"/>
  <c r="H116" i="6"/>
  <c r="E115" i="6"/>
  <c r="H115" i="6"/>
  <c r="E114" i="6"/>
  <c r="H114" i="6"/>
  <c r="E113" i="6"/>
  <c r="H113" i="6"/>
  <c r="E112" i="6"/>
  <c r="H112" i="6"/>
  <c r="E111" i="6"/>
  <c r="H111" i="6"/>
  <c r="E110" i="6"/>
  <c r="H110" i="6"/>
  <c r="E109" i="6"/>
  <c r="H109" i="6"/>
  <c r="E108" i="6"/>
  <c r="H108" i="6"/>
  <c r="E107" i="6"/>
  <c r="H107" i="6"/>
  <c r="E106" i="6"/>
  <c r="H106" i="6"/>
  <c r="E105" i="6"/>
  <c r="H105" i="6"/>
  <c r="E104" i="6"/>
  <c r="H104" i="6"/>
  <c r="E103" i="6"/>
  <c r="H103" i="6"/>
  <c r="E102" i="6"/>
  <c r="H102" i="6"/>
  <c r="E101" i="6"/>
  <c r="H101" i="6"/>
  <c r="E100" i="6"/>
  <c r="H100" i="6"/>
  <c r="E99" i="6"/>
  <c r="H99" i="6"/>
  <c r="K98" i="6"/>
  <c r="E98" i="6"/>
  <c r="H98" i="6"/>
  <c r="E97" i="6"/>
  <c r="H97" i="6"/>
  <c r="K96" i="6"/>
  <c r="E96" i="6"/>
  <c r="H96" i="6"/>
  <c r="E95" i="6"/>
  <c r="H95" i="6"/>
  <c r="E94" i="6"/>
  <c r="H94" i="6"/>
  <c r="E93" i="6"/>
  <c r="H93" i="6"/>
  <c r="E92" i="6"/>
  <c r="H92" i="6"/>
  <c r="E91" i="6"/>
  <c r="H91" i="6"/>
  <c r="K90" i="6"/>
  <c r="E90" i="6"/>
  <c r="H90" i="6"/>
  <c r="E89" i="6"/>
  <c r="H89" i="6"/>
  <c r="K88" i="6"/>
  <c r="E88" i="6"/>
  <c r="H88" i="6"/>
  <c r="E87" i="6"/>
  <c r="H87" i="6"/>
  <c r="K86" i="6"/>
  <c r="E86" i="6"/>
  <c r="H86" i="6"/>
  <c r="E85" i="6"/>
  <c r="H85" i="6"/>
  <c r="E84" i="6"/>
  <c r="H84" i="6"/>
  <c r="E83" i="6"/>
  <c r="H83" i="6"/>
  <c r="E82" i="6"/>
  <c r="H82" i="6"/>
  <c r="E81" i="6"/>
  <c r="H81" i="6"/>
  <c r="K80" i="6"/>
  <c r="E80" i="6"/>
  <c r="H80" i="6"/>
  <c r="E79" i="6"/>
  <c r="H79" i="6"/>
  <c r="K78" i="6"/>
  <c r="E78" i="6"/>
  <c r="H78" i="6"/>
  <c r="E77" i="6"/>
  <c r="H77" i="6"/>
  <c r="K76" i="6"/>
  <c r="E76" i="6"/>
  <c r="H76" i="6"/>
  <c r="E75" i="6"/>
  <c r="H75" i="6"/>
  <c r="K74" i="6"/>
  <c r="E74" i="6"/>
  <c r="H74" i="6"/>
  <c r="E73" i="6"/>
  <c r="H73" i="6"/>
  <c r="E72" i="6"/>
  <c r="H72" i="6"/>
  <c r="E71" i="6"/>
  <c r="H71" i="6"/>
  <c r="K70" i="6"/>
  <c r="E70" i="6"/>
  <c r="H70" i="6"/>
  <c r="E69" i="6"/>
  <c r="H69" i="6"/>
  <c r="K68" i="6"/>
  <c r="E68" i="6"/>
  <c r="H68" i="6"/>
  <c r="K67" i="6"/>
  <c r="E67" i="6"/>
  <c r="H67" i="6"/>
  <c r="K66" i="6"/>
  <c r="E66" i="6"/>
  <c r="H66" i="6"/>
  <c r="E65" i="6"/>
  <c r="H65" i="6"/>
  <c r="K64" i="6"/>
  <c r="E64" i="6"/>
  <c r="H64" i="6"/>
  <c r="E63" i="6"/>
  <c r="H63" i="6"/>
  <c r="K62" i="6"/>
  <c r="E62" i="6"/>
  <c r="H62" i="6"/>
  <c r="K61" i="6"/>
  <c r="E61" i="6"/>
  <c r="H61" i="6"/>
  <c r="K60" i="6"/>
  <c r="E60" i="6"/>
  <c r="H60" i="6"/>
  <c r="K59" i="6"/>
  <c r="E59" i="6"/>
  <c r="H59" i="6"/>
  <c r="K58" i="6"/>
  <c r="E58" i="6"/>
  <c r="H58" i="6"/>
  <c r="K57" i="6"/>
  <c r="E57" i="6"/>
  <c r="H57" i="6"/>
  <c r="K56" i="6"/>
  <c r="E56" i="6"/>
  <c r="H56" i="6"/>
  <c r="K55" i="6"/>
  <c r="E55" i="6"/>
  <c r="H55" i="6"/>
  <c r="E54" i="6"/>
  <c r="H54" i="6"/>
  <c r="E53" i="6"/>
  <c r="H53" i="6"/>
  <c r="E52" i="6"/>
  <c r="H52" i="6"/>
  <c r="E51" i="6"/>
  <c r="H51" i="6"/>
  <c r="E50" i="6"/>
  <c r="H50" i="6"/>
  <c r="E49" i="6"/>
  <c r="H49" i="6"/>
  <c r="E48" i="6"/>
  <c r="H48" i="6"/>
  <c r="E47" i="6"/>
  <c r="H47" i="6"/>
  <c r="K46" i="6"/>
  <c r="E46" i="6"/>
  <c r="H46" i="6"/>
  <c r="E45" i="6"/>
  <c r="H45" i="6"/>
  <c r="K44" i="6"/>
  <c r="E44" i="6"/>
  <c r="H44" i="6"/>
  <c r="E43" i="6"/>
  <c r="H43" i="6"/>
  <c r="E42" i="6"/>
  <c r="H42" i="6"/>
  <c r="K41" i="6"/>
  <c r="E41" i="6"/>
  <c r="H41" i="6"/>
  <c r="H40" i="6"/>
  <c r="E40" i="6"/>
  <c r="K39" i="6"/>
  <c r="E39" i="6"/>
  <c r="H39" i="6"/>
  <c r="K38" i="6"/>
  <c r="E38" i="6"/>
  <c r="H38" i="6"/>
  <c r="E37" i="6"/>
  <c r="H37" i="6"/>
  <c r="K36" i="6"/>
  <c r="E36" i="6"/>
  <c r="H36" i="6"/>
  <c r="H35" i="6"/>
  <c r="E35" i="6"/>
  <c r="K34" i="6"/>
  <c r="E34" i="6"/>
  <c r="H34" i="6"/>
  <c r="K33" i="6"/>
  <c r="E33" i="6"/>
  <c r="H33" i="6"/>
  <c r="H32" i="6"/>
  <c r="E32" i="6"/>
  <c r="K31" i="6"/>
  <c r="E31" i="6"/>
  <c r="H31" i="6"/>
  <c r="K30" i="6"/>
  <c r="E30" i="6"/>
  <c r="H30" i="6"/>
  <c r="K29" i="6"/>
  <c r="E29" i="6"/>
  <c r="H29" i="6"/>
  <c r="K28" i="6"/>
  <c r="E28" i="6"/>
  <c r="H28" i="6"/>
  <c r="E27" i="6"/>
  <c r="H27" i="6"/>
  <c r="K26" i="6"/>
  <c r="E26" i="6"/>
  <c r="H26" i="6"/>
  <c r="K25" i="6"/>
  <c r="E25" i="6"/>
  <c r="H25" i="6"/>
  <c r="K24" i="6"/>
  <c r="E24" i="6"/>
  <c r="H24" i="6"/>
  <c r="K23" i="6"/>
  <c r="E23" i="6"/>
  <c r="H23" i="6"/>
  <c r="K22" i="6"/>
  <c r="E22" i="6"/>
  <c r="H22" i="6"/>
  <c r="K21" i="6"/>
  <c r="H21" i="6"/>
  <c r="E21" i="6"/>
  <c r="K20" i="6"/>
  <c r="E20" i="6"/>
  <c r="H20" i="6"/>
  <c r="K19" i="6"/>
  <c r="H19" i="6"/>
  <c r="E19" i="6"/>
  <c r="K18" i="6"/>
  <c r="H18" i="6"/>
  <c r="E18" i="6"/>
  <c r="K17" i="6"/>
  <c r="H17" i="6"/>
  <c r="E17" i="6"/>
  <c r="K16" i="6"/>
  <c r="E16" i="6"/>
  <c r="H16" i="6"/>
  <c r="K15" i="6"/>
  <c r="E15" i="6"/>
  <c r="H15" i="6"/>
  <c r="K14" i="6"/>
  <c r="E14" i="6"/>
  <c r="H14" i="6"/>
  <c r="K13" i="6"/>
  <c r="H13" i="6"/>
  <c r="E13" i="6"/>
  <c r="K12" i="6"/>
  <c r="E12" i="6"/>
  <c r="H12" i="6"/>
  <c r="K11" i="6"/>
  <c r="E11" i="6"/>
  <c r="H11" i="6"/>
  <c r="K10" i="6"/>
  <c r="E10" i="6"/>
  <c r="H10" i="6"/>
  <c r="K9" i="6"/>
  <c r="E9" i="6"/>
  <c r="H9" i="6"/>
  <c r="K8" i="6"/>
  <c r="E8" i="6"/>
  <c r="H8" i="6"/>
  <c r="K7" i="6"/>
  <c r="E7" i="6"/>
  <c r="H7" i="6"/>
  <c r="K6" i="6"/>
  <c r="J6" i="6"/>
  <c r="E6" i="6"/>
  <c r="H6" i="6"/>
  <c r="L5" i="6"/>
  <c r="K5" i="6"/>
  <c r="J5" i="6"/>
  <c r="E5" i="6"/>
  <c r="H5" i="6"/>
  <c r="L4" i="6"/>
  <c r="K4" i="6"/>
  <c r="J4" i="6"/>
  <c r="H4" i="6"/>
  <c r="N4" i="6"/>
  <c r="G4" i="6"/>
  <c r="F4" i="6"/>
  <c r="E4" i="6"/>
  <c r="L3" i="6"/>
  <c r="K3" i="6"/>
  <c r="J3" i="6"/>
  <c r="H3" i="6"/>
  <c r="N3" i="6"/>
  <c r="G3" i="6"/>
  <c r="F3" i="6"/>
  <c r="E3" i="6"/>
  <c r="K2" i="6"/>
  <c r="J2" i="6"/>
  <c r="N2" i="6"/>
  <c r="H2" i="6"/>
  <c r="G2" i="6"/>
  <c r="F2" i="6"/>
  <c r="E2" i="6"/>
  <c r="L2" i="6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25" i="2"/>
  <c r="A26" i="2"/>
  <c r="A27" i="2"/>
  <c r="A28" i="2"/>
  <c r="A29" i="2"/>
  <c r="A30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I1792" i="2"/>
  <c r="K1792" i="2"/>
  <c r="L1792" i="2"/>
  <c r="I1793" i="2"/>
  <c r="K1793" i="2"/>
  <c r="L1793" i="2"/>
  <c r="H1794" i="2"/>
  <c r="I1794" i="2"/>
  <c r="K1794" i="2"/>
  <c r="L1794" i="2"/>
  <c r="I1795" i="2"/>
  <c r="K1795" i="2"/>
  <c r="L1795" i="2"/>
  <c r="I1796" i="2"/>
  <c r="K1796" i="2"/>
  <c r="L1796" i="2"/>
  <c r="I1797" i="2"/>
  <c r="K1797" i="2"/>
  <c r="L1797" i="2"/>
  <c r="I1798" i="2"/>
  <c r="K1798" i="2"/>
  <c r="L1798" i="2"/>
  <c r="I1799" i="2"/>
  <c r="K1799" i="2"/>
  <c r="L1799" i="2"/>
  <c r="H1800" i="2"/>
  <c r="I1800" i="2"/>
  <c r="K1800" i="2"/>
  <c r="L1800" i="2"/>
  <c r="K1801" i="2"/>
  <c r="L1801" i="2"/>
  <c r="K1802" i="2"/>
  <c r="L1802" i="2"/>
  <c r="K1803" i="2"/>
  <c r="L1803" i="2"/>
  <c r="K1804" i="2"/>
  <c r="L1804" i="2"/>
  <c r="K1805" i="2"/>
  <c r="L1805" i="2"/>
  <c r="K1806" i="2"/>
  <c r="L1806" i="2"/>
  <c r="K1807" i="2"/>
  <c r="L1807" i="2"/>
  <c r="K1808" i="2"/>
  <c r="L1808" i="2"/>
  <c r="I1809" i="2"/>
  <c r="K1809" i="2"/>
  <c r="L1809" i="2"/>
  <c r="H1810" i="2"/>
  <c r="I1810" i="2"/>
  <c r="K1810" i="2"/>
  <c r="L1810" i="2"/>
  <c r="K1811" i="2"/>
  <c r="L1811" i="2"/>
  <c r="K1812" i="2"/>
  <c r="L1812" i="2"/>
  <c r="K1813" i="2"/>
  <c r="L1813" i="2"/>
  <c r="K1814" i="2"/>
  <c r="L1814" i="2"/>
  <c r="I1815" i="2"/>
  <c r="K1815" i="2"/>
  <c r="L1815" i="2"/>
  <c r="I1816" i="2"/>
  <c r="K1816" i="2"/>
  <c r="L1816" i="2"/>
  <c r="I1817" i="2"/>
  <c r="K1817" i="2"/>
  <c r="L1817" i="2"/>
  <c r="I1818" i="2"/>
  <c r="K1818" i="2"/>
  <c r="L1818" i="2"/>
  <c r="I1819" i="2"/>
  <c r="K1819" i="2"/>
  <c r="L1819" i="2"/>
  <c r="H1820" i="2"/>
  <c r="I1820" i="2"/>
  <c r="K1820" i="2"/>
  <c r="L1820" i="2"/>
  <c r="H1821" i="2"/>
  <c r="I1821" i="2"/>
  <c r="K1821" i="2"/>
  <c r="L1821" i="2"/>
  <c r="H1822" i="2"/>
  <c r="I1822" i="2"/>
  <c r="K1822" i="2"/>
  <c r="L1822" i="2"/>
  <c r="H1823" i="2"/>
  <c r="I1823" i="2"/>
  <c r="K1823" i="2"/>
  <c r="L1823" i="2"/>
  <c r="H1824" i="2"/>
  <c r="I1824" i="2"/>
  <c r="K1824" i="2"/>
  <c r="L1824" i="2"/>
  <c r="H1825" i="2"/>
  <c r="I1825" i="2"/>
  <c r="K1825" i="2"/>
  <c r="L1825" i="2"/>
  <c r="H1826" i="2"/>
  <c r="I1826" i="2"/>
  <c r="K1826" i="2"/>
  <c r="L1826" i="2"/>
  <c r="H1827" i="2"/>
  <c r="I1827" i="2"/>
  <c r="K1827" i="2"/>
  <c r="L1827" i="2"/>
  <c r="H1828" i="2"/>
  <c r="I1828" i="2"/>
  <c r="K1828" i="2"/>
  <c r="L1828" i="2"/>
  <c r="H1829" i="2"/>
  <c r="I1829" i="2"/>
  <c r="K1829" i="2"/>
  <c r="L1829" i="2"/>
  <c r="H1830" i="2"/>
  <c r="I1830" i="2"/>
  <c r="K1830" i="2"/>
  <c r="L1830" i="2"/>
  <c r="H1831" i="2"/>
  <c r="I1831" i="2"/>
  <c r="K1831" i="2"/>
  <c r="L1831" i="2"/>
  <c r="H1832" i="2"/>
  <c r="I1832" i="2"/>
  <c r="K1832" i="2"/>
  <c r="L1832" i="2"/>
  <c r="H1833" i="2"/>
  <c r="I1833" i="2"/>
  <c r="K1833" i="2"/>
  <c r="L1833" i="2"/>
  <c r="H1834" i="2"/>
  <c r="I1834" i="2"/>
  <c r="K1834" i="2"/>
  <c r="L1834" i="2"/>
  <c r="H1835" i="2"/>
  <c r="I1835" i="2"/>
  <c r="K1835" i="2"/>
  <c r="L1835" i="2"/>
  <c r="H1836" i="2"/>
  <c r="I1836" i="2"/>
  <c r="K1836" i="2"/>
  <c r="L1836" i="2"/>
  <c r="H1837" i="2"/>
  <c r="I1837" i="2"/>
  <c r="K1837" i="2"/>
  <c r="L1837" i="2"/>
  <c r="H1838" i="2"/>
  <c r="I1838" i="2"/>
  <c r="K1838" i="2"/>
  <c r="L1838" i="2"/>
  <c r="H1839" i="2"/>
  <c r="I1839" i="2"/>
  <c r="K1839" i="2"/>
  <c r="L1839" i="2"/>
  <c r="H1840" i="2"/>
  <c r="I1840" i="2"/>
  <c r="K1840" i="2"/>
  <c r="L1840" i="2"/>
  <c r="H1841" i="2"/>
  <c r="I1841" i="2"/>
  <c r="K1841" i="2"/>
  <c r="L1841" i="2"/>
  <c r="H1842" i="2"/>
  <c r="I1842" i="2"/>
  <c r="K1842" i="2"/>
  <c r="L1842" i="2"/>
  <c r="H1843" i="2"/>
  <c r="I1843" i="2"/>
  <c r="K1843" i="2"/>
  <c r="L1843" i="2"/>
  <c r="H1844" i="2"/>
  <c r="I1844" i="2"/>
  <c r="K1844" i="2"/>
  <c r="L1844" i="2"/>
  <c r="H1845" i="2"/>
  <c r="I1845" i="2"/>
  <c r="K1845" i="2"/>
  <c r="L1845" i="2"/>
  <c r="H1846" i="2"/>
  <c r="I1846" i="2"/>
  <c r="K1846" i="2"/>
  <c r="L1846" i="2"/>
  <c r="H1847" i="2"/>
  <c r="I1847" i="2"/>
  <c r="K1847" i="2"/>
  <c r="L1847" i="2"/>
  <c r="H1848" i="2"/>
  <c r="I1848" i="2"/>
  <c r="K1848" i="2"/>
  <c r="L1848" i="2"/>
  <c r="H1849" i="2"/>
  <c r="I1849" i="2"/>
  <c r="K1849" i="2"/>
  <c r="L1849" i="2"/>
  <c r="H1850" i="2"/>
  <c r="I1850" i="2"/>
  <c r="K1850" i="2"/>
  <c r="L1850" i="2"/>
  <c r="H1851" i="2"/>
  <c r="I1851" i="2"/>
  <c r="K1851" i="2"/>
  <c r="L1851" i="2"/>
  <c r="H1852" i="2"/>
  <c r="I1852" i="2"/>
  <c r="K1852" i="2"/>
  <c r="L1852" i="2"/>
  <c r="H1853" i="2"/>
  <c r="I1853" i="2"/>
  <c r="K1853" i="2"/>
  <c r="L1853" i="2"/>
  <c r="H1854" i="2"/>
  <c r="I1854" i="2"/>
  <c r="K1854" i="2"/>
  <c r="L1854" i="2"/>
  <c r="H1855" i="2"/>
  <c r="I1855" i="2"/>
  <c r="K1855" i="2"/>
  <c r="L1855" i="2"/>
  <c r="H1856" i="2"/>
  <c r="I1856" i="2"/>
  <c r="K1856" i="2"/>
  <c r="L1856" i="2"/>
  <c r="H1857" i="2"/>
  <c r="I1857" i="2"/>
  <c r="K1857" i="2"/>
  <c r="L1857" i="2"/>
  <c r="H1858" i="2"/>
  <c r="I1858" i="2"/>
  <c r="K1858" i="2"/>
  <c r="L1858" i="2"/>
  <c r="H1859" i="2"/>
  <c r="I1859" i="2"/>
  <c r="K1859" i="2"/>
  <c r="L1859" i="2"/>
  <c r="H1860" i="2"/>
  <c r="I1860" i="2"/>
  <c r="K1860" i="2"/>
  <c r="L1860" i="2"/>
  <c r="H1861" i="2"/>
  <c r="I1861" i="2"/>
  <c r="K1861" i="2"/>
  <c r="L1861" i="2"/>
  <c r="H1862" i="2"/>
  <c r="I1862" i="2"/>
  <c r="K1862" i="2"/>
  <c r="L1862" i="2"/>
  <c r="I1863" i="2"/>
  <c r="K1863" i="2"/>
  <c r="L1863" i="2"/>
  <c r="I1864" i="2"/>
  <c r="K1864" i="2"/>
  <c r="L1864" i="2"/>
  <c r="I1865" i="2"/>
  <c r="K1865" i="2"/>
  <c r="L1865" i="2"/>
  <c r="I1866" i="2"/>
  <c r="K1866" i="2"/>
  <c r="L1866" i="2"/>
  <c r="I1867" i="2"/>
  <c r="K1867" i="2"/>
  <c r="L1867" i="2"/>
  <c r="I1868" i="2"/>
  <c r="K1868" i="2"/>
  <c r="L1868" i="2"/>
  <c r="I1869" i="2"/>
  <c r="K1869" i="2"/>
  <c r="L1869" i="2"/>
  <c r="I1870" i="2"/>
  <c r="K1870" i="2"/>
  <c r="L1870" i="2"/>
  <c r="I1871" i="2"/>
  <c r="K1871" i="2"/>
  <c r="L1871" i="2"/>
  <c r="I1872" i="2"/>
  <c r="K1872" i="2"/>
  <c r="L1872" i="2"/>
  <c r="I1873" i="2"/>
  <c r="K1873" i="2"/>
  <c r="L1873" i="2"/>
  <c r="I1874" i="2"/>
  <c r="K1874" i="2"/>
  <c r="L1874" i="2"/>
  <c r="I1875" i="2"/>
  <c r="K1875" i="2"/>
  <c r="L1875" i="2"/>
  <c r="I1876" i="2"/>
  <c r="K1876" i="2"/>
  <c r="L1876" i="2"/>
  <c r="H1877" i="2"/>
  <c r="I1877" i="2"/>
  <c r="K1877" i="2"/>
  <c r="L1877" i="2"/>
  <c r="I1878" i="2"/>
  <c r="K1878" i="2"/>
  <c r="L1878" i="2"/>
  <c r="I1879" i="2"/>
  <c r="K1879" i="2"/>
  <c r="L1879" i="2"/>
  <c r="I1880" i="2"/>
  <c r="K1880" i="2"/>
  <c r="L1880" i="2"/>
  <c r="I1881" i="2"/>
  <c r="K1881" i="2"/>
  <c r="L1881" i="2"/>
  <c r="I1882" i="2"/>
  <c r="K1882" i="2"/>
  <c r="L1882" i="2"/>
  <c r="I1883" i="2"/>
  <c r="K1883" i="2"/>
  <c r="L1883" i="2"/>
  <c r="I1884" i="2"/>
  <c r="K1884" i="2"/>
  <c r="L1884" i="2"/>
  <c r="I1885" i="2"/>
  <c r="K1885" i="2"/>
  <c r="L1885" i="2"/>
  <c r="I1886" i="2"/>
  <c r="K1886" i="2"/>
  <c r="L1886" i="2"/>
  <c r="I1887" i="2"/>
  <c r="K1887" i="2"/>
  <c r="L1887" i="2"/>
  <c r="I1888" i="2"/>
  <c r="K1888" i="2"/>
  <c r="L1888" i="2"/>
  <c r="I1889" i="2"/>
  <c r="K1889" i="2"/>
  <c r="L1889" i="2"/>
  <c r="I1890" i="2"/>
  <c r="K1890" i="2"/>
  <c r="L1890" i="2"/>
  <c r="I1891" i="2"/>
  <c r="K1891" i="2"/>
  <c r="L1891" i="2"/>
  <c r="H1892" i="2"/>
  <c r="I1892" i="2"/>
  <c r="K1892" i="2"/>
  <c r="L1892" i="2"/>
  <c r="I1893" i="2"/>
  <c r="K1893" i="2"/>
  <c r="L1893" i="2"/>
  <c r="I1894" i="2"/>
  <c r="K1894" i="2"/>
  <c r="L1894" i="2"/>
  <c r="I1895" i="2"/>
  <c r="K1895" i="2"/>
  <c r="L1895" i="2"/>
  <c r="I1896" i="2"/>
  <c r="K1896" i="2"/>
  <c r="L1896" i="2"/>
  <c r="I1897" i="2"/>
  <c r="K1897" i="2"/>
  <c r="L1897" i="2"/>
  <c r="I1898" i="2"/>
  <c r="K1898" i="2"/>
  <c r="L1898" i="2"/>
  <c r="I1899" i="2"/>
  <c r="K1899" i="2"/>
  <c r="L1899" i="2"/>
  <c r="I1900" i="2"/>
  <c r="K1900" i="2"/>
  <c r="L1900" i="2"/>
  <c r="I1901" i="2"/>
  <c r="K1901" i="2"/>
  <c r="L1901" i="2"/>
  <c r="I1902" i="2"/>
  <c r="K1902" i="2"/>
  <c r="L1902" i="2"/>
  <c r="I1903" i="2"/>
  <c r="K1903" i="2"/>
  <c r="L1903" i="2"/>
  <c r="I1904" i="2"/>
  <c r="K1904" i="2"/>
  <c r="L1904" i="2"/>
  <c r="I1905" i="2"/>
  <c r="K1905" i="2"/>
  <c r="L1905" i="2"/>
  <c r="I1906" i="2"/>
  <c r="K1906" i="2"/>
  <c r="L1906" i="2"/>
  <c r="K1791" i="2"/>
  <c r="L1791" i="2"/>
  <c r="I1791" i="2"/>
  <c r="H1791" i="2"/>
  <c r="C1863" i="2"/>
  <c r="H1863" i="2"/>
  <c r="D1811" i="2"/>
  <c r="D1812" i="2"/>
  <c r="D1813" i="2"/>
  <c r="D1814" i="2"/>
  <c r="I1814" i="2"/>
  <c r="D1801" i="2"/>
  <c r="I1801" i="2"/>
  <c r="C1795" i="2"/>
  <c r="H1795" i="2"/>
  <c r="C1792" i="2"/>
  <c r="C1793" i="2"/>
  <c r="H1793" i="2"/>
  <c r="J3" i="5"/>
  <c r="J4" i="5"/>
  <c r="J5" i="5"/>
  <c r="J6" i="5"/>
  <c r="J7" i="5"/>
  <c r="J8" i="5"/>
  <c r="J9" i="5"/>
  <c r="J10" i="5"/>
  <c r="J11" i="5"/>
  <c r="J12" i="5"/>
  <c r="J13" i="5"/>
  <c r="J14" i="5"/>
  <c r="J15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2" i="5"/>
  <c r="F3" i="5"/>
  <c r="G3" i="5"/>
  <c r="H3" i="5"/>
  <c r="F4" i="5"/>
  <c r="G4" i="5"/>
  <c r="H4" i="5"/>
  <c r="F5" i="5"/>
  <c r="G5" i="5"/>
  <c r="H5" i="5"/>
  <c r="F6" i="5"/>
  <c r="G6" i="5"/>
  <c r="H6" i="5"/>
  <c r="F7" i="5"/>
  <c r="G7" i="5"/>
  <c r="H7" i="5"/>
  <c r="F8" i="5"/>
  <c r="G8" i="5"/>
  <c r="H8" i="5"/>
  <c r="F9" i="5"/>
  <c r="G9" i="5"/>
  <c r="H9" i="5"/>
  <c r="F10" i="5"/>
  <c r="G10" i="5"/>
  <c r="H10" i="5"/>
  <c r="F11" i="5"/>
  <c r="G11" i="5"/>
  <c r="H11" i="5"/>
  <c r="F12" i="5"/>
  <c r="G12" i="5"/>
  <c r="H12" i="5"/>
  <c r="F13" i="5"/>
  <c r="G13" i="5"/>
  <c r="H13" i="5"/>
  <c r="F14" i="5"/>
  <c r="G14" i="5"/>
  <c r="H14" i="5"/>
  <c r="F15" i="5"/>
  <c r="G15" i="5"/>
  <c r="H15" i="5"/>
  <c r="F28" i="5"/>
  <c r="G28" i="5"/>
  <c r="H28" i="5"/>
  <c r="F29" i="5"/>
  <c r="G29" i="5"/>
  <c r="H29" i="5"/>
  <c r="F30" i="5"/>
  <c r="G30" i="5"/>
  <c r="H30" i="5"/>
  <c r="F31" i="5"/>
  <c r="G31" i="5"/>
  <c r="H31" i="5"/>
  <c r="F32" i="5"/>
  <c r="G32" i="5"/>
  <c r="H32" i="5"/>
  <c r="F33" i="5"/>
  <c r="G33" i="5"/>
  <c r="H33" i="5"/>
  <c r="F34" i="5"/>
  <c r="G34" i="5"/>
  <c r="H34" i="5"/>
  <c r="F35" i="5"/>
  <c r="G35" i="5"/>
  <c r="H35" i="5"/>
  <c r="F36" i="5"/>
  <c r="G36" i="5"/>
  <c r="H36" i="5"/>
  <c r="F37" i="5"/>
  <c r="G37" i="5"/>
  <c r="H37" i="5"/>
  <c r="F38" i="5"/>
  <c r="G38" i="5"/>
  <c r="H38" i="5"/>
  <c r="F39" i="5"/>
  <c r="G39" i="5"/>
  <c r="H39" i="5"/>
  <c r="F40" i="5"/>
  <c r="G40" i="5"/>
  <c r="H40" i="5"/>
  <c r="F41" i="5"/>
  <c r="G41" i="5"/>
  <c r="H41" i="5"/>
  <c r="F42" i="5"/>
  <c r="G42" i="5"/>
  <c r="H42" i="5"/>
  <c r="F43" i="5"/>
  <c r="G43" i="5"/>
  <c r="H43" i="5"/>
  <c r="F44" i="5"/>
  <c r="G44" i="5"/>
  <c r="H44" i="5"/>
  <c r="F45" i="5"/>
  <c r="G45" i="5"/>
  <c r="H45" i="5"/>
  <c r="F46" i="5"/>
  <c r="G46" i="5"/>
  <c r="H46" i="5"/>
  <c r="F47" i="5"/>
  <c r="G47" i="5"/>
  <c r="H47" i="5"/>
  <c r="F48" i="5"/>
  <c r="G48" i="5"/>
  <c r="H48" i="5"/>
  <c r="F49" i="5"/>
  <c r="G49" i="5"/>
  <c r="H49" i="5"/>
  <c r="F50" i="5"/>
  <c r="G50" i="5"/>
  <c r="H50" i="5"/>
  <c r="F51" i="5"/>
  <c r="G51" i="5"/>
  <c r="H51" i="5"/>
  <c r="F52" i="5"/>
  <c r="G52" i="5"/>
  <c r="H52" i="5"/>
  <c r="F53" i="5"/>
  <c r="G53" i="5"/>
  <c r="H53" i="5"/>
  <c r="F54" i="5"/>
  <c r="G54" i="5"/>
  <c r="H54" i="5"/>
  <c r="F55" i="5"/>
  <c r="G55" i="5"/>
  <c r="H55" i="5"/>
  <c r="F56" i="5"/>
  <c r="G56" i="5"/>
  <c r="H56" i="5"/>
  <c r="F57" i="5"/>
  <c r="G57" i="5"/>
  <c r="H57" i="5"/>
  <c r="F58" i="5"/>
  <c r="G58" i="5"/>
  <c r="H58" i="5"/>
  <c r="F59" i="5"/>
  <c r="G59" i="5"/>
  <c r="H59" i="5"/>
  <c r="F60" i="5"/>
  <c r="G60" i="5"/>
  <c r="H60" i="5"/>
  <c r="F61" i="5"/>
  <c r="G61" i="5"/>
  <c r="H61" i="5"/>
  <c r="F62" i="5"/>
  <c r="G62" i="5"/>
  <c r="H62" i="5"/>
  <c r="F63" i="5"/>
  <c r="G63" i="5"/>
  <c r="H63" i="5"/>
  <c r="F64" i="5"/>
  <c r="G64" i="5"/>
  <c r="H64" i="5"/>
  <c r="F65" i="5"/>
  <c r="G65" i="5"/>
  <c r="H65" i="5"/>
  <c r="F66" i="5"/>
  <c r="G66" i="5"/>
  <c r="H66" i="5"/>
  <c r="F67" i="5"/>
  <c r="G67" i="5"/>
  <c r="H67" i="5"/>
  <c r="F68" i="5"/>
  <c r="G68" i="5"/>
  <c r="H68" i="5"/>
  <c r="F69" i="5"/>
  <c r="G69" i="5"/>
  <c r="H69" i="5"/>
  <c r="F70" i="5"/>
  <c r="G70" i="5"/>
  <c r="H70" i="5"/>
  <c r="F71" i="5"/>
  <c r="G71" i="5"/>
  <c r="H71" i="5"/>
  <c r="F72" i="5"/>
  <c r="G72" i="5"/>
  <c r="H72" i="5"/>
  <c r="F73" i="5"/>
  <c r="G73" i="5"/>
  <c r="H73" i="5"/>
  <c r="F74" i="5"/>
  <c r="G74" i="5"/>
  <c r="H74" i="5"/>
  <c r="F75" i="5"/>
  <c r="G75" i="5"/>
  <c r="H75" i="5"/>
  <c r="F76" i="5"/>
  <c r="G76" i="5"/>
  <c r="H76" i="5"/>
  <c r="F77" i="5"/>
  <c r="G77" i="5"/>
  <c r="H77" i="5"/>
  <c r="F78" i="5"/>
  <c r="G78" i="5"/>
  <c r="H78" i="5"/>
  <c r="F79" i="5"/>
  <c r="G79" i="5"/>
  <c r="H79" i="5"/>
  <c r="F80" i="5"/>
  <c r="G80" i="5"/>
  <c r="H80" i="5"/>
  <c r="F81" i="5"/>
  <c r="G81" i="5"/>
  <c r="H81" i="5"/>
  <c r="F82" i="5"/>
  <c r="G82" i="5"/>
  <c r="H82" i="5"/>
  <c r="F83" i="5"/>
  <c r="G83" i="5"/>
  <c r="H83" i="5"/>
  <c r="F84" i="5"/>
  <c r="G84" i="5"/>
  <c r="H84" i="5"/>
  <c r="F85" i="5"/>
  <c r="G85" i="5"/>
  <c r="H85" i="5"/>
  <c r="F86" i="5"/>
  <c r="G86" i="5"/>
  <c r="H86" i="5"/>
  <c r="F87" i="5"/>
  <c r="G87" i="5"/>
  <c r="H87" i="5"/>
  <c r="F88" i="5"/>
  <c r="G88" i="5"/>
  <c r="H88" i="5"/>
  <c r="F89" i="5"/>
  <c r="G89" i="5"/>
  <c r="H89" i="5"/>
  <c r="F90" i="5"/>
  <c r="G90" i="5"/>
  <c r="H90" i="5"/>
  <c r="F91" i="5"/>
  <c r="G91" i="5"/>
  <c r="H91" i="5"/>
  <c r="F92" i="5"/>
  <c r="G92" i="5"/>
  <c r="H92" i="5"/>
  <c r="F93" i="5"/>
  <c r="G93" i="5"/>
  <c r="H93" i="5"/>
  <c r="F94" i="5"/>
  <c r="G94" i="5"/>
  <c r="H94" i="5"/>
  <c r="F95" i="5"/>
  <c r="G95" i="5"/>
  <c r="H95" i="5"/>
  <c r="F96" i="5"/>
  <c r="G96" i="5"/>
  <c r="H96" i="5"/>
  <c r="F97" i="5"/>
  <c r="G97" i="5"/>
  <c r="H97" i="5"/>
  <c r="F98" i="5"/>
  <c r="G98" i="5"/>
  <c r="H98" i="5"/>
  <c r="F99" i="5"/>
  <c r="G99" i="5"/>
  <c r="H99" i="5"/>
  <c r="F100" i="5"/>
  <c r="G100" i="5"/>
  <c r="H100" i="5"/>
  <c r="F101" i="5"/>
  <c r="G101" i="5"/>
  <c r="H101" i="5"/>
  <c r="F102" i="5"/>
  <c r="G102" i="5"/>
  <c r="H102" i="5"/>
  <c r="F103" i="5"/>
  <c r="G103" i="5"/>
  <c r="H103" i="5"/>
  <c r="F104" i="5"/>
  <c r="G104" i="5"/>
  <c r="H104" i="5"/>
  <c r="F105" i="5"/>
  <c r="G105" i="5"/>
  <c r="H105" i="5"/>
  <c r="F106" i="5"/>
  <c r="G106" i="5"/>
  <c r="H106" i="5"/>
  <c r="F107" i="5"/>
  <c r="G107" i="5"/>
  <c r="H107" i="5"/>
  <c r="F108" i="5"/>
  <c r="G108" i="5"/>
  <c r="H108" i="5"/>
  <c r="F109" i="5"/>
  <c r="G109" i="5"/>
  <c r="H109" i="5"/>
  <c r="F110" i="5"/>
  <c r="G110" i="5"/>
  <c r="H110" i="5"/>
  <c r="F111" i="5"/>
  <c r="G111" i="5"/>
  <c r="H111" i="5"/>
  <c r="F112" i="5"/>
  <c r="G112" i="5"/>
  <c r="H112" i="5"/>
  <c r="F113" i="5"/>
  <c r="G113" i="5"/>
  <c r="H113" i="5"/>
  <c r="F114" i="5"/>
  <c r="G114" i="5"/>
  <c r="H114" i="5"/>
  <c r="F115" i="5"/>
  <c r="G115" i="5"/>
  <c r="H115" i="5"/>
  <c r="F116" i="5"/>
  <c r="G116" i="5"/>
  <c r="H116" i="5"/>
  <c r="F117" i="5"/>
  <c r="G117" i="5"/>
  <c r="H117" i="5"/>
  <c r="F118" i="5"/>
  <c r="G118" i="5"/>
  <c r="H118" i="5"/>
  <c r="F119" i="5"/>
  <c r="G119" i="5"/>
  <c r="H119" i="5"/>
  <c r="F120" i="5"/>
  <c r="G120" i="5"/>
  <c r="H120" i="5"/>
  <c r="F121" i="5"/>
  <c r="G121" i="5"/>
  <c r="H121" i="5"/>
  <c r="F122" i="5"/>
  <c r="G122" i="5"/>
  <c r="H122" i="5"/>
  <c r="F123" i="5"/>
  <c r="G123" i="5"/>
  <c r="H123" i="5"/>
  <c r="F124" i="5"/>
  <c r="G124" i="5"/>
  <c r="H124" i="5"/>
  <c r="F125" i="5"/>
  <c r="G125" i="5"/>
  <c r="H125" i="5"/>
  <c r="F126" i="5"/>
  <c r="G126" i="5"/>
  <c r="H126" i="5"/>
  <c r="F127" i="5"/>
  <c r="G127" i="5"/>
  <c r="H127" i="5"/>
  <c r="F128" i="5"/>
  <c r="G128" i="5"/>
  <c r="H128" i="5"/>
  <c r="F129" i="5"/>
  <c r="G129" i="5"/>
  <c r="H129" i="5"/>
  <c r="F130" i="5"/>
  <c r="G130" i="5"/>
  <c r="H130" i="5"/>
  <c r="F131" i="5"/>
  <c r="G131" i="5"/>
  <c r="H131" i="5"/>
  <c r="F132" i="5"/>
  <c r="G132" i="5"/>
  <c r="H132" i="5"/>
  <c r="F133" i="5"/>
  <c r="G133" i="5"/>
  <c r="H133" i="5"/>
  <c r="F134" i="5"/>
  <c r="G134" i="5"/>
  <c r="H134" i="5"/>
  <c r="F135" i="5"/>
  <c r="G135" i="5"/>
  <c r="H135" i="5"/>
  <c r="F136" i="5"/>
  <c r="G136" i="5"/>
  <c r="H136" i="5"/>
  <c r="F137" i="5"/>
  <c r="G137" i="5"/>
  <c r="H137" i="5"/>
  <c r="F138" i="5"/>
  <c r="G138" i="5"/>
  <c r="H138" i="5"/>
  <c r="F139" i="5"/>
  <c r="G139" i="5"/>
  <c r="H139" i="5"/>
  <c r="F140" i="5"/>
  <c r="G140" i="5"/>
  <c r="H140" i="5"/>
  <c r="F141" i="5"/>
  <c r="G141" i="5"/>
  <c r="H141" i="5"/>
  <c r="F142" i="5"/>
  <c r="G142" i="5"/>
  <c r="H142" i="5"/>
  <c r="F143" i="5"/>
  <c r="G143" i="5"/>
  <c r="H143" i="5"/>
  <c r="F144" i="5"/>
  <c r="G144" i="5"/>
  <c r="H144" i="5"/>
  <c r="F145" i="5"/>
  <c r="G145" i="5"/>
  <c r="H145" i="5"/>
  <c r="G2" i="5"/>
  <c r="H2" i="5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3" i="4"/>
  <c r="G26" i="4"/>
  <c r="G31" i="4"/>
  <c r="G34" i="4"/>
  <c r="G39" i="4"/>
  <c r="G42" i="4"/>
  <c r="G50" i="4"/>
  <c r="G55" i="4"/>
  <c r="G58" i="4"/>
  <c r="G63" i="4"/>
  <c r="G71" i="4"/>
  <c r="G74" i="4"/>
  <c r="G2" i="4"/>
  <c r="H3" i="4"/>
  <c r="H4" i="4"/>
  <c r="H5" i="4"/>
  <c r="H6" i="4"/>
  <c r="H7" i="4"/>
  <c r="I7" i="4"/>
  <c r="J7" i="4"/>
  <c r="H8" i="4"/>
  <c r="H9" i="4"/>
  <c r="H10" i="4"/>
  <c r="H11" i="4"/>
  <c r="I11" i="4"/>
  <c r="J11" i="4"/>
  <c r="H12" i="4"/>
  <c r="H13" i="4"/>
  <c r="H14" i="4"/>
  <c r="H15" i="4"/>
  <c r="H16" i="4"/>
  <c r="H17" i="4"/>
  <c r="H18" i="4"/>
  <c r="H19" i="4"/>
  <c r="H20" i="4"/>
  <c r="H21" i="4"/>
  <c r="H22" i="4"/>
  <c r="H23" i="4"/>
  <c r="I23" i="4"/>
  <c r="J23" i="4"/>
  <c r="H24" i="4"/>
  <c r="H25" i="4"/>
  <c r="H26" i="4"/>
  <c r="I26" i="4"/>
  <c r="J26" i="4"/>
  <c r="H27" i="4"/>
  <c r="H28" i="4"/>
  <c r="H29" i="4"/>
  <c r="H30" i="4"/>
  <c r="I30" i="4"/>
  <c r="J30" i="4"/>
  <c r="H31" i="4"/>
  <c r="H32" i="4"/>
  <c r="H33" i="4"/>
  <c r="H34" i="4"/>
  <c r="H35" i="4"/>
  <c r="H36" i="4"/>
  <c r="H37" i="4"/>
  <c r="H38" i="4"/>
  <c r="H39" i="4"/>
  <c r="H40" i="4"/>
  <c r="H41" i="4"/>
  <c r="H42" i="4"/>
  <c r="I42" i="4"/>
  <c r="J42" i="4"/>
  <c r="H43" i="4"/>
  <c r="H44" i="4"/>
  <c r="H45" i="4"/>
  <c r="H46" i="4"/>
  <c r="H47" i="4"/>
  <c r="H48" i="4"/>
  <c r="H49" i="4"/>
  <c r="I49" i="4"/>
  <c r="J49" i="4"/>
  <c r="H50" i="4"/>
  <c r="H51" i="4"/>
  <c r="H52" i="4"/>
  <c r="H53" i="4"/>
  <c r="H54" i="4"/>
  <c r="H55" i="4"/>
  <c r="H56" i="4"/>
  <c r="H57" i="4"/>
  <c r="I57" i="4"/>
  <c r="J57" i="4"/>
  <c r="H58" i="4"/>
  <c r="I58" i="4"/>
  <c r="J58" i="4"/>
  <c r="H59" i="4"/>
  <c r="H60" i="4"/>
  <c r="H61" i="4"/>
  <c r="H62" i="4"/>
  <c r="H63" i="4"/>
  <c r="H64" i="4"/>
  <c r="H65" i="4"/>
  <c r="H66" i="4"/>
  <c r="H67" i="4"/>
  <c r="H68" i="4"/>
  <c r="H69" i="4"/>
  <c r="H70" i="4"/>
  <c r="I70" i="4"/>
  <c r="J70" i="4"/>
  <c r="H71" i="4"/>
  <c r="H72" i="4"/>
  <c r="H73" i="4"/>
  <c r="H74" i="4"/>
  <c r="H75" i="4"/>
  <c r="H76" i="4"/>
  <c r="H77" i="4"/>
  <c r="H2" i="4"/>
  <c r="I3" i="4"/>
  <c r="J3" i="4"/>
  <c r="I4" i="4"/>
  <c r="J4" i="4"/>
  <c r="I5" i="4"/>
  <c r="J5" i="4"/>
  <c r="I6" i="4"/>
  <c r="J6" i="4"/>
  <c r="I8" i="4"/>
  <c r="J8" i="4"/>
  <c r="I9" i="4"/>
  <c r="J9" i="4"/>
  <c r="I10" i="4"/>
  <c r="J10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2" i="4"/>
  <c r="J22" i="4"/>
  <c r="I24" i="4"/>
  <c r="J24" i="4"/>
  <c r="I25" i="4"/>
  <c r="J25" i="4"/>
  <c r="I27" i="4"/>
  <c r="J27" i="4"/>
  <c r="I28" i="4"/>
  <c r="J28" i="4"/>
  <c r="I29" i="4"/>
  <c r="J29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1" i="4"/>
  <c r="J41" i="4"/>
  <c r="I43" i="4"/>
  <c r="J43" i="4"/>
  <c r="I44" i="4"/>
  <c r="J44" i="4"/>
  <c r="I45" i="4"/>
  <c r="J45" i="4"/>
  <c r="I46" i="4"/>
  <c r="J46" i="4"/>
  <c r="I47" i="4"/>
  <c r="J47" i="4"/>
  <c r="I48" i="4"/>
  <c r="J48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2" i="4"/>
  <c r="J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2" i="4"/>
  <c r="A22" i="4"/>
  <c r="A41" i="4"/>
  <c r="A60" i="4"/>
  <c r="G60" i="4"/>
  <c r="A23" i="4"/>
  <c r="A42" i="4"/>
  <c r="A61" i="4"/>
  <c r="G61" i="4"/>
  <c r="A24" i="4"/>
  <c r="G24" i="4"/>
  <c r="A25" i="4"/>
  <c r="A44" i="4"/>
  <c r="A63" i="4"/>
  <c r="A26" i="4"/>
  <c r="A45" i="4"/>
  <c r="A64" i="4"/>
  <c r="G64" i="4"/>
  <c r="A27" i="4"/>
  <c r="G27" i="4"/>
  <c r="A28" i="4"/>
  <c r="G28" i="4"/>
  <c r="A29" i="4"/>
  <c r="G29" i="4"/>
  <c r="A30" i="4"/>
  <c r="A49" i="4"/>
  <c r="A68" i="4"/>
  <c r="G68" i="4"/>
  <c r="A31" i="4"/>
  <c r="A50" i="4"/>
  <c r="A69" i="4"/>
  <c r="G69" i="4"/>
  <c r="A32" i="4"/>
  <c r="A51" i="4"/>
  <c r="A70" i="4"/>
  <c r="G70" i="4"/>
  <c r="A33" i="4"/>
  <c r="A52" i="4"/>
  <c r="A71" i="4"/>
  <c r="A34" i="4"/>
  <c r="A53" i="4"/>
  <c r="A72" i="4"/>
  <c r="G72" i="4"/>
  <c r="A35" i="4"/>
  <c r="G35" i="4"/>
  <c r="A36" i="4"/>
  <c r="G36" i="4"/>
  <c r="A37" i="4"/>
  <c r="G37" i="4"/>
  <c r="A38" i="4"/>
  <c r="A57" i="4"/>
  <c r="A76" i="4"/>
  <c r="G76" i="4"/>
  <c r="A39" i="4"/>
  <c r="A58" i="4"/>
  <c r="A77" i="4"/>
  <c r="G77" i="4"/>
  <c r="A40" i="4"/>
  <c r="A59" i="4"/>
  <c r="G59" i="4"/>
  <c r="A47" i="4"/>
  <c r="A66" i="4"/>
  <c r="G66" i="4"/>
  <c r="A48" i="4"/>
  <c r="G48" i="4"/>
  <c r="A55" i="4"/>
  <c r="A74" i="4"/>
  <c r="A56" i="4"/>
  <c r="G56" i="4"/>
  <c r="A67" i="4"/>
  <c r="G67" i="4"/>
  <c r="A21" i="4"/>
  <c r="G21" i="4"/>
  <c r="H2143" i="2"/>
  <c r="H2144" i="2"/>
  <c r="H2145" i="2"/>
  <c r="H2146" i="2"/>
  <c r="H2147" i="2"/>
  <c r="H2148" i="2"/>
  <c r="H2149" i="2"/>
  <c r="H2150" i="2"/>
  <c r="H2152" i="2"/>
  <c r="H2153" i="2"/>
  <c r="H2154" i="2"/>
  <c r="H2155" i="2"/>
  <c r="H2156" i="2"/>
  <c r="H2157" i="2"/>
  <c r="H2158" i="2"/>
  <c r="H2159" i="2"/>
  <c r="H2161" i="2"/>
  <c r="H2164" i="2"/>
  <c r="H2166" i="2"/>
  <c r="H2167" i="2"/>
  <c r="H2168" i="2"/>
  <c r="H2169" i="2"/>
  <c r="H2170" i="2"/>
  <c r="H2171" i="2"/>
  <c r="H2172" i="2"/>
  <c r="H2174" i="2"/>
  <c r="H2175" i="2"/>
  <c r="H2176" i="2"/>
  <c r="H2177" i="2"/>
  <c r="H2178" i="2"/>
  <c r="H2179" i="2"/>
  <c r="H2180" i="2"/>
  <c r="H2181" i="2"/>
  <c r="I2238" i="2"/>
  <c r="I2237" i="2"/>
  <c r="I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132" i="2"/>
  <c r="H2133" i="2"/>
  <c r="H2134" i="2"/>
  <c r="H2135" i="2"/>
  <c r="H2136" i="2"/>
  <c r="H2137" i="2"/>
  <c r="H2138" i="2"/>
  <c r="H2139" i="2"/>
  <c r="H2140" i="2"/>
  <c r="H2141" i="2"/>
  <c r="H2237" i="2"/>
  <c r="H2238" i="2"/>
  <c r="A215" i="2"/>
  <c r="A216" i="2"/>
  <c r="A217" i="2"/>
  <c r="A218" i="2"/>
  <c r="A219" i="2"/>
  <c r="A220" i="2"/>
  <c r="A221" i="2"/>
  <c r="I176" i="2"/>
  <c r="I1360" i="2"/>
  <c r="I1361" i="2"/>
  <c r="I1362" i="2"/>
  <c r="I1363" i="2"/>
  <c r="I1364" i="2"/>
  <c r="I1365" i="2"/>
  <c r="I1366" i="2"/>
  <c r="I1367" i="2"/>
  <c r="I1368" i="2"/>
  <c r="I1340" i="2"/>
  <c r="I1341" i="2"/>
  <c r="I1342" i="2"/>
  <c r="I1343" i="2"/>
  <c r="I1344" i="2"/>
  <c r="I1345" i="2"/>
  <c r="I1346" i="2"/>
  <c r="I1347" i="2"/>
  <c r="I1339" i="2"/>
  <c r="I1326" i="2"/>
  <c r="I1327" i="2"/>
  <c r="I1328" i="2"/>
  <c r="I1329" i="2"/>
  <c r="I1325" i="2"/>
  <c r="H1320" i="2"/>
  <c r="H1321" i="2"/>
  <c r="H1322" i="2"/>
  <c r="H1323" i="2"/>
  <c r="H1324" i="2"/>
  <c r="H1325" i="2"/>
  <c r="H1326" i="2"/>
  <c r="H1327" i="2"/>
  <c r="H1328" i="2"/>
  <c r="H1329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77" i="2"/>
  <c r="H178" i="2"/>
  <c r="H179" i="2"/>
  <c r="H180" i="2"/>
  <c r="H181" i="2"/>
  <c r="H182" i="2"/>
  <c r="H183" i="2"/>
  <c r="H184" i="2"/>
  <c r="H185" i="2"/>
  <c r="H167" i="2"/>
  <c r="H168" i="2"/>
  <c r="H169" i="2"/>
  <c r="H170" i="2"/>
  <c r="H171" i="2"/>
  <c r="H172" i="2"/>
  <c r="H173" i="2"/>
  <c r="H174" i="2"/>
  <c r="H175" i="2"/>
  <c r="A167" i="2"/>
  <c r="A168" i="2"/>
  <c r="A169" i="2"/>
  <c r="A170" i="2"/>
  <c r="A171" i="2"/>
  <c r="A172" i="2"/>
  <c r="A173" i="2"/>
  <c r="A174" i="2"/>
  <c r="A175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77" i="2"/>
  <c r="A178" i="2"/>
  <c r="A179" i="2"/>
  <c r="A180" i="2"/>
  <c r="A181" i="2"/>
  <c r="A182" i="2"/>
  <c r="A183" i="2"/>
  <c r="A184" i="2"/>
  <c r="A185" i="2"/>
  <c r="H1419" i="2"/>
  <c r="I1419" i="2"/>
  <c r="M1419" i="2"/>
  <c r="I1420" i="2"/>
  <c r="M1420" i="2"/>
  <c r="I1421" i="2"/>
  <c r="M1421" i="2"/>
  <c r="I1422" i="2"/>
  <c r="M1422" i="2"/>
  <c r="I1423" i="2"/>
  <c r="M1423" i="2"/>
  <c r="I1424" i="2"/>
  <c r="M1424" i="2"/>
  <c r="I1425" i="2"/>
  <c r="M1425" i="2"/>
  <c r="I1426" i="2"/>
  <c r="M1426" i="2"/>
  <c r="I1427" i="2"/>
  <c r="M1427" i="2"/>
  <c r="I1428" i="2"/>
  <c r="M1428" i="2"/>
  <c r="I1429" i="2"/>
  <c r="M1429" i="2"/>
  <c r="I1430" i="2"/>
  <c r="M1430" i="2"/>
  <c r="I1431" i="2"/>
  <c r="M1431" i="2"/>
  <c r="I1432" i="2"/>
  <c r="I1433" i="2"/>
  <c r="I1434" i="2"/>
  <c r="I1435" i="2"/>
  <c r="F1419" i="2"/>
  <c r="K1419" i="2"/>
  <c r="F1420" i="2"/>
  <c r="K1420" i="2"/>
  <c r="F1421" i="2"/>
  <c r="K1421" i="2"/>
  <c r="F1422" i="2"/>
  <c r="K1422" i="2"/>
  <c r="F1423" i="2"/>
  <c r="K1423" i="2"/>
  <c r="F1424" i="2"/>
  <c r="K1424" i="2"/>
  <c r="F1425" i="2"/>
  <c r="K1425" i="2"/>
  <c r="F1426" i="2"/>
  <c r="K1426" i="2"/>
  <c r="F1427" i="2"/>
  <c r="K1427" i="2"/>
  <c r="F1428" i="2"/>
  <c r="K1428" i="2"/>
  <c r="F1429" i="2"/>
  <c r="K1429" i="2"/>
  <c r="F1430" i="2"/>
  <c r="K1430" i="2"/>
  <c r="F1431" i="2"/>
  <c r="K1431" i="2"/>
  <c r="F1432" i="2"/>
  <c r="K1432" i="2"/>
  <c r="F1433" i="2"/>
  <c r="K1433" i="2"/>
  <c r="F1434" i="2"/>
  <c r="K1434" i="2"/>
  <c r="F1435" i="2"/>
  <c r="K1435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I1418" i="2"/>
  <c r="I1417" i="2"/>
  <c r="I1416" i="2"/>
  <c r="I1415" i="2"/>
  <c r="M1414" i="2"/>
  <c r="I1414" i="2"/>
  <c r="M1413" i="2"/>
  <c r="I1413" i="2"/>
  <c r="M1412" i="2"/>
  <c r="I1412" i="2"/>
  <c r="M1411" i="2"/>
  <c r="I1411" i="2"/>
  <c r="M1410" i="2"/>
  <c r="I1410" i="2"/>
  <c r="M1409" i="2"/>
  <c r="I1409" i="2"/>
  <c r="M1408" i="2"/>
  <c r="I1408" i="2"/>
  <c r="M1407" i="2"/>
  <c r="I1407" i="2"/>
  <c r="M1406" i="2"/>
  <c r="I1406" i="2"/>
  <c r="M1405" i="2"/>
  <c r="I1405" i="2"/>
  <c r="M1404" i="2"/>
  <c r="I1404" i="2"/>
  <c r="M1403" i="2"/>
  <c r="I1403" i="2"/>
  <c r="M1402" i="2"/>
  <c r="I1402" i="2"/>
  <c r="H1402" i="2"/>
  <c r="F1402" i="2"/>
  <c r="K1402" i="2"/>
  <c r="F1403" i="2"/>
  <c r="K1403" i="2"/>
  <c r="F1404" i="2"/>
  <c r="K1404" i="2"/>
  <c r="F1405" i="2"/>
  <c r="K1405" i="2"/>
  <c r="F1406" i="2"/>
  <c r="K1406" i="2"/>
  <c r="F1407" i="2"/>
  <c r="K1407" i="2"/>
  <c r="F1408" i="2"/>
  <c r="K1408" i="2"/>
  <c r="F1409" i="2"/>
  <c r="K1409" i="2"/>
  <c r="F1410" i="2"/>
  <c r="K1410" i="2"/>
  <c r="F1411" i="2"/>
  <c r="K1411" i="2"/>
  <c r="F1412" i="2"/>
  <c r="K1412" i="2"/>
  <c r="F1413" i="2"/>
  <c r="K1413" i="2"/>
  <c r="F1414" i="2"/>
  <c r="K1414" i="2"/>
  <c r="F1415" i="2"/>
  <c r="K1415" i="2"/>
  <c r="F1416" i="2"/>
  <c r="K1416" i="2"/>
  <c r="F1417" i="2"/>
  <c r="K1417" i="2"/>
  <c r="F1418" i="2"/>
  <c r="K1418" i="2"/>
  <c r="H1385" i="2"/>
  <c r="I1385" i="2"/>
  <c r="M1385" i="2"/>
  <c r="I1386" i="2"/>
  <c r="M1386" i="2"/>
  <c r="I1387" i="2"/>
  <c r="M1387" i="2"/>
  <c r="I1388" i="2"/>
  <c r="M1388" i="2"/>
  <c r="I1389" i="2"/>
  <c r="M1389" i="2"/>
  <c r="I1390" i="2"/>
  <c r="M1390" i="2"/>
  <c r="I1391" i="2"/>
  <c r="M1391" i="2"/>
  <c r="I1392" i="2"/>
  <c r="M1392" i="2"/>
  <c r="I1393" i="2"/>
  <c r="M1393" i="2"/>
  <c r="I1394" i="2"/>
  <c r="M1394" i="2"/>
  <c r="I1395" i="2"/>
  <c r="M1395" i="2"/>
  <c r="I1396" i="2"/>
  <c r="M1396" i="2"/>
  <c r="I1397" i="2"/>
  <c r="M1397" i="2"/>
  <c r="I1398" i="2"/>
  <c r="I1399" i="2"/>
  <c r="I1400" i="2"/>
  <c r="I1401" i="2"/>
  <c r="F1385" i="2"/>
  <c r="K1385" i="2"/>
  <c r="F1386" i="2"/>
  <c r="K1386" i="2"/>
  <c r="F1387" i="2"/>
  <c r="K1387" i="2"/>
  <c r="F1388" i="2"/>
  <c r="K1388" i="2"/>
  <c r="F1389" i="2"/>
  <c r="K1389" i="2"/>
  <c r="F1390" i="2"/>
  <c r="K1390" i="2"/>
  <c r="F1391" i="2"/>
  <c r="K1391" i="2"/>
  <c r="F1392" i="2"/>
  <c r="K1392" i="2"/>
  <c r="F1393" i="2"/>
  <c r="K1393" i="2"/>
  <c r="F1394" i="2"/>
  <c r="K1394" i="2"/>
  <c r="F1395" i="2"/>
  <c r="K1395" i="2"/>
  <c r="F1396" i="2"/>
  <c r="K1396" i="2"/>
  <c r="F1397" i="2"/>
  <c r="K1397" i="2"/>
  <c r="F1398" i="2"/>
  <c r="K1398" i="2"/>
  <c r="F1399" i="2"/>
  <c r="K1399" i="2"/>
  <c r="F1400" i="2"/>
  <c r="K1400" i="2"/>
  <c r="F1401" i="2"/>
  <c r="K1401" i="2"/>
  <c r="H1375" i="2"/>
  <c r="I1375" i="2"/>
  <c r="M1375" i="2"/>
  <c r="I1376" i="2"/>
  <c r="M1376" i="2"/>
  <c r="I1377" i="2"/>
  <c r="M1377" i="2"/>
  <c r="I1378" i="2"/>
  <c r="M1378" i="2"/>
  <c r="I1379" i="2"/>
  <c r="M1379" i="2"/>
  <c r="I1380" i="2"/>
  <c r="M1380" i="2"/>
  <c r="I1381" i="2"/>
  <c r="M1381" i="2"/>
  <c r="I1382" i="2"/>
  <c r="M1382" i="2"/>
  <c r="I1383" i="2"/>
  <c r="M1383" i="2"/>
  <c r="I1384" i="2"/>
  <c r="M1384" i="2"/>
  <c r="F1375" i="2"/>
  <c r="K1375" i="2"/>
  <c r="F1376" i="2"/>
  <c r="K1376" i="2"/>
  <c r="F1377" i="2"/>
  <c r="K1377" i="2"/>
  <c r="F1378" i="2"/>
  <c r="K1378" i="2"/>
  <c r="F1379" i="2"/>
  <c r="K1379" i="2"/>
  <c r="F1380" i="2"/>
  <c r="K1380" i="2"/>
  <c r="F1381" i="2"/>
  <c r="K1381" i="2"/>
  <c r="F1382" i="2"/>
  <c r="K1382" i="2"/>
  <c r="F1383" i="2"/>
  <c r="K1383" i="2"/>
  <c r="F1384" i="2"/>
  <c r="K1384" i="2"/>
  <c r="H1369" i="2"/>
  <c r="I1369" i="2"/>
  <c r="I1370" i="2"/>
  <c r="I1371" i="2"/>
  <c r="I1372" i="2"/>
  <c r="I1373" i="2"/>
  <c r="I1374" i="2"/>
  <c r="M1370" i="2"/>
  <c r="M1371" i="2"/>
  <c r="M1372" i="2"/>
  <c r="M1373" i="2"/>
  <c r="M1374" i="2"/>
  <c r="M1369" i="2"/>
  <c r="F1370" i="2"/>
  <c r="K1370" i="2"/>
  <c r="F1371" i="2"/>
  <c r="K1371" i="2"/>
  <c r="F1372" i="2"/>
  <c r="K1372" i="2"/>
  <c r="F1373" i="2"/>
  <c r="K1373" i="2"/>
  <c r="F1374" i="2"/>
  <c r="K1374" i="2"/>
  <c r="F1369" i="2"/>
  <c r="K1369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20" i="2"/>
  <c r="B1421" i="2"/>
  <c r="B1422" i="2"/>
  <c r="B1423" i="2"/>
  <c r="B1424" i="2"/>
  <c r="B1425" i="2"/>
  <c r="B1426" i="2"/>
  <c r="B1427" i="2"/>
  <c r="B1428" i="2"/>
  <c r="B1429" i="2"/>
  <c r="B1430" i="2"/>
  <c r="B1370" i="2"/>
  <c r="B1371" i="2"/>
  <c r="B1372" i="2"/>
  <c r="B1373" i="2"/>
  <c r="B1374" i="2"/>
  <c r="B1376" i="2"/>
  <c r="B1377" i="2"/>
  <c r="B1378" i="2"/>
  <c r="B1379" i="2"/>
  <c r="B1380" i="2"/>
  <c r="B1381" i="2"/>
  <c r="B1382" i="2"/>
  <c r="B1383" i="2"/>
  <c r="B1384" i="2"/>
  <c r="H1384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B869" i="2"/>
  <c r="H845" i="2"/>
  <c r="I845" i="2"/>
  <c r="K845" i="2"/>
  <c r="I846" i="2"/>
  <c r="K846" i="2"/>
  <c r="I847" i="2"/>
  <c r="K847" i="2"/>
  <c r="I848" i="2"/>
  <c r="K848" i="2"/>
  <c r="I849" i="2"/>
  <c r="K849" i="2"/>
  <c r="I850" i="2"/>
  <c r="K850" i="2"/>
  <c r="I851" i="2"/>
  <c r="K851" i="2"/>
  <c r="I852" i="2"/>
  <c r="K852" i="2"/>
  <c r="I853" i="2"/>
  <c r="K853" i="2"/>
  <c r="H854" i="2"/>
  <c r="I854" i="2"/>
  <c r="K854" i="2"/>
  <c r="I855" i="2"/>
  <c r="K855" i="2"/>
  <c r="I856" i="2"/>
  <c r="K856" i="2"/>
  <c r="I857" i="2"/>
  <c r="K857" i="2"/>
  <c r="I858" i="2"/>
  <c r="K858" i="2"/>
  <c r="I859" i="2"/>
  <c r="K859" i="2"/>
  <c r="I860" i="2"/>
  <c r="K860" i="2"/>
  <c r="I861" i="2"/>
  <c r="K861" i="2"/>
  <c r="I862" i="2"/>
  <c r="K862" i="2"/>
  <c r="I863" i="2"/>
  <c r="K863" i="2"/>
  <c r="I864" i="2"/>
  <c r="K864" i="2"/>
  <c r="I865" i="2"/>
  <c r="K865" i="2"/>
  <c r="I866" i="2"/>
  <c r="K866" i="2"/>
  <c r="I867" i="2"/>
  <c r="K867" i="2"/>
  <c r="H868" i="2"/>
  <c r="I868" i="2"/>
  <c r="K868" i="2"/>
  <c r="I869" i="2"/>
  <c r="K869" i="2"/>
  <c r="I870" i="2"/>
  <c r="K870" i="2"/>
  <c r="I871" i="2"/>
  <c r="K871" i="2"/>
  <c r="I872" i="2"/>
  <c r="K872" i="2"/>
  <c r="I873" i="2"/>
  <c r="K873" i="2"/>
  <c r="I874" i="2"/>
  <c r="K874" i="2"/>
  <c r="I875" i="2"/>
  <c r="K875" i="2"/>
  <c r="I876" i="2"/>
  <c r="K876" i="2"/>
  <c r="I877" i="2"/>
  <c r="K877" i="2"/>
  <c r="I878" i="2"/>
  <c r="K878" i="2"/>
  <c r="I879" i="2"/>
  <c r="K879" i="2"/>
  <c r="I880" i="2"/>
  <c r="K880" i="2"/>
  <c r="I881" i="2"/>
  <c r="K881" i="2"/>
  <c r="I882" i="2"/>
  <c r="K882" i="2"/>
  <c r="I883" i="2"/>
  <c r="K883" i="2"/>
  <c r="I884" i="2"/>
  <c r="K884" i="2"/>
  <c r="I885" i="2"/>
  <c r="K885" i="2"/>
  <c r="I886" i="2"/>
  <c r="K886" i="2"/>
  <c r="I887" i="2"/>
  <c r="K887" i="2"/>
  <c r="I888" i="2"/>
  <c r="K888" i="2"/>
  <c r="I889" i="2"/>
  <c r="K889" i="2"/>
  <c r="I890" i="2"/>
  <c r="K890" i="2"/>
  <c r="I891" i="2"/>
  <c r="K891" i="2"/>
  <c r="I892" i="2"/>
  <c r="K892" i="2"/>
  <c r="I893" i="2"/>
  <c r="K893" i="2"/>
  <c r="I894" i="2"/>
  <c r="K894" i="2"/>
  <c r="I895" i="2"/>
  <c r="K895" i="2"/>
  <c r="I896" i="2"/>
  <c r="K896" i="2"/>
  <c r="I897" i="2"/>
  <c r="K897" i="2"/>
  <c r="I898" i="2"/>
  <c r="K898" i="2"/>
  <c r="I899" i="2"/>
  <c r="K899" i="2"/>
  <c r="I900" i="2"/>
  <c r="K900" i="2"/>
  <c r="I901" i="2"/>
  <c r="K901" i="2"/>
  <c r="I902" i="2"/>
  <c r="K902" i="2"/>
  <c r="I903" i="2"/>
  <c r="K903" i="2"/>
  <c r="I904" i="2"/>
  <c r="K904" i="2"/>
  <c r="I905" i="2"/>
  <c r="K905" i="2"/>
  <c r="I906" i="2"/>
  <c r="K906" i="2"/>
  <c r="I907" i="2"/>
  <c r="K907" i="2"/>
  <c r="I908" i="2"/>
  <c r="K908" i="2"/>
  <c r="I909" i="2"/>
  <c r="K909" i="2"/>
  <c r="I910" i="2"/>
  <c r="K910" i="2"/>
  <c r="K834" i="2"/>
  <c r="K835" i="2"/>
  <c r="K836" i="2"/>
  <c r="K837" i="2"/>
  <c r="K838" i="2"/>
  <c r="K839" i="2"/>
  <c r="K840" i="2"/>
  <c r="K841" i="2"/>
  <c r="K842" i="2"/>
  <c r="K843" i="2"/>
  <c r="K844" i="2"/>
  <c r="K833" i="2"/>
  <c r="H1376" i="2"/>
  <c r="H1382" i="2"/>
  <c r="H1370" i="2"/>
  <c r="D1802" i="2"/>
  <c r="D1803" i="2"/>
  <c r="D1804" i="2"/>
  <c r="D1805" i="2"/>
  <c r="D1806" i="2"/>
  <c r="D1807" i="2"/>
  <c r="I1807" i="2"/>
  <c r="H1378" i="2"/>
  <c r="C1651" i="2"/>
  <c r="C1652" i="2"/>
  <c r="H1380" i="2"/>
  <c r="H1374" i="2"/>
  <c r="B34" i="2"/>
  <c r="H33" i="2"/>
  <c r="H1395" i="2"/>
  <c r="H1390" i="2"/>
  <c r="H1401" i="2"/>
  <c r="H1392" i="2"/>
  <c r="H1387" i="2"/>
  <c r="H32" i="2"/>
  <c r="H1398" i="2"/>
  <c r="H1394" i="2"/>
  <c r="H1389" i="2"/>
  <c r="H1396" i="2"/>
  <c r="H1391" i="2"/>
  <c r="C1864" i="2"/>
  <c r="H1864" i="2"/>
  <c r="H1397" i="2"/>
  <c r="H1386" i="2"/>
  <c r="H1393" i="2"/>
  <c r="H1388" i="2"/>
  <c r="C1796" i="2"/>
  <c r="C1797" i="2"/>
  <c r="H1417" i="2"/>
  <c r="I1651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981" i="2"/>
  <c r="A982" i="2"/>
  <c r="A983" i="2"/>
  <c r="A984" i="2"/>
  <c r="A912" i="2"/>
  <c r="A913" i="2"/>
  <c r="A914" i="2"/>
  <c r="A915" i="2"/>
  <c r="A916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918" i="2"/>
  <c r="A919" i="2"/>
  <c r="A920" i="2"/>
  <c r="A921" i="2"/>
  <c r="A922" i="2"/>
  <c r="A923" i="2"/>
  <c r="A924" i="2"/>
  <c r="A925" i="2"/>
  <c r="A926" i="2"/>
  <c r="A927" i="2"/>
  <c r="A928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2052" i="2"/>
  <c r="A2053" i="2"/>
  <c r="A2054" i="2"/>
  <c r="A2055" i="2"/>
  <c r="A2056" i="2"/>
  <c r="A2057" i="2"/>
  <c r="A2058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H981" i="2"/>
  <c r="H983" i="2"/>
  <c r="H984" i="2"/>
  <c r="H912" i="2"/>
  <c r="H913" i="2"/>
  <c r="H914" i="2"/>
  <c r="H915" i="2"/>
  <c r="H916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B1431" i="2"/>
  <c r="H1430" i="2"/>
  <c r="H1371" i="2"/>
  <c r="H1399" i="2"/>
  <c r="H1416" i="2"/>
  <c r="H1429" i="2"/>
  <c r="H1427" i="2"/>
  <c r="H1425" i="2"/>
  <c r="H1423" i="2"/>
  <c r="H1421" i="2"/>
  <c r="H1404" i="2"/>
  <c r="H1406" i="2"/>
  <c r="H1408" i="2"/>
  <c r="H1410" i="2"/>
  <c r="H1412" i="2"/>
  <c r="H1414" i="2"/>
  <c r="I1813" i="2"/>
  <c r="I1811" i="2"/>
  <c r="I1803" i="2"/>
  <c r="H1373" i="2"/>
  <c r="H1428" i="2"/>
  <c r="H1426" i="2"/>
  <c r="H1424" i="2"/>
  <c r="H1422" i="2"/>
  <c r="H1400" i="2"/>
  <c r="H1403" i="2"/>
  <c r="H1405" i="2"/>
  <c r="H1407" i="2"/>
  <c r="H1409" i="2"/>
  <c r="H1411" i="2"/>
  <c r="H1413" i="2"/>
  <c r="H1415" i="2"/>
  <c r="H1420" i="2"/>
  <c r="I1812" i="2"/>
  <c r="I1806" i="2"/>
  <c r="I1804" i="2"/>
  <c r="H1372" i="2"/>
  <c r="H1383" i="2"/>
  <c r="H1381" i="2"/>
  <c r="H1379" i="2"/>
  <c r="H1377" i="2"/>
  <c r="H1418" i="2"/>
  <c r="H1796" i="2"/>
  <c r="H1792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1729" i="2"/>
  <c r="H1730" i="2"/>
  <c r="H1731" i="2"/>
  <c r="H1732" i="2"/>
  <c r="H1733" i="2"/>
  <c r="H1735" i="2"/>
  <c r="H1736" i="2"/>
  <c r="H1737" i="2"/>
  <c r="H1738" i="2"/>
  <c r="H1739" i="2"/>
  <c r="H1741" i="2"/>
  <c r="H1742" i="2"/>
  <c r="H1743" i="2"/>
  <c r="H1744" i="2"/>
  <c r="H1745" i="2"/>
  <c r="H1747" i="2"/>
  <c r="H1748" i="2"/>
  <c r="H1749" i="2"/>
  <c r="H1750" i="2"/>
  <c r="H1751" i="2"/>
  <c r="H1753" i="2"/>
  <c r="H1754" i="2"/>
  <c r="H1755" i="2"/>
  <c r="H1756" i="2"/>
  <c r="H1757" i="2"/>
  <c r="H1759" i="2"/>
  <c r="H1760" i="2"/>
  <c r="H1761" i="2"/>
  <c r="H1762" i="2"/>
  <c r="H1763" i="2"/>
  <c r="H1764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9" i="2"/>
  <c r="H1780" i="2"/>
  <c r="H1781" i="2"/>
  <c r="H1782" i="2"/>
  <c r="H1783" i="2"/>
  <c r="H1784" i="2"/>
  <c r="H999" i="2"/>
  <c r="H1000" i="2"/>
  <c r="H1001" i="2"/>
  <c r="H1002" i="2"/>
  <c r="H1003" i="2"/>
  <c r="H1004" i="2"/>
  <c r="H1005" i="2"/>
  <c r="H1006" i="2"/>
  <c r="H1008" i="2"/>
  <c r="H1009" i="2"/>
  <c r="H1010" i="2"/>
  <c r="H1011" i="2"/>
  <c r="H1012" i="2"/>
  <c r="H1013" i="2"/>
  <c r="H1014" i="2"/>
  <c r="H1016" i="2"/>
  <c r="H1017" i="2"/>
  <c r="H1018" i="2"/>
  <c r="H1019" i="2"/>
  <c r="H1020" i="2"/>
  <c r="H1021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41" i="2"/>
  <c r="H1042" i="2"/>
  <c r="H1043" i="2"/>
  <c r="H1045" i="2"/>
  <c r="H1046" i="2"/>
  <c r="H1047" i="2"/>
  <c r="H1048" i="2"/>
  <c r="H1049" i="2"/>
  <c r="H1050" i="2"/>
  <c r="H1052" i="2"/>
  <c r="H1053" i="2"/>
  <c r="H1054" i="2"/>
  <c r="H1055" i="2"/>
  <c r="H1056" i="2"/>
  <c r="H1057" i="2"/>
  <c r="H1058" i="2"/>
  <c r="H1060" i="2"/>
  <c r="H1061" i="2"/>
  <c r="H1062" i="2"/>
  <c r="H1063" i="2"/>
  <c r="H1064" i="2"/>
  <c r="H1065" i="2"/>
  <c r="H1066" i="2"/>
  <c r="H1067" i="2"/>
  <c r="H1068" i="2"/>
  <c r="H2222" i="2"/>
  <c r="H2223" i="2"/>
  <c r="H2224" i="2"/>
  <c r="H2225" i="2"/>
  <c r="H2227" i="2"/>
  <c r="H2228" i="2"/>
  <c r="H2229" i="2"/>
  <c r="H2230" i="2"/>
  <c r="H2232" i="2"/>
  <c r="H2233" i="2"/>
  <c r="H2234" i="2"/>
  <c r="H2235" i="2"/>
  <c r="I591" i="2"/>
  <c r="I592" i="2"/>
  <c r="I594" i="2"/>
  <c r="I595" i="2"/>
  <c r="I596" i="2"/>
  <c r="I597" i="2"/>
  <c r="I598" i="2"/>
  <c r="I601" i="2"/>
  <c r="I602" i="2"/>
  <c r="I603" i="2"/>
  <c r="I605" i="2"/>
  <c r="I606" i="2"/>
  <c r="I607" i="2"/>
  <c r="I609" i="2"/>
  <c r="I610" i="2"/>
  <c r="I611" i="2"/>
  <c r="I612" i="2"/>
  <c r="I614" i="2"/>
  <c r="I615" i="2"/>
  <c r="I616" i="2"/>
  <c r="I617" i="2"/>
  <c r="I619" i="2"/>
  <c r="I620" i="2"/>
  <c r="I621" i="2"/>
  <c r="K106" i="6"/>
  <c r="K116" i="6"/>
  <c r="K89" i="6"/>
  <c r="B118" i="6"/>
  <c r="K118" i="6"/>
  <c r="K108" i="6"/>
  <c r="B110" i="6"/>
  <c r="K100" i="6"/>
  <c r="K84" i="6"/>
  <c r="K97" i="6"/>
  <c r="B107" i="6"/>
  <c r="K81" i="6"/>
  <c r="K73" i="6"/>
  <c r="B83" i="6"/>
  <c r="K72" i="6"/>
  <c r="B82" i="6"/>
  <c r="B75" i="6"/>
  <c r="K63" i="6"/>
  <c r="K71" i="6"/>
  <c r="K79" i="6"/>
  <c r="K87" i="6"/>
  <c r="K47" i="6"/>
  <c r="K37" i="6"/>
  <c r="K40" i="6"/>
  <c r="K50" i="6"/>
  <c r="K32" i="6"/>
  <c r="K43" i="6"/>
  <c r="K27" i="6"/>
  <c r="K35" i="6"/>
  <c r="D6" i="6"/>
  <c r="G5" i="6"/>
  <c r="F5" i="6"/>
  <c r="N5" i="6"/>
  <c r="J7" i="6"/>
  <c r="A8" i="6"/>
  <c r="A46" i="4"/>
  <c r="G57" i="4"/>
  <c r="G49" i="4"/>
  <c r="G41" i="4"/>
  <c r="G33" i="4"/>
  <c r="G25" i="4"/>
  <c r="A75" i="4"/>
  <c r="G75" i="4"/>
  <c r="A43" i="4"/>
  <c r="G40" i="4"/>
  <c r="G32" i="4"/>
  <c r="G47" i="4"/>
  <c r="G38" i="4"/>
  <c r="G30" i="4"/>
  <c r="G22" i="4"/>
  <c r="G53" i="4"/>
  <c r="G45" i="4"/>
  <c r="A54" i="4"/>
  <c r="G52" i="4"/>
  <c r="G44" i="4"/>
  <c r="G51" i="4"/>
  <c r="B870" i="2"/>
  <c r="H869" i="2"/>
  <c r="J834" i="2"/>
  <c r="J835" i="2"/>
  <c r="J836" i="2"/>
  <c r="J837" i="2"/>
  <c r="J838" i="2"/>
  <c r="J839" i="2"/>
  <c r="J840" i="2"/>
  <c r="J841" i="2"/>
  <c r="J842" i="2"/>
  <c r="J843" i="2"/>
  <c r="J844" i="2"/>
  <c r="I840" i="2"/>
  <c r="I839" i="2"/>
  <c r="H833" i="2"/>
  <c r="B834" i="2"/>
  <c r="B835" i="2"/>
  <c r="B836" i="2"/>
  <c r="B837" i="2"/>
  <c r="B838" i="2"/>
  <c r="B839" i="2"/>
  <c r="B840" i="2"/>
  <c r="B841" i="2"/>
  <c r="B842" i="2"/>
  <c r="B843" i="2"/>
  <c r="B844" i="2"/>
  <c r="B846" i="2"/>
  <c r="I834" i="2"/>
  <c r="I835" i="2"/>
  <c r="I836" i="2"/>
  <c r="I837" i="2"/>
  <c r="I838" i="2"/>
  <c r="I833" i="2"/>
  <c r="I1802" i="2"/>
  <c r="I1805" i="2"/>
  <c r="D1808" i="2"/>
  <c r="I1808" i="2"/>
  <c r="C1653" i="2"/>
  <c r="I1652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C1798" i="2"/>
  <c r="H1797" i="2"/>
  <c r="C1865" i="2"/>
  <c r="C1866" i="2"/>
  <c r="B35" i="2"/>
  <c r="H34" i="2"/>
  <c r="H834" i="2"/>
  <c r="I624" i="2"/>
  <c r="I625" i="2"/>
  <c r="I626" i="2"/>
  <c r="I622" i="2"/>
  <c r="B1432" i="2"/>
  <c r="H1431" i="2"/>
  <c r="K83" i="6"/>
  <c r="B120" i="6"/>
  <c r="K120" i="6"/>
  <c r="K110" i="6"/>
  <c r="K91" i="6"/>
  <c r="K107" i="6"/>
  <c r="B117" i="6"/>
  <c r="K117" i="6"/>
  <c r="K99" i="6"/>
  <c r="B109" i="6"/>
  <c r="K75" i="6"/>
  <c r="B85" i="6"/>
  <c r="K82" i="6"/>
  <c r="K94" i="6"/>
  <c r="K52" i="6"/>
  <c r="K42" i="6"/>
  <c r="L6" i="6"/>
  <c r="D7" i="6"/>
  <c r="G6" i="6"/>
  <c r="F6" i="6"/>
  <c r="N6" i="6"/>
  <c r="J8" i="6"/>
  <c r="A62" i="4"/>
  <c r="G62" i="4"/>
  <c r="G43" i="4"/>
  <c r="A73" i="4"/>
  <c r="G73" i="4"/>
  <c r="G54" i="4"/>
  <c r="A65" i="4"/>
  <c r="G65" i="4"/>
  <c r="G46" i="4"/>
  <c r="H838" i="2"/>
  <c r="H837" i="2"/>
  <c r="H836" i="2"/>
  <c r="H835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B847" i="2"/>
  <c r="H846" i="2"/>
  <c r="H839" i="2"/>
  <c r="H870" i="2"/>
  <c r="B871" i="2"/>
  <c r="H841" i="2"/>
  <c r="H840" i="2"/>
  <c r="C1654" i="2"/>
  <c r="I1653" i="2"/>
  <c r="B36" i="2"/>
  <c r="H35" i="2"/>
  <c r="C1799" i="2"/>
  <c r="H1798" i="2"/>
  <c r="H1865" i="2"/>
  <c r="C1867" i="2"/>
  <c r="H1866" i="2"/>
  <c r="H1432" i="2"/>
  <c r="B1433" i="2"/>
  <c r="K85" i="6"/>
  <c r="K104" i="6"/>
  <c r="B114" i="6"/>
  <c r="K101" i="6"/>
  <c r="B111" i="6"/>
  <c r="K92" i="6"/>
  <c r="K109" i="6"/>
  <c r="B119" i="6"/>
  <c r="K119" i="6"/>
  <c r="K93" i="6"/>
  <c r="D8" i="6"/>
  <c r="L7" i="6"/>
  <c r="G7" i="6"/>
  <c r="F7" i="6"/>
  <c r="N7" i="6"/>
  <c r="J9" i="6"/>
  <c r="A10" i="6"/>
  <c r="B848" i="2"/>
  <c r="H847" i="2"/>
  <c r="B872" i="2"/>
  <c r="H871" i="2"/>
  <c r="I841" i="2"/>
  <c r="H842" i="2"/>
  <c r="C1655" i="2"/>
  <c r="I1654" i="2"/>
  <c r="C1801" i="2"/>
  <c r="H1799" i="2"/>
  <c r="B37" i="2"/>
  <c r="H36" i="2"/>
  <c r="B1434" i="2"/>
  <c r="H1433" i="2"/>
  <c r="H1867" i="2"/>
  <c r="C1868" i="2"/>
  <c r="B112" i="6"/>
  <c r="K102" i="6"/>
  <c r="B124" i="6"/>
  <c r="K124" i="6"/>
  <c r="K114" i="6"/>
  <c r="K95" i="6"/>
  <c r="B121" i="6"/>
  <c r="K121" i="6"/>
  <c r="K111" i="6"/>
  <c r="B113" i="6"/>
  <c r="K103" i="6"/>
  <c r="G8" i="6"/>
  <c r="F8" i="6"/>
  <c r="N8" i="6"/>
  <c r="D9" i="6"/>
  <c r="L8" i="6"/>
  <c r="J10" i="6"/>
  <c r="A11" i="6"/>
  <c r="B849" i="2"/>
  <c r="H848" i="2"/>
  <c r="B873" i="2"/>
  <c r="H872" i="2"/>
  <c r="I842" i="2"/>
  <c r="H843" i="2"/>
  <c r="C1657" i="2"/>
  <c r="I1655" i="2"/>
  <c r="B38" i="2"/>
  <c r="H37" i="2"/>
  <c r="C1802" i="2"/>
  <c r="H1801" i="2"/>
  <c r="H1868" i="2"/>
  <c r="C1869" i="2"/>
  <c r="B1435" i="2"/>
  <c r="H1435" i="2"/>
  <c r="H1434" i="2"/>
  <c r="K105" i="6"/>
  <c r="B115" i="6"/>
  <c r="K113" i="6"/>
  <c r="B123" i="6"/>
  <c r="K123" i="6"/>
  <c r="K112" i="6"/>
  <c r="B122" i="6"/>
  <c r="K122" i="6"/>
  <c r="L9" i="6"/>
  <c r="G9" i="6"/>
  <c r="D10" i="6"/>
  <c r="F9" i="6"/>
  <c r="N9" i="6"/>
  <c r="J11" i="6"/>
  <c r="A12" i="6"/>
  <c r="B850" i="2"/>
  <c r="H849" i="2"/>
  <c r="H890" i="2"/>
  <c r="B891" i="2"/>
  <c r="H873" i="2"/>
  <c r="B874" i="2"/>
  <c r="I843" i="2"/>
  <c r="H844" i="2"/>
  <c r="C1658" i="2"/>
  <c r="I1657" i="2"/>
  <c r="C1803" i="2"/>
  <c r="H1802" i="2"/>
  <c r="B39" i="2"/>
  <c r="H38" i="2"/>
  <c r="C1870" i="2"/>
  <c r="H1869" i="2"/>
  <c r="K115" i="6"/>
  <c r="F10" i="6"/>
  <c r="G10" i="6"/>
  <c r="D11" i="6"/>
  <c r="L10" i="6"/>
  <c r="A13" i="6"/>
  <c r="J12" i="6"/>
  <c r="B851" i="2"/>
  <c r="H850" i="2"/>
  <c r="B892" i="2"/>
  <c r="H891" i="2"/>
  <c r="H874" i="2"/>
  <c r="B875" i="2"/>
  <c r="I844" i="2"/>
  <c r="C1659" i="2"/>
  <c r="I1658" i="2"/>
  <c r="B40" i="2"/>
  <c r="H39" i="2"/>
  <c r="C1804" i="2"/>
  <c r="H1803" i="2"/>
  <c r="C1871" i="2"/>
  <c r="H1870" i="2"/>
  <c r="D12" i="6"/>
  <c r="L11" i="6"/>
  <c r="G11" i="6"/>
  <c r="F11" i="6"/>
  <c r="N11" i="6"/>
  <c r="N10" i="6"/>
  <c r="A14" i="6"/>
  <c r="J13" i="6"/>
  <c r="B852" i="2"/>
  <c r="H851" i="2"/>
  <c r="B893" i="2"/>
  <c r="H892" i="2"/>
  <c r="B876" i="2"/>
  <c r="H875" i="2"/>
  <c r="C1660" i="2"/>
  <c r="I1659" i="2"/>
  <c r="C1805" i="2"/>
  <c r="H1804" i="2"/>
  <c r="B41" i="2"/>
  <c r="H40" i="2"/>
  <c r="C1714" i="2"/>
  <c r="I1713" i="2"/>
  <c r="C1872" i="2"/>
  <c r="H1871" i="2"/>
  <c r="D13" i="6"/>
  <c r="L12" i="6"/>
  <c r="G12" i="6"/>
  <c r="F12" i="6"/>
  <c r="N12" i="6"/>
  <c r="J14" i="6"/>
  <c r="A15" i="6"/>
  <c r="H852" i="2"/>
  <c r="B853" i="2"/>
  <c r="H893" i="2"/>
  <c r="B894" i="2"/>
  <c r="B877" i="2"/>
  <c r="H876" i="2"/>
  <c r="C1661" i="2"/>
  <c r="I1660" i="2"/>
  <c r="B42" i="2"/>
  <c r="H41" i="2"/>
  <c r="C1806" i="2"/>
  <c r="H1805" i="2"/>
  <c r="C1715" i="2"/>
  <c r="I1714" i="2"/>
  <c r="C1873" i="2"/>
  <c r="H1872" i="2"/>
  <c r="G13" i="6"/>
  <c r="F13" i="6"/>
  <c r="N13" i="6"/>
  <c r="D14" i="6"/>
  <c r="L13" i="6"/>
  <c r="J15" i="6"/>
  <c r="A16" i="6"/>
  <c r="B855" i="2"/>
  <c r="H853" i="2"/>
  <c r="H894" i="2"/>
  <c r="B895" i="2"/>
  <c r="B878" i="2"/>
  <c r="H877" i="2"/>
  <c r="C1662" i="2"/>
  <c r="I1661" i="2"/>
  <c r="B44" i="2"/>
  <c r="H42" i="2"/>
  <c r="C1807" i="2"/>
  <c r="H1806" i="2"/>
  <c r="I1715" i="2"/>
  <c r="C1716" i="2"/>
  <c r="C1874" i="2"/>
  <c r="H1873" i="2"/>
  <c r="L14" i="6"/>
  <c r="G14" i="6"/>
  <c r="D15" i="6"/>
  <c r="F14" i="6"/>
  <c r="N14" i="6"/>
  <c r="J16" i="6"/>
  <c r="A17" i="6"/>
  <c r="H855" i="2"/>
  <c r="B856" i="2"/>
  <c r="H895" i="2"/>
  <c r="B896" i="2"/>
  <c r="H878" i="2"/>
  <c r="C1663" i="2"/>
  <c r="I1662" i="2"/>
  <c r="B45" i="2"/>
  <c r="H44" i="2"/>
  <c r="C1808" i="2"/>
  <c r="H1807" i="2"/>
  <c r="I1716" i="2"/>
  <c r="C1717" i="2"/>
  <c r="C1875" i="2"/>
  <c r="H1874" i="2"/>
  <c r="L15" i="6"/>
  <c r="D16" i="6"/>
  <c r="F15" i="6"/>
  <c r="N15" i="6"/>
  <c r="G15" i="6"/>
  <c r="J17" i="6"/>
  <c r="A18" i="6"/>
  <c r="H856" i="2"/>
  <c r="B857" i="2"/>
  <c r="B897" i="2"/>
  <c r="H896" i="2"/>
  <c r="B880" i="2"/>
  <c r="H879" i="2"/>
  <c r="C1664" i="2"/>
  <c r="I1663" i="2"/>
  <c r="B46" i="2"/>
  <c r="H45" i="2"/>
  <c r="C1809" i="2"/>
  <c r="H1808" i="2"/>
  <c r="I1717" i="2"/>
  <c r="C1718" i="2"/>
  <c r="C1876" i="2"/>
  <c r="H1875" i="2"/>
  <c r="G16" i="6"/>
  <c r="F16" i="6"/>
  <c r="N16" i="6"/>
  <c r="D17" i="6"/>
  <c r="L16" i="6"/>
  <c r="J18" i="6"/>
  <c r="B858" i="2"/>
  <c r="H857" i="2"/>
  <c r="H897" i="2"/>
  <c r="B898" i="2"/>
  <c r="B881" i="2"/>
  <c r="H880" i="2"/>
  <c r="C1665" i="2"/>
  <c r="I1664" i="2"/>
  <c r="B47" i="2"/>
  <c r="H46" i="2"/>
  <c r="C1811" i="2"/>
  <c r="H1809" i="2"/>
  <c r="I1718" i="2"/>
  <c r="C1719" i="2"/>
  <c r="C1878" i="2"/>
  <c r="H1876" i="2"/>
  <c r="L17" i="6"/>
  <c r="G17" i="6"/>
  <c r="F17" i="6"/>
  <c r="N17" i="6"/>
  <c r="D18" i="6"/>
  <c r="A20" i="6"/>
  <c r="J19" i="6"/>
  <c r="B859" i="2"/>
  <c r="H858" i="2"/>
  <c r="H898" i="2"/>
  <c r="B899" i="2"/>
  <c r="H881" i="2"/>
  <c r="B882" i="2"/>
  <c r="C1666" i="2"/>
  <c r="I1665" i="2"/>
  <c r="C1812" i="2"/>
  <c r="H1811" i="2"/>
  <c r="B48" i="2"/>
  <c r="H47" i="2"/>
  <c r="I1719" i="2"/>
  <c r="C1720" i="2"/>
  <c r="C1879" i="2"/>
  <c r="H1878" i="2"/>
  <c r="L18" i="6"/>
  <c r="D19" i="6"/>
  <c r="G18" i="6"/>
  <c r="F18" i="6"/>
  <c r="N18" i="6"/>
  <c r="J20" i="6"/>
  <c r="A21" i="6"/>
  <c r="H859" i="2"/>
  <c r="B860" i="2"/>
  <c r="B900" i="2"/>
  <c r="H899" i="2"/>
  <c r="H882" i="2"/>
  <c r="B883" i="2"/>
  <c r="C1667" i="2"/>
  <c r="I1666" i="2"/>
  <c r="B49" i="2"/>
  <c r="H48" i="2"/>
  <c r="C1813" i="2"/>
  <c r="H1812" i="2"/>
  <c r="C1721" i="2"/>
  <c r="I1720" i="2"/>
  <c r="C1880" i="2"/>
  <c r="H1879" i="2"/>
  <c r="D20" i="6"/>
  <c r="F19" i="6"/>
  <c r="N19" i="6"/>
  <c r="L19" i="6"/>
  <c r="G19" i="6"/>
  <c r="A22" i="6"/>
  <c r="J21" i="6"/>
  <c r="H883" i="2"/>
  <c r="B884" i="2"/>
  <c r="B861" i="2"/>
  <c r="H860" i="2"/>
  <c r="H900" i="2"/>
  <c r="C1668" i="2"/>
  <c r="I1667" i="2"/>
  <c r="C1814" i="2"/>
  <c r="H1813" i="2"/>
  <c r="B50" i="2"/>
  <c r="H49" i="2"/>
  <c r="C1722" i="2"/>
  <c r="I1721" i="2"/>
  <c r="C1881" i="2"/>
  <c r="H1880" i="2"/>
  <c r="D21" i="6"/>
  <c r="G20" i="6"/>
  <c r="F20" i="6"/>
  <c r="L20" i="6"/>
  <c r="J22" i="6"/>
  <c r="A23" i="6"/>
  <c r="B862" i="2"/>
  <c r="H861" i="2"/>
  <c r="H884" i="2"/>
  <c r="B885" i="2"/>
  <c r="B902" i="2"/>
  <c r="H901" i="2"/>
  <c r="C1669" i="2"/>
  <c r="I1668" i="2"/>
  <c r="B51" i="2"/>
  <c r="H50" i="2"/>
  <c r="H1814" i="2"/>
  <c r="C1815" i="2"/>
  <c r="C1723" i="2"/>
  <c r="I1722" i="2"/>
  <c r="C1882" i="2"/>
  <c r="H1881" i="2"/>
  <c r="L21" i="6"/>
  <c r="D22" i="6"/>
  <c r="G21" i="6"/>
  <c r="F21" i="6"/>
  <c r="N21" i="6"/>
  <c r="N20" i="6"/>
  <c r="J23" i="6"/>
  <c r="A24" i="6"/>
  <c r="B886" i="2"/>
  <c r="H885" i="2"/>
  <c r="B863" i="2"/>
  <c r="H862" i="2"/>
  <c r="H902" i="2"/>
  <c r="B903" i="2"/>
  <c r="C1670" i="2"/>
  <c r="I1669" i="2"/>
  <c r="C1816" i="2"/>
  <c r="H1815" i="2"/>
  <c r="B52" i="2"/>
  <c r="H51" i="2"/>
  <c r="I1723" i="2"/>
  <c r="C1724" i="2"/>
  <c r="C1883" i="2"/>
  <c r="H1882" i="2"/>
  <c r="L22" i="6"/>
  <c r="D23" i="6"/>
  <c r="G22" i="6"/>
  <c r="F22" i="6"/>
  <c r="N22" i="6"/>
  <c r="J24" i="6"/>
  <c r="A25" i="6"/>
  <c r="H863" i="2"/>
  <c r="B864" i="2"/>
  <c r="H886" i="2"/>
  <c r="B887" i="2"/>
  <c r="H903" i="2"/>
  <c r="B904" i="2"/>
  <c r="C1671" i="2"/>
  <c r="I1670" i="2"/>
  <c r="B53" i="2"/>
  <c r="H52" i="2"/>
  <c r="C1817" i="2"/>
  <c r="H1816" i="2"/>
  <c r="I1724" i="2"/>
  <c r="C1725" i="2"/>
  <c r="C1884" i="2"/>
  <c r="H1883" i="2"/>
  <c r="F23" i="6"/>
  <c r="D24" i="6"/>
  <c r="L23" i="6"/>
  <c r="G23" i="6"/>
  <c r="J25" i="6"/>
  <c r="A26" i="6"/>
  <c r="H904" i="2"/>
  <c r="B905" i="2"/>
  <c r="B888" i="2"/>
  <c r="H887" i="2"/>
  <c r="B865" i="2"/>
  <c r="H864" i="2"/>
  <c r="C1672" i="2"/>
  <c r="I1671" i="2"/>
  <c r="H1817" i="2"/>
  <c r="C1818" i="2"/>
  <c r="B54" i="2"/>
  <c r="H53" i="2"/>
  <c r="I1725" i="2"/>
  <c r="C1726" i="2"/>
  <c r="C1885" i="2"/>
  <c r="H1884" i="2"/>
  <c r="G24" i="6"/>
  <c r="F24" i="6"/>
  <c r="N24" i="6"/>
  <c r="L24" i="6"/>
  <c r="D25" i="6"/>
  <c r="N23" i="6"/>
  <c r="J26" i="6"/>
  <c r="A27" i="6"/>
  <c r="B866" i="2"/>
  <c r="H865" i="2"/>
  <c r="H888" i="2"/>
  <c r="B889" i="2"/>
  <c r="H889" i="2"/>
  <c r="B906" i="2"/>
  <c r="H905" i="2"/>
  <c r="C1673" i="2"/>
  <c r="I1672" i="2"/>
  <c r="B56" i="2"/>
  <c r="H54" i="2"/>
  <c r="H1818" i="2"/>
  <c r="C1819" i="2"/>
  <c r="H1819" i="2"/>
  <c r="I1726" i="2"/>
  <c r="C1727" i="2"/>
  <c r="I1727" i="2"/>
  <c r="C1886" i="2"/>
  <c r="H1885" i="2"/>
  <c r="L25" i="6"/>
  <c r="G25" i="6"/>
  <c r="F25" i="6"/>
  <c r="N25" i="6"/>
  <c r="D26" i="6"/>
  <c r="A28" i="6"/>
  <c r="J27" i="6"/>
  <c r="B907" i="2"/>
  <c r="H906" i="2"/>
  <c r="B867" i="2"/>
  <c r="H867" i="2"/>
  <c r="H866" i="2"/>
  <c r="C1674" i="2"/>
  <c r="I1673" i="2"/>
  <c r="B57" i="2"/>
  <c r="H56" i="2"/>
  <c r="C1887" i="2"/>
  <c r="H1886" i="2"/>
  <c r="L26" i="6"/>
  <c r="D27" i="6"/>
  <c r="G26" i="6"/>
  <c r="F26" i="6"/>
  <c r="N26" i="6"/>
  <c r="J28" i="6"/>
  <c r="H907" i="2"/>
  <c r="B908" i="2"/>
  <c r="C1675" i="2"/>
  <c r="I1674" i="2"/>
  <c r="B58" i="2"/>
  <c r="H57" i="2"/>
  <c r="C1888" i="2"/>
  <c r="H1887" i="2"/>
  <c r="D28" i="6"/>
  <c r="F27" i="6"/>
  <c r="L27" i="6"/>
  <c r="G27" i="6"/>
  <c r="A30" i="6"/>
  <c r="J29" i="6"/>
  <c r="B909" i="2"/>
  <c r="H908" i="2"/>
  <c r="C1676" i="2"/>
  <c r="I1675" i="2"/>
  <c r="B59" i="2"/>
  <c r="H58" i="2"/>
  <c r="C1889" i="2"/>
  <c r="H1888" i="2"/>
  <c r="N27" i="6"/>
  <c r="D29" i="6"/>
  <c r="G28" i="6"/>
  <c r="F28" i="6"/>
  <c r="N28" i="6"/>
  <c r="L28" i="6"/>
  <c r="J30" i="6"/>
  <c r="A31" i="6"/>
  <c r="B910" i="2"/>
  <c r="H909" i="2"/>
  <c r="C1677" i="2"/>
  <c r="I1676" i="2"/>
  <c r="B60" i="2"/>
  <c r="H59" i="2"/>
  <c r="C1890" i="2"/>
  <c r="H1889" i="2"/>
  <c r="L29" i="6"/>
  <c r="D30" i="6"/>
  <c r="G29" i="6"/>
  <c r="F29" i="6"/>
  <c r="N29" i="6"/>
  <c r="J31" i="6"/>
  <c r="A32" i="6"/>
  <c r="H910" i="2"/>
  <c r="C1678" i="2"/>
  <c r="I1677" i="2"/>
  <c r="B61" i="2"/>
  <c r="H60" i="2"/>
  <c r="C1891" i="2"/>
  <c r="H1890" i="2"/>
  <c r="L30" i="6"/>
  <c r="D31" i="6"/>
  <c r="G30" i="6"/>
  <c r="F30" i="6"/>
  <c r="N30" i="6"/>
  <c r="J32" i="6"/>
  <c r="A33" i="6"/>
  <c r="C1679" i="2"/>
  <c r="I1678" i="2"/>
  <c r="B62" i="2"/>
  <c r="H61" i="2"/>
  <c r="C1893" i="2"/>
  <c r="H1891" i="2"/>
  <c r="F31" i="6"/>
  <c r="D32" i="6"/>
  <c r="L31" i="6"/>
  <c r="G31" i="6"/>
  <c r="J33" i="6"/>
  <c r="A34" i="6"/>
  <c r="C1681" i="2"/>
  <c r="I1679" i="2"/>
  <c r="B63" i="2"/>
  <c r="H62" i="2"/>
  <c r="C1894" i="2"/>
  <c r="H1893" i="2"/>
  <c r="G32" i="6"/>
  <c r="D33" i="6"/>
  <c r="F32" i="6"/>
  <c r="N32" i="6"/>
  <c r="L32" i="6"/>
  <c r="N31" i="6"/>
  <c r="J34" i="6"/>
  <c r="A35" i="6"/>
  <c r="C1682" i="2"/>
  <c r="I1681" i="2"/>
  <c r="B64" i="2"/>
  <c r="H63" i="2"/>
  <c r="C1895" i="2"/>
  <c r="H1894" i="2"/>
  <c r="L33" i="6"/>
  <c r="G33" i="6"/>
  <c r="F33" i="6"/>
  <c r="N33" i="6"/>
  <c r="D34" i="6"/>
  <c r="A36" i="6"/>
  <c r="J35" i="6"/>
  <c r="C1683" i="2"/>
  <c r="I1682" i="2"/>
  <c r="B65" i="2"/>
  <c r="H64" i="2"/>
  <c r="C1896" i="2"/>
  <c r="H1895" i="2"/>
  <c r="L34" i="6"/>
  <c r="D35" i="6"/>
  <c r="G34" i="6"/>
  <c r="F34" i="6"/>
  <c r="N34" i="6"/>
  <c r="A37" i="6"/>
  <c r="J36" i="6"/>
  <c r="C1684" i="2"/>
  <c r="I1683" i="2"/>
  <c r="B66" i="2"/>
  <c r="H65" i="2"/>
  <c r="C1897" i="2"/>
  <c r="H1896" i="2"/>
  <c r="D36" i="6"/>
  <c r="F35" i="6"/>
  <c r="L35" i="6"/>
  <c r="G35" i="6"/>
  <c r="A38" i="6"/>
  <c r="J37" i="6"/>
  <c r="C1685" i="2"/>
  <c r="I1684" i="2"/>
  <c r="B68" i="2"/>
  <c r="H66" i="2"/>
  <c r="C1898" i="2"/>
  <c r="H1897" i="2"/>
  <c r="N35" i="6"/>
  <c r="D37" i="6"/>
  <c r="G36" i="6"/>
  <c r="F36" i="6"/>
  <c r="N36" i="6"/>
  <c r="L36" i="6"/>
  <c r="J38" i="6"/>
  <c r="C1686" i="2"/>
  <c r="I1685" i="2"/>
  <c r="B69" i="2"/>
  <c r="H68" i="2"/>
  <c r="C1899" i="2"/>
  <c r="H1898" i="2"/>
  <c r="L37" i="6"/>
  <c r="D38" i="6"/>
  <c r="G37" i="6"/>
  <c r="F37" i="6"/>
  <c r="N37" i="6"/>
  <c r="J39" i="6"/>
  <c r="C1688" i="2"/>
  <c r="I1686" i="2"/>
  <c r="B70" i="2"/>
  <c r="H69" i="2"/>
  <c r="C1900" i="2"/>
  <c r="H1899" i="2"/>
  <c r="L38" i="6"/>
  <c r="G38" i="6"/>
  <c r="F38" i="6"/>
  <c r="N38" i="6"/>
  <c r="J40" i="6"/>
  <c r="C1689" i="2"/>
  <c r="I1688" i="2"/>
  <c r="B71" i="2"/>
  <c r="H70" i="2"/>
  <c r="C1901" i="2"/>
  <c r="H1900" i="2"/>
  <c r="F39" i="6"/>
  <c r="D40" i="6"/>
  <c r="L39" i="6"/>
  <c r="G39" i="6"/>
  <c r="J41" i="6"/>
  <c r="C1690" i="2"/>
  <c r="I1689" i="2"/>
  <c r="B72" i="2"/>
  <c r="H71" i="2"/>
  <c r="C1902" i="2"/>
  <c r="H1901" i="2"/>
  <c r="G40" i="6"/>
  <c r="F40" i="6"/>
  <c r="N40" i="6"/>
  <c r="D41" i="6"/>
  <c r="L40" i="6"/>
  <c r="N39" i="6"/>
  <c r="J42" i="6"/>
  <c r="C1691" i="2"/>
  <c r="I1690" i="2"/>
  <c r="B73" i="2"/>
  <c r="H72" i="2"/>
  <c r="C1903" i="2"/>
  <c r="H1902" i="2"/>
  <c r="L41" i="6"/>
  <c r="G41" i="6"/>
  <c r="F41" i="6"/>
  <c r="N41" i="6"/>
  <c r="D42" i="6"/>
  <c r="J43" i="6"/>
  <c r="A44" i="6"/>
  <c r="C1692" i="2"/>
  <c r="I1691" i="2"/>
  <c r="B74" i="2"/>
  <c r="H73" i="2"/>
  <c r="C1904" i="2"/>
  <c r="H1903" i="2"/>
  <c r="L42" i="6"/>
  <c r="D43" i="6"/>
  <c r="G42" i="6"/>
  <c r="F42" i="6"/>
  <c r="J44" i="6"/>
  <c r="A45" i="6"/>
  <c r="C1693" i="2"/>
  <c r="I1692" i="2"/>
  <c r="B75" i="2"/>
  <c r="H74" i="2"/>
  <c r="C1905" i="2"/>
  <c r="H1904" i="2"/>
  <c r="N42" i="6"/>
  <c r="D44" i="6"/>
  <c r="G43" i="6"/>
  <c r="F43" i="6"/>
  <c r="N43" i="6"/>
  <c r="L43" i="6"/>
  <c r="A46" i="6"/>
  <c r="J45" i="6"/>
  <c r="C1694" i="2"/>
  <c r="I1693" i="2"/>
  <c r="B76" i="2"/>
  <c r="H75" i="2"/>
  <c r="C1906" i="2"/>
  <c r="H1906" i="2"/>
  <c r="H1905" i="2"/>
  <c r="L44" i="6"/>
  <c r="D45" i="6"/>
  <c r="G44" i="6"/>
  <c r="F44" i="6"/>
  <c r="N44" i="6"/>
  <c r="A47" i="6"/>
  <c r="J46" i="6"/>
  <c r="C1695" i="2"/>
  <c r="I1694" i="2"/>
  <c r="B77" i="2"/>
  <c r="H76" i="2"/>
  <c r="D46" i="6"/>
  <c r="L45" i="6"/>
  <c r="F45" i="6"/>
  <c r="G45" i="6"/>
  <c r="A48" i="6"/>
  <c r="J47" i="6"/>
  <c r="C1696" i="2"/>
  <c r="I1695" i="2"/>
  <c r="B78" i="2"/>
  <c r="H77" i="2"/>
  <c r="N45" i="6"/>
  <c r="F46" i="6"/>
  <c r="D47" i="6"/>
  <c r="G46" i="6"/>
  <c r="L46" i="6"/>
  <c r="A49" i="6"/>
  <c r="J48" i="6"/>
  <c r="C1697" i="2"/>
  <c r="I1696" i="2"/>
  <c r="B79" i="2"/>
  <c r="H78" i="2"/>
  <c r="G47" i="6"/>
  <c r="F47" i="6"/>
  <c r="N47" i="6"/>
  <c r="D48" i="6"/>
  <c r="L47" i="6"/>
  <c r="N46" i="6"/>
  <c r="J49" i="6"/>
  <c r="A50" i="6"/>
  <c r="C1698" i="2"/>
  <c r="I1697" i="2"/>
  <c r="B81" i="2"/>
  <c r="H79" i="2"/>
  <c r="L48" i="6"/>
  <c r="D49" i="6"/>
  <c r="G48" i="6"/>
  <c r="F48" i="6"/>
  <c r="N48" i="6"/>
  <c r="J50" i="6"/>
  <c r="C1699" i="2"/>
  <c r="I1698" i="2"/>
  <c r="B82" i="2"/>
  <c r="H81" i="2"/>
  <c r="F49" i="6"/>
  <c r="L49" i="6"/>
  <c r="D50" i="6"/>
  <c r="G49" i="6"/>
  <c r="N49" i="6"/>
  <c r="A52" i="6"/>
  <c r="J51" i="6"/>
  <c r="C1700" i="2"/>
  <c r="I1699" i="2"/>
  <c r="B83" i="2"/>
  <c r="H82" i="2"/>
  <c r="L50" i="6"/>
  <c r="G50" i="6"/>
  <c r="F50" i="6"/>
  <c r="D51" i="6"/>
  <c r="J52" i="6"/>
  <c r="A53" i="6"/>
  <c r="C1701" i="2"/>
  <c r="I1700" i="2"/>
  <c r="B84" i="2"/>
  <c r="H83" i="2"/>
  <c r="D52" i="6"/>
  <c r="L51" i="6"/>
  <c r="F51" i="6"/>
  <c r="G51" i="6"/>
  <c r="N50" i="6"/>
  <c r="A54" i="6"/>
  <c r="J53" i="6"/>
  <c r="C1702" i="2"/>
  <c r="I1701" i="2"/>
  <c r="B85" i="2"/>
  <c r="H84" i="2"/>
  <c r="N51" i="6"/>
  <c r="F52" i="6"/>
  <c r="D53" i="6"/>
  <c r="L52" i="6"/>
  <c r="G52" i="6"/>
  <c r="J54" i="6"/>
  <c r="A55" i="6"/>
  <c r="C1703" i="2"/>
  <c r="I1702" i="2"/>
  <c r="B86" i="2"/>
  <c r="H85" i="2"/>
  <c r="L53" i="6"/>
  <c r="D54" i="6"/>
  <c r="G53" i="6"/>
  <c r="F53" i="6"/>
  <c r="N53" i="6"/>
  <c r="N52" i="6"/>
  <c r="J55" i="6"/>
  <c r="A56" i="6"/>
  <c r="I1703" i="2"/>
  <c r="C1704" i="2"/>
  <c r="B87" i="2"/>
  <c r="H86" i="2"/>
  <c r="L54" i="6"/>
  <c r="D55" i="6"/>
  <c r="G54" i="6"/>
  <c r="F54" i="6"/>
  <c r="N54" i="6"/>
  <c r="A57" i="6"/>
  <c r="J56" i="6"/>
  <c r="I1704" i="2"/>
  <c r="C1705" i="2"/>
  <c r="B88" i="2"/>
  <c r="H87" i="2"/>
  <c r="D56" i="6"/>
  <c r="L55" i="6"/>
  <c r="G55" i="6"/>
  <c r="F55" i="6"/>
  <c r="N55" i="6"/>
  <c r="A58" i="6"/>
  <c r="J57" i="6"/>
  <c r="C1706" i="2"/>
  <c r="I1705" i="2"/>
  <c r="B89" i="2"/>
  <c r="H88" i="2"/>
  <c r="G56" i="6"/>
  <c r="F56" i="6"/>
  <c r="N56" i="6"/>
  <c r="D57" i="6"/>
  <c r="L56" i="6"/>
  <c r="A59" i="6"/>
  <c r="J58" i="6"/>
  <c r="I1706" i="2"/>
  <c r="C1707" i="2"/>
  <c r="B90" i="2"/>
  <c r="H89" i="2"/>
  <c r="L57" i="6"/>
  <c r="G57" i="6"/>
  <c r="F57" i="6"/>
  <c r="D58" i="6"/>
  <c r="J59" i="6"/>
  <c r="A60" i="6"/>
  <c r="I1707" i="2"/>
  <c r="C1708" i="2"/>
  <c r="B91" i="2"/>
  <c r="H90" i="2"/>
  <c r="F58" i="6"/>
  <c r="G58" i="6"/>
  <c r="N58" i="6"/>
  <c r="D59" i="6"/>
  <c r="L58" i="6"/>
  <c r="N57" i="6"/>
  <c r="J60" i="6"/>
  <c r="I1708" i="2"/>
  <c r="C1709" i="2"/>
  <c r="B93" i="2"/>
  <c r="H91" i="2"/>
  <c r="D60" i="6"/>
  <c r="L59" i="6"/>
  <c r="G59" i="6"/>
  <c r="F59" i="6"/>
  <c r="N59" i="6"/>
  <c r="A62" i="6"/>
  <c r="J61" i="6"/>
  <c r="C1710" i="2"/>
  <c r="I1709" i="2"/>
  <c r="B94" i="2"/>
  <c r="H93" i="2"/>
  <c r="D61" i="6"/>
  <c r="L60" i="6"/>
  <c r="G60" i="6"/>
  <c r="F60" i="6"/>
  <c r="N60" i="6"/>
  <c r="A63" i="6"/>
  <c r="J62" i="6"/>
  <c r="C1711" i="2"/>
  <c r="I1710" i="2"/>
  <c r="B95" i="2"/>
  <c r="H94" i="2"/>
  <c r="F61" i="6"/>
  <c r="D62" i="6"/>
  <c r="L61" i="6"/>
  <c r="G61" i="6"/>
  <c r="A64" i="6"/>
  <c r="J63" i="6"/>
  <c r="C1712" i="2"/>
  <c r="I1712" i="2"/>
  <c r="I1711" i="2"/>
  <c r="B96" i="2"/>
  <c r="H95" i="2"/>
  <c r="G62" i="6"/>
  <c r="F62" i="6"/>
  <c r="N62" i="6"/>
  <c r="D63" i="6"/>
  <c r="L62" i="6"/>
  <c r="N61" i="6"/>
  <c r="J64" i="6"/>
  <c r="A65" i="6"/>
  <c r="B97" i="2"/>
  <c r="H96" i="2"/>
  <c r="L63" i="6"/>
  <c r="G63" i="6"/>
  <c r="D64" i="6"/>
  <c r="F63" i="6"/>
  <c r="N63" i="6"/>
  <c r="J65" i="6"/>
  <c r="A66" i="6"/>
  <c r="B98" i="2"/>
  <c r="H97" i="2"/>
  <c r="D65" i="6"/>
  <c r="L64" i="6"/>
  <c r="G64" i="6"/>
  <c r="F64" i="6"/>
  <c r="N64" i="6"/>
  <c r="J66" i="6"/>
  <c r="A67" i="6"/>
  <c r="B99" i="2"/>
  <c r="H98" i="2"/>
  <c r="G65" i="6"/>
  <c r="F65" i="6"/>
  <c r="D66" i="6"/>
  <c r="L65" i="6"/>
  <c r="A68" i="6"/>
  <c r="J67" i="6"/>
  <c r="B100" i="2"/>
  <c r="H99" i="2"/>
  <c r="L66" i="6"/>
  <c r="G66" i="6"/>
  <c r="D67" i="6"/>
  <c r="F66" i="6"/>
  <c r="N65" i="6"/>
  <c r="A69" i="6"/>
  <c r="J68" i="6"/>
  <c r="B101" i="2"/>
  <c r="H100" i="2"/>
  <c r="D68" i="6"/>
  <c r="F67" i="6"/>
  <c r="L67" i="6"/>
  <c r="G67" i="6"/>
  <c r="N66" i="6"/>
  <c r="A70" i="6"/>
  <c r="J69" i="6"/>
  <c r="B102" i="2"/>
  <c r="H101" i="2"/>
  <c r="N67" i="6"/>
  <c r="D69" i="6"/>
  <c r="G68" i="6"/>
  <c r="F68" i="6"/>
  <c r="N68" i="6"/>
  <c r="L68" i="6"/>
  <c r="J70" i="6"/>
  <c r="B103" i="2"/>
  <c r="H103" i="2"/>
  <c r="H102" i="2"/>
  <c r="D70" i="6"/>
  <c r="L69" i="6"/>
  <c r="G69" i="6"/>
  <c r="F69" i="6"/>
  <c r="N69" i="6"/>
  <c r="J71" i="6"/>
  <c r="D71" i="6"/>
  <c r="L70" i="6"/>
  <c r="F70" i="6"/>
  <c r="G70" i="6"/>
  <c r="J72" i="6"/>
  <c r="N70" i="6"/>
  <c r="G71" i="6"/>
  <c r="F71" i="6"/>
  <c r="N71" i="6"/>
  <c r="D72" i="6"/>
  <c r="L71" i="6"/>
  <c r="J73" i="6"/>
  <c r="L72" i="6"/>
  <c r="G72" i="6"/>
  <c r="F72" i="6"/>
  <c r="N72" i="6"/>
  <c r="D73" i="6"/>
  <c r="J74" i="6"/>
  <c r="L73" i="6"/>
  <c r="D74" i="6"/>
  <c r="G73" i="6"/>
  <c r="F73" i="6"/>
  <c r="J75" i="6"/>
  <c r="A76" i="6"/>
  <c r="N73" i="6"/>
  <c r="G74" i="6"/>
  <c r="F74" i="6"/>
  <c r="L74" i="6"/>
  <c r="D75" i="6"/>
  <c r="J76" i="6"/>
  <c r="A77" i="6"/>
  <c r="N74" i="6"/>
  <c r="D76" i="6"/>
  <c r="L75" i="6"/>
  <c r="G75" i="6"/>
  <c r="F75" i="6"/>
  <c r="N75" i="6"/>
  <c r="A78" i="6"/>
  <c r="J77" i="6"/>
  <c r="D77" i="6"/>
  <c r="L76" i="6"/>
  <c r="G76" i="6"/>
  <c r="F76" i="6"/>
  <c r="N76" i="6"/>
  <c r="A79" i="6"/>
  <c r="J78" i="6"/>
  <c r="G77" i="6"/>
  <c r="D78" i="6"/>
  <c r="F77" i="6"/>
  <c r="N77" i="6"/>
  <c r="L77" i="6"/>
  <c r="J79" i="6"/>
  <c r="A80" i="6"/>
  <c r="L78" i="6"/>
  <c r="D79" i="6"/>
  <c r="G78" i="6"/>
  <c r="F78" i="6"/>
  <c r="N78" i="6"/>
  <c r="J80" i="6"/>
  <c r="L79" i="6"/>
  <c r="D80" i="6"/>
  <c r="G79" i="6"/>
  <c r="F79" i="6"/>
  <c r="N79" i="6"/>
  <c r="J81" i="6"/>
  <c r="G80" i="6"/>
  <c r="F80" i="6"/>
  <c r="N80" i="6"/>
  <c r="D81" i="6"/>
  <c r="L80" i="6"/>
  <c r="J82" i="6"/>
  <c r="L81" i="6"/>
  <c r="G81" i="6"/>
  <c r="F81" i="6"/>
  <c r="D82" i="6"/>
  <c r="J83" i="6"/>
  <c r="A84" i="6"/>
  <c r="L82" i="6"/>
  <c r="G82" i="6"/>
  <c r="F82" i="6"/>
  <c r="D83" i="6"/>
  <c r="N81" i="6"/>
  <c r="J84" i="6"/>
  <c r="A85" i="6"/>
  <c r="D84" i="6"/>
  <c r="G83" i="6"/>
  <c r="F83" i="6"/>
  <c r="N83" i="6"/>
  <c r="L83" i="6"/>
  <c r="N82" i="6"/>
  <c r="A86" i="6"/>
  <c r="J85" i="6"/>
  <c r="D85" i="6"/>
  <c r="L84" i="6"/>
  <c r="G84" i="6"/>
  <c r="F84" i="6"/>
  <c r="N84" i="6"/>
  <c r="A87" i="6"/>
  <c r="J86" i="6"/>
  <c r="D86" i="6"/>
  <c r="L85" i="6"/>
  <c r="F85" i="6"/>
  <c r="G85" i="6"/>
  <c r="A88" i="6"/>
  <c r="J87" i="6"/>
  <c r="N85" i="6"/>
  <c r="G86" i="6"/>
  <c r="F86" i="6"/>
  <c r="N86" i="6"/>
  <c r="D87" i="6"/>
  <c r="L86" i="6"/>
  <c r="A89" i="6"/>
  <c r="J88" i="6"/>
  <c r="L87" i="6"/>
  <c r="G87" i="6"/>
  <c r="F87" i="6"/>
  <c r="N87" i="6"/>
  <c r="D88" i="6"/>
  <c r="J89" i="6"/>
  <c r="A90" i="6"/>
  <c r="L88" i="6"/>
  <c r="D89" i="6"/>
  <c r="G88" i="6"/>
  <c r="F88" i="6"/>
  <c r="N88" i="6"/>
  <c r="J90" i="6"/>
  <c r="G89" i="6"/>
  <c r="F89" i="6"/>
  <c r="L89" i="6"/>
  <c r="D90" i="6"/>
  <c r="A92" i="6"/>
  <c r="J91" i="6"/>
  <c r="L90" i="6"/>
  <c r="G90" i="6"/>
  <c r="F90" i="6"/>
  <c r="N89" i="6"/>
  <c r="J92" i="6"/>
  <c r="A93" i="6"/>
  <c r="D92" i="6"/>
  <c r="L91" i="6"/>
  <c r="G91" i="6"/>
  <c r="F91" i="6"/>
  <c r="N91" i="6"/>
  <c r="N90" i="6"/>
  <c r="A94" i="6"/>
  <c r="J93" i="6"/>
  <c r="G92" i="6"/>
  <c r="D93" i="6"/>
  <c r="F92" i="6"/>
  <c r="N92" i="6"/>
  <c r="L92" i="6"/>
  <c r="A95" i="6"/>
  <c r="J94" i="6"/>
  <c r="L93" i="6"/>
  <c r="D94" i="6"/>
  <c r="G93" i="6"/>
  <c r="F93" i="6"/>
  <c r="N93" i="6"/>
  <c r="J95" i="6"/>
  <c r="D95" i="6"/>
  <c r="L94" i="6"/>
  <c r="F94" i="6"/>
  <c r="G94" i="6"/>
  <c r="A97" i="6"/>
  <c r="J96" i="6"/>
  <c r="N94" i="6"/>
  <c r="F95" i="6"/>
  <c r="D96" i="6"/>
  <c r="G95" i="6"/>
  <c r="L95" i="6"/>
  <c r="A98" i="6"/>
  <c r="J97" i="6"/>
  <c r="L96" i="6"/>
  <c r="G96" i="6"/>
  <c r="F96" i="6"/>
  <c r="N96" i="6"/>
  <c r="D97" i="6"/>
  <c r="N95" i="6"/>
  <c r="J98" i="6"/>
  <c r="A99" i="6"/>
  <c r="L97" i="6"/>
  <c r="D98" i="6"/>
  <c r="G97" i="6"/>
  <c r="F97" i="6"/>
  <c r="J99" i="6"/>
  <c r="A100" i="6"/>
  <c r="N97" i="6"/>
  <c r="G98" i="6"/>
  <c r="F98" i="6"/>
  <c r="D99" i="6"/>
  <c r="L98" i="6"/>
  <c r="J100" i="6"/>
  <c r="A101" i="6"/>
  <c r="D100" i="6"/>
  <c r="L99" i="6"/>
  <c r="G99" i="6"/>
  <c r="F99" i="6"/>
  <c r="N99" i="6"/>
  <c r="N98" i="6"/>
  <c r="A102" i="6"/>
  <c r="J101" i="6"/>
  <c r="D101" i="6"/>
  <c r="L100" i="6"/>
  <c r="G100" i="6"/>
  <c r="F100" i="6"/>
  <c r="N100" i="6"/>
  <c r="A103" i="6"/>
  <c r="J102" i="6"/>
  <c r="G101" i="6"/>
  <c r="F101" i="6"/>
  <c r="D102" i="6"/>
  <c r="L101" i="6"/>
  <c r="A104" i="6"/>
  <c r="J103" i="6"/>
  <c r="L102" i="6"/>
  <c r="G102" i="6"/>
  <c r="D103" i="6"/>
  <c r="F102" i="6"/>
  <c r="N102" i="6"/>
  <c r="N101" i="6"/>
  <c r="J104" i="6"/>
  <c r="L103" i="6"/>
  <c r="D104" i="6"/>
  <c r="G103" i="6"/>
  <c r="F103" i="6"/>
  <c r="N103" i="6"/>
  <c r="J105" i="6"/>
  <c r="A106" i="6"/>
  <c r="F104" i="6"/>
  <c r="D105" i="6"/>
  <c r="L104" i="6"/>
  <c r="G104" i="6"/>
  <c r="A107" i="6"/>
  <c r="J106" i="6"/>
  <c r="N104" i="6"/>
  <c r="L105" i="6"/>
  <c r="G105" i="6"/>
  <c r="F105" i="6"/>
  <c r="D106" i="6"/>
  <c r="A108" i="6"/>
  <c r="J107" i="6"/>
  <c r="L106" i="6"/>
  <c r="G106" i="6"/>
  <c r="D107" i="6"/>
  <c r="F106" i="6"/>
  <c r="N105" i="6"/>
  <c r="J108" i="6"/>
  <c r="A109" i="6"/>
  <c r="D108" i="6"/>
  <c r="G107" i="6"/>
  <c r="F107" i="6"/>
  <c r="N107" i="6"/>
  <c r="L107" i="6"/>
  <c r="N106" i="6"/>
  <c r="A110" i="6"/>
  <c r="J109" i="6"/>
  <c r="L108" i="6"/>
  <c r="D109" i="6"/>
  <c r="G108" i="6"/>
  <c r="F108" i="6"/>
  <c r="N108" i="6"/>
  <c r="A111" i="6"/>
  <c r="J110" i="6"/>
  <c r="D110" i="6"/>
  <c r="L109" i="6"/>
  <c r="G109" i="6"/>
  <c r="F109" i="6"/>
  <c r="N109" i="6"/>
  <c r="A112" i="6"/>
  <c r="J111" i="6"/>
  <c r="F110" i="6"/>
  <c r="D111" i="6"/>
  <c r="L110" i="6"/>
  <c r="G110" i="6"/>
  <c r="A113" i="6"/>
  <c r="J112" i="6"/>
  <c r="N110" i="6"/>
  <c r="G111" i="6"/>
  <c r="F111" i="6"/>
  <c r="N111" i="6"/>
  <c r="D112" i="6"/>
  <c r="L111" i="6"/>
  <c r="J113" i="6"/>
  <c r="A114" i="6"/>
  <c r="L112" i="6"/>
  <c r="D113" i="6"/>
  <c r="F112" i="6"/>
  <c r="G112" i="6"/>
  <c r="J114" i="6"/>
  <c r="N112" i="6"/>
  <c r="F113" i="6"/>
  <c r="L113" i="6"/>
  <c r="G113" i="6"/>
  <c r="N113" i="6"/>
  <c r="D114" i="6"/>
  <c r="J115" i="6"/>
  <c r="L114" i="6"/>
  <c r="G114" i="6"/>
  <c r="F114" i="6"/>
  <c r="D115" i="6"/>
  <c r="J116" i="6"/>
  <c r="D116" i="6"/>
  <c r="L115" i="6"/>
  <c r="G115" i="6"/>
  <c r="F115" i="6"/>
  <c r="N115" i="6"/>
  <c r="N114" i="6"/>
  <c r="J117" i="6"/>
  <c r="F116" i="6"/>
  <c r="D117" i="6"/>
  <c r="L116" i="6"/>
  <c r="G116" i="6"/>
  <c r="J118" i="6"/>
  <c r="L117" i="6"/>
  <c r="D118" i="6"/>
  <c r="G117" i="6"/>
  <c r="F117" i="6"/>
  <c r="N117" i="6"/>
  <c r="N116" i="6"/>
  <c r="J119" i="6"/>
  <c r="L118" i="6"/>
  <c r="D119" i="6"/>
  <c r="F118" i="6"/>
  <c r="G118" i="6"/>
  <c r="J120" i="6"/>
  <c r="N118" i="6"/>
  <c r="D120" i="6"/>
  <c r="L119" i="6"/>
  <c r="G119" i="6"/>
  <c r="F119" i="6"/>
  <c r="N119" i="6"/>
  <c r="J121" i="6"/>
  <c r="G120" i="6"/>
  <c r="F120" i="6"/>
  <c r="N120" i="6"/>
  <c r="D121" i="6"/>
  <c r="L120" i="6"/>
  <c r="J122" i="6"/>
  <c r="L121" i="6"/>
  <c r="G121" i="6"/>
  <c r="F121" i="6"/>
  <c r="D122" i="6"/>
  <c r="J123" i="6"/>
  <c r="N121" i="6"/>
  <c r="F122" i="6"/>
  <c r="L122" i="6"/>
  <c r="G122" i="6"/>
  <c r="N122" i="6"/>
  <c r="D123" i="6"/>
  <c r="J124" i="6"/>
  <c r="D124" i="6"/>
  <c r="L123" i="6"/>
  <c r="G123" i="6"/>
  <c r="F123" i="6"/>
  <c r="N123" i="6"/>
  <c r="L124" i="6"/>
  <c r="G124" i="6"/>
  <c r="F124" i="6"/>
  <c r="N124" i="6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H924" i="2"/>
  <c r="H925" i="2"/>
  <c r="H926" i="2"/>
  <c r="H927" i="2"/>
  <c r="H928" i="2"/>
  <c r="H929" i="2"/>
  <c r="H930" i="2"/>
  <c r="H931" i="2"/>
  <c r="H932" i="2"/>
  <c r="H933" i="2"/>
  <c r="H934" i="2"/>
  <c r="H936" i="2"/>
  <c r="H937" i="2"/>
  <c r="H938" i="2"/>
  <c r="H939" i="2"/>
  <c r="H940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918" i="2"/>
  <c r="H919" i="2"/>
  <c r="H920" i="2"/>
  <c r="H921" i="2"/>
  <c r="H922" i="2"/>
  <c r="H948" i="2"/>
  <c r="H949" i="2"/>
  <c r="H950" i="2"/>
  <c r="H951" i="2"/>
  <c r="H952" i="2"/>
  <c r="H954" i="2"/>
  <c r="H955" i="2"/>
  <c r="H956" i="2"/>
  <c r="H957" i="2"/>
  <c r="H958" i="2"/>
  <c r="H960" i="2"/>
  <c r="H961" i="2"/>
  <c r="H962" i="2"/>
  <c r="H963" i="2"/>
  <c r="H964" i="2"/>
  <c r="H966" i="2"/>
  <c r="H967" i="2"/>
  <c r="H968" i="2"/>
  <c r="H969" i="2"/>
  <c r="H971" i="2"/>
  <c r="H972" i="2"/>
  <c r="H973" i="2"/>
  <c r="H974" i="2"/>
  <c r="H976" i="2"/>
  <c r="H977" i="2"/>
  <c r="H978" i="2"/>
  <c r="H979" i="2"/>
  <c r="H2052" i="2"/>
  <c r="H2053" i="2"/>
  <c r="H2054" i="2"/>
  <c r="H2055" i="2"/>
  <c r="H2056" i="2"/>
  <c r="H2057" i="2"/>
  <c r="H2058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Y1622" i="2"/>
  <c r="Y1623" i="2"/>
  <c r="Y1624" i="2"/>
  <c r="Y1625" i="2"/>
  <c r="Y1626" i="2"/>
  <c r="Y1627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11" i="2"/>
  <c r="J912" i="2"/>
  <c r="J913" i="2"/>
  <c r="J914" i="2"/>
  <c r="J915" i="2"/>
  <c r="J916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1506" i="2"/>
  <c r="J1507" i="2"/>
  <c r="J1508" i="2"/>
  <c r="J1509" i="2"/>
  <c r="J1510" i="2"/>
  <c r="J1512" i="2"/>
  <c r="J1513" i="2"/>
  <c r="J1514" i="2"/>
  <c r="J1515" i="2"/>
  <c r="J1516" i="2"/>
  <c r="J1518" i="2"/>
  <c r="J1519" i="2"/>
  <c r="J1520" i="2"/>
  <c r="J1521" i="2"/>
  <c r="J1522" i="2"/>
  <c r="J1524" i="2"/>
  <c r="J1525" i="2"/>
  <c r="J1526" i="2"/>
  <c r="J1528" i="2"/>
  <c r="J1529" i="2"/>
  <c r="J1530" i="2"/>
  <c r="J1531" i="2"/>
  <c r="J1532" i="2"/>
  <c r="J1534" i="2"/>
  <c r="J1535" i="2"/>
  <c r="J1536" i="2"/>
  <c r="J1537" i="2"/>
  <c r="J153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104" i="2"/>
  <c r="J105" i="2"/>
  <c r="J106" i="2"/>
  <c r="J107" i="2"/>
  <c r="J108" i="2"/>
  <c r="J109" i="2"/>
  <c r="J110" i="2"/>
  <c r="J111" i="2"/>
  <c r="J112" i="2"/>
  <c r="J113" i="2"/>
  <c r="J114" i="2"/>
  <c r="J166" i="2"/>
  <c r="J167" i="2"/>
  <c r="J168" i="2"/>
  <c r="J169" i="2"/>
  <c r="J170" i="2"/>
  <c r="J171" i="2"/>
  <c r="J172" i="2"/>
  <c r="J173" i="2"/>
  <c r="J174" i="2"/>
  <c r="J175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622" i="2"/>
  <c r="X1623" i="2"/>
  <c r="X1624" i="2"/>
  <c r="X1625" i="2"/>
  <c r="X1626" i="2"/>
  <c r="X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622" i="2"/>
  <c r="T1623" i="2"/>
  <c r="T1624" i="2"/>
  <c r="T1625" i="2"/>
  <c r="T1626" i="2"/>
  <c r="T1627" i="2"/>
  <c r="U1622" i="2"/>
  <c r="U1623" i="2"/>
  <c r="U1624" i="2"/>
  <c r="U1625" i="2"/>
  <c r="U1626" i="2"/>
  <c r="U1627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622" i="2"/>
  <c r="S1623" i="2"/>
  <c r="S1624" i="2"/>
  <c r="S1625" i="2"/>
  <c r="S1626" i="2"/>
  <c r="S1627" i="2"/>
  <c r="V1622" i="2"/>
  <c r="V1623" i="2"/>
  <c r="V1624" i="2"/>
  <c r="V1625" i="2"/>
  <c r="V1626" i="2"/>
  <c r="V1627" i="2"/>
</calcChain>
</file>

<file path=xl/sharedStrings.xml><?xml version="1.0" encoding="utf-8"?>
<sst xmlns="http://schemas.openxmlformats.org/spreadsheetml/2006/main" count="4534" uniqueCount="112">
  <si>
    <t>ID</t>
  </si>
  <si>
    <t>Source</t>
  </si>
  <si>
    <t>T_K</t>
  </si>
  <si>
    <t>P_bar</t>
  </si>
  <si>
    <t>Sal_m</t>
  </si>
  <si>
    <t>y_H2O</t>
  </si>
  <si>
    <t>x_CO2</t>
  </si>
  <si>
    <t>x_H2S</t>
  </si>
  <si>
    <t>x_N2</t>
  </si>
  <si>
    <t>x_H2</t>
  </si>
  <si>
    <t>x_CH4</t>
  </si>
  <si>
    <t>x_C2H6</t>
  </si>
  <si>
    <t>x_C3H8</t>
  </si>
  <si>
    <t>z_CO2</t>
  </si>
  <si>
    <t>z_H2S</t>
  </si>
  <si>
    <t>z_N2</t>
  </si>
  <si>
    <t>z_H2</t>
  </si>
  <si>
    <t>z_CH4</t>
  </si>
  <si>
    <t>z_C2H6</t>
  </si>
  <si>
    <t>z_C3H8</t>
  </si>
  <si>
    <t>Selleck 1952</t>
  </si>
  <si>
    <t>psia</t>
  </si>
  <si>
    <t>G</t>
  </si>
  <si>
    <t>degF</t>
  </si>
  <si>
    <t>yH2O</t>
  </si>
  <si>
    <t>xGas</t>
  </si>
  <si>
    <t>Olds 1942</t>
  </si>
  <si>
    <t>Bunsen 1855</t>
  </si>
  <si>
    <t>Verdet 1855</t>
  </si>
  <si>
    <t>de Khanikof 1867</t>
  </si>
  <si>
    <t>Bohr 1891</t>
  </si>
  <si>
    <t>Prytz 1895</t>
  </si>
  <si>
    <t>Bohr 1899</t>
  </si>
  <si>
    <t>Findlay 1910</t>
  </si>
  <si>
    <t>Sander 1911</t>
  </si>
  <si>
    <t>Findlay 1913</t>
  </si>
  <si>
    <t>Kunerth 1922</t>
  </si>
  <si>
    <t>Zel'venskii 1937</t>
  </si>
  <si>
    <t>Wiebe 1939</t>
  </si>
  <si>
    <t>Wiebe&amp;Gaddy 1940</t>
  </si>
  <si>
    <t>Wiebe&amp;Gaddy 1941</t>
  </si>
  <si>
    <t>Patm</t>
  </si>
  <si>
    <t>Degc</t>
  </si>
  <si>
    <t>g H2O / liter STP Gas</t>
  </si>
  <si>
    <t>yH2O/xH2O</t>
  </si>
  <si>
    <t>xH2O</t>
  </si>
  <si>
    <t>xCO2</t>
  </si>
  <si>
    <t>Pbar</t>
  </si>
  <si>
    <t>Prutton &amp; Savage 1945</t>
  </si>
  <si>
    <t>degC</t>
  </si>
  <si>
    <t>Atm</t>
  </si>
  <si>
    <t>Wt% CaCl2</t>
  </si>
  <si>
    <t>P_Bar</t>
  </si>
  <si>
    <t>Molality</t>
  </si>
  <si>
    <t>Takenouchi &amp; Kennedy 1964</t>
  </si>
  <si>
    <t>yCO2</t>
  </si>
  <si>
    <t>Takenouchi &amp; Kennedy 1965</t>
  </si>
  <si>
    <t>Wt% NaCl</t>
  </si>
  <si>
    <t>Bar</t>
  </si>
  <si>
    <t>xCO2 Wt%</t>
  </si>
  <si>
    <t>mCO2</t>
  </si>
  <si>
    <t>nH2O</t>
  </si>
  <si>
    <t>nNaCl</t>
  </si>
  <si>
    <t>nCO2</t>
  </si>
  <si>
    <t>Ellis 1959</t>
  </si>
  <si>
    <t>Malinin 1959</t>
  </si>
  <si>
    <t>Ellis &amp; Golding 1963</t>
  </si>
  <si>
    <t>Shagiakhmetov 1981</t>
  </si>
  <si>
    <t>Cramer 1982</t>
  </si>
  <si>
    <t>Muller 1988</t>
  </si>
  <si>
    <t>Stewart 1970</t>
  </si>
  <si>
    <t>Culberson 1951</t>
  </si>
  <si>
    <t>Michels 1936</t>
  </si>
  <si>
    <t>Sultanov 1972</t>
  </si>
  <si>
    <t>Price 1979</t>
  </si>
  <si>
    <t>Yarym-Agaev 1985</t>
  </si>
  <si>
    <t>Lee 1977</t>
  </si>
  <si>
    <t>Goodman 1931</t>
  </si>
  <si>
    <t>Wiebe 1933</t>
  </si>
  <si>
    <t>Saddington 1934</t>
  </si>
  <si>
    <t>Pray 1952</t>
  </si>
  <si>
    <t>O'Sullivan 1966</t>
  </si>
  <si>
    <t>O'Sullivan 1970</t>
  </si>
  <si>
    <t>Smith 1962</t>
  </si>
  <si>
    <t>Wiebe 1932</t>
  </si>
  <si>
    <t>Wiebe 1934</t>
  </si>
  <si>
    <t>Suciu 1951</t>
  </si>
  <si>
    <t>Stephan 1956</t>
  </si>
  <si>
    <t>Sanchez-Vicente 2022</t>
  </si>
  <si>
    <t>Moortgat 2025</t>
  </si>
  <si>
    <t/>
  </si>
  <si>
    <t>addin</t>
  </si>
  <si>
    <t>Torín-Ollarves 2021</t>
  </si>
  <si>
    <t>Chahab 2023</t>
  </si>
  <si>
    <t>Gillespie 1980</t>
  </si>
  <si>
    <t>Zezin 2011</t>
  </si>
  <si>
    <t>Koschel 2013</t>
  </si>
  <si>
    <t>Suleimenov 1994</t>
  </si>
  <si>
    <t>Xia 2000</t>
  </si>
  <si>
    <t>Barrett 1988</t>
  </si>
  <si>
    <t>Truche 2015</t>
  </si>
  <si>
    <t>Hou 2012</t>
  </si>
  <si>
    <t>Ahmadi 2018</t>
  </si>
  <si>
    <t>Wang 2021</t>
  </si>
  <si>
    <t>Reamer1943</t>
  </si>
  <si>
    <t>Kobayashi1953</t>
  </si>
  <si>
    <t>Yan 2011</t>
  </si>
  <si>
    <t>Rettich 1981</t>
  </si>
  <si>
    <t>Culberson 1950</t>
  </si>
  <si>
    <t>Danneil 1967</t>
  </si>
  <si>
    <t>McGee 1981</t>
  </si>
  <si>
    <t>Blount 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</si>
</sst>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7"/>
      <color rgb="FF000000"/>
      <name val="TimesNewRomanPSMT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2" borderId="0" xfId="0" applyFill="1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C70C-E205-4995-8A42-00323989B71D}">
  <dimension ref="A1:T3852"/>
  <sheetViews>
    <sheetView tabSelected="1" workbookViewId="0">
      <pane ySplit="1" topLeftCell="A2949" activePane="bottomLeft" state="frozen"/>
      <selection pane="bottomLeft" activeCell="B2954" sqref="B2954"/>
    </sheetView>
  </sheetViews>
  <sheetFormatPr defaultRowHeight="14.5"/>
  <cols>
    <col min="1" max="1" width="10" customWidth="1"/>
    <col min="2" max="2" width="16" bestFit="1" customWidth="1"/>
    <col min="3" max="20" width="10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26</v>
      </c>
      <c r="C2">
        <v>310.93</v>
      </c>
      <c r="D2">
        <v>137.16</v>
      </c>
      <c r="E2">
        <v>0</v>
      </c>
      <c r="F2">
        <v>6.7100000000000005E-4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</row>
    <row r="3" spans="1:20">
      <c r="A3">
        <f>A2+1</f>
        <v>2</v>
      </c>
      <c r="B3" t="s">
        <v>26</v>
      </c>
      <c r="C3">
        <v>310.93</v>
      </c>
      <c r="D3">
        <v>134.85</v>
      </c>
      <c r="E3">
        <v>0</v>
      </c>
      <c r="F3">
        <v>6.7100000000000005E-4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</row>
    <row r="4" spans="1:20">
      <c r="A4">
        <f t="shared" ref="A4:A67" si="0">A3+1</f>
        <v>3</v>
      </c>
      <c r="B4" t="s">
        <v>26</v>
      </c>
      <c r="C4">
        <v>310.93</v>
      </c>
      <c r="D4">
        <v>208.62</v>
      </c>
      <c r="E4">
        <v>0</v>
      </c>
      <c r="F4">
        <v>6.3000000000000003E-4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</row>
    <row r="5" spans="1:20">
      <c r="A5">
        <f t="shared" si="0"/>
        <v>4</v>
      </c>
      <c r="B5" t="s">
        <v>26</v>
      </c>
      <c r="C5">
        <v>310.93</v>
      </c>
      <c r="D5">
        <v>208.18</v>
      </c>
      <c r="E5">
        <v>0</v>
      </c>
      <c r="F5">
        <v>6.4500000000000007E-4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</row>
    <row r="6" spans="1:20">
      <c r="A6">
        <f t="shared" si="0"/>
        <v>5</v>
      </c>
      <c r="B6" t="s">
        <v>26</v>
      </c>
      <c r="C6">
        <v>310.93</v>
      </c>
      <c r="D6">
        <v>86.16</v>
      </c>
      <c r="E6">
        <v>0</v>
      </c>
      <c r="F6">
        <v>1.4670000000000002E-3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</row>
    <row r="7" spans="1:20">
      <c r="A7">
        <f t="shared" si="0"/>
        <v>6</v>
      </c>
      <c r="B7" t="s">
        <v>26</v>
      </c>
      <c r="C7">
        <v>310.93</v>
      </c>
      <c r="D7">
        <v>82.97</v>
      </c>
      <c r="E7">
        <v>0</v>
      </c>
      <c r="F7">
        <v>1.2780000000000001E-3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</row>
    <row r="8" spans="1:20">
      <c r="A8">
        <f t="shared" si="0"/>
        <v>7</v>
      </c>
      <c r="B8" t="s">
        <v>26</v>
      </c>
      <c r="C8">
        <v>310.93</v>
      </c>
      <c r="D8">
        <v>417.11</v>
      </c>
      <c r="E8">
        <v>0</v>
      </c>
      <c r="F8">
        <v>4.84E-4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</row>
    <row r="9" spans="1:20">
      <c r="A9">
        <f t="shared" si="0"/>
        <v>8</v>
      </c>
      <c r="B9" t="s">
        <v>26</v>
      </c>
      <c r="C9">
        <v>310.93</v>
      </c>
      <c r="D9">
        <v>346.64</v>
      </c>
      <c r="E9">
        <v>0</v>
      </c>
      <c r="F9">
        <v>5.0600000000000005E-4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</row>
    <row r="10" spans="1:20">
      <c r="A10">
        <f t="shared" si="0"/>
        <v>9</v>
      </c>
      <c r="B10" t="s">
        <v>26</v>
      </c>
      <c r="C10">
        <v>310.93</v>
      </c>
      <c r="D10">
        <v>279.17</v>
      </c>
      <c r="E10">
        <v>0</v>
      </c>
      <c r="F10">
        <v>4.2299999999999998E-4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</row>
    <row r="11" spans="1:20">
      <c r="A11">
        <f t="shared" si="0"/>
        <v>10</v>
      </c>
      <c r="B11" t="s">
        <v>26</v>
      </c>
      <c r="C11">
        <v>310.93</v>
      </c>
      <c r="D11">
        <v>623.44000000000005</v>
      </c>
      <c r="E11">
        <v>0</v>
      </c>
      <c r="F11">
        <v>4.08E-4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</row>
    <row r="12" spans="1:20">
      <c r="A12">
        <f t="shared" si="0"/>
        <v>11</v>
      </c>
      <c r="B12" t="s">
        <v>26</v>
      </c>
      <c r="C12">
        <v>310.93</v>
      </c>
      <c r="D12">
        <v>553.62</v>
      </c>
      <c r="E12">
        <v>0</v>
      </c>
      <c r="F12">
        <v>4.2700000000000002E-4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</row>
    <row r="13" spans="1:20">
      <c r="A13">
        <f t="shared" si="0"/>
        <v>12</v>
      </c>
      <c r="B13" t="s">
        <v>26</v>
      </c>
      <c r="C13">
        <v>310.93</v>
      </c>
      <c r="D13">
        <v>485.21</v>
      </c>
      <c r="E13">
        <v>0</v>
      </c>
      <c r="F13">
        <v>4.2299999999999998E-4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</row>
    <row r="14" spans="1:20">
      <c r="A14">
        <f t="shared" si="0"/>
        <v>13</v>
      </c>
      <c r="B14" t="s">
        <v>26</v>
      </c>
      <c r="C14">
        <v>344.26</v>
      </c>
      <c r="D14">
        <v>681.54</v>
      </c>
      <c r="E14">
        <v>0</v>
      </c>
      <c r="F14">
        <v>1.6919999999999999E-3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</row>
    <row r="15" spans="1:20">
      <c r="A15">
        <f t="shared" si="0"/>
        <v>14</v>
      </c>
      <c r="B15" t="s">
        <v>26</v>
      </c>
      <c r="C15">
        <v>344.26</v>
      </c>
      <c r="D15">
        <v>417.93</v>
      </c>
      <c r="E15">
        <v>0</v>
      </c>
      <c r="F15">
        <v>1.89E-3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</row>
    <row r="16" spans="1:20">
      <c r="A16">
        <f t="shared" si="0"/>
        <v>15</v>
      </c>
      <c r="B16" t="s">
        <v>26</v>
      </c>
      <c r="C16">
        <v>344.26</v>
      </c>
      <c r="D16">
        <v>351.52</v>
      </c>
      <c r="E16">
        <v>0</v>
      </c>
      <c r="F16">
        <v>2.1280000000000001E-3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</row>
    <row r="17" spans="1:20">
      <c r="A17">
        <f t="shared" si="0"/>
        <v>16</v>
      </c>
      <c r="B17" t="s">
        <v>26</v>
      </c>
      <c r="C17">
        <v>344.26</v>
      </c>
      <c r="D17">
        <v>282.05</v>
      </c>
      <c r="E17">
        <v>0</v>
      </c>
      <c r="F17">
        <v>2.3010000000000001E-3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</row>
    <row r="18" spans="1:20">
      <c r="A18">
        <f t="shared" si="0"/>
        <v>17</v>
      </c>
      <c r="B18" t="s">
        <v>26</v>
      </c>
      <c r="C18">
        <v>344.26</v>
      </c>
      <c r="D18">
        <v>210.63</v>
      </c>
      <c r="E18">
        <v>0</v>
      </c>
      <c r="F18">
        <v>2.7210000000000003E-3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</row>
    <row r="19" spans="1:20">
      <c r="A19">
        <f t="shared" si="0"/>
        <v>18</v>
      </c>
      <c r="B19" t="s">
        <v>26</v>
      </c>
      <c r="C19">
        <v>344.26</v>
      </c>
      <c r="D19">
        <v>143.99</v>
      </c>
      <c r="E19">
        <v>0</v>
      </c>
      <c r="F19">
        <v>3.3940000000000003E-3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</row>
    <row r="20" spans="1:20">
      <c r="A20">
        <f t="shared" si="0"/>
        <v>19</v>
      </c>
      <c r="B20" t="s">
        <v>26</v>
      </c>
      <c r="C20">
        <v>344.26</v>
      </c>
      <c r="D20">
        <v>96.45</v>
      </c>
      <c r="E20">
        <v>0</v>
      </c>
      <c r="F20">
        <v>4.5030000000000001E-3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</row>
    <row r="21" spans="1:20">
      <c r="A21">
        <f t="shared" si="0"/>
        <v>20</v>
      </c>
      <c r="B21" t="s">
        <v>26</v>
      </c>
      <c r="C21">
        <v>344.26</v>
      </c>
      <c r="D21">
        <v>62.89</v>
      </c>
      <c r="E21">
        <v>0</v>
      </c>
      <c r="F21">
        <v>6.417E-3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</row>
    <row r="22" spans="1:20">
      <c r="A22">
        <f t="shared" si="0"/>
        <v>21</v>
      </c>
      <c r="B22" t="s">
        <v>26</v>
      </c>
      <c r="C22">
        <v>344.26</v>
      </c>
      <c r="D22">
        <v>26.72</v>
      </c>
      <c r="E22">
        <v>0</v>
      </c>
      <c r="F22">
        <v>1.3350000000000001E-2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</row>
    <row r="23" spans="1:20">
      <c r="A23">
        <f t="shared" si="0"/>
        <v>22</v>
      </c>
      <c r="B23" t="s">
        <v>26</v>
      </c>
      <c r="C23">
        <v>377.59</v>
      </c>
      <c r="D23">
        <v>279.01</v>
      </c>
      <c r="E23">
        <v>0</v>
      </c>
      <c r="F23">
        <v>7.123E-3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</row>
    <row r="24" spans="1:20">
      <c r="A24">
        <f t="shared" si="0"/>
        <v>23</v>
      </c>
      <c r="B24" t="s">
        <v>26</v>
      </c>
      <c r="C24">
        <v>377.59</v>
      </c>
      <c r="D24">
        <v>209.23</v>
      </c>
      <c r="E24">
        <v>0</v>
      </c>
      <c r="F24">
        <v>8.4589999999999995E-3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</row>
    <row r="25" spans="1:20">
      <c r="A25">
        <f t="shared" si="0"/>
        <v>24</v>
      </c>
      <c r="B25" t="s">
        <v>26</v>
      </c>
      <c r="C25">
        <v>377.59</v>
      </c>
      <c r="D25">
        <v>138.1</v>
      </c>
      <c r="E25">
        <v>0</v>
      </c>
      <c r="F25">
        <v>1.12E-2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</row>
    <row r="26" spans="1:20">
      <c r="A26">
        <f t="shared" si="0"/>
        <v>25</v>
      </c>
      <c r="B26" t="s">
        <v>26</v>
      </c>
      <c r="C26">
        <v>377.59</v>
      </c>
      <c r="D26">
        <v>65.91</v>
      </c>
      <c r="E26">
        <v>0</v>
      </c>
      <c r="F26">
        <v>2.069E-2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</row>
    <row r="27" spans="1:20">
      <c r="A27">
        <f t="shared" si="0"/>
        <v>26</v>
      </c>
      <c r="B27" t="s">
        <v>26</v>
      </c>
      <c r="C27">
        <v>377.59</v>
      </c>
      <c r="D27">
        <v>683.87</v>
      </c>
      <c r="E27">
        <v>0</v>
      </c>
      <c r="F27">
        <v>4.7220000000000005E-3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</row>
    <row r="28" spans="1:20">
      <c r="A28">
        <f t="shared" si="0"/>
        <v>27</v>
      </c>
      <c r="B28" t="s">
        <v>26</v>
      </c>
      <c r="C28">
        <v>377.59</v>
      </c>
      <c r="D28">
        <v>623.29999999999995</v>
      </c>
      <c r="E28">
        <v>0</v>
      </c>
      <c r="F28">
        <v>4.62E-3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</row>
    <row r="29" spans="1:20">
      <c r="A29">
        <f t="shared" si="0"/>
        <v>28</v>
      </c>
      <c r="B29" t="s">
        <v>26</v>
      </c>
      <c r="C29">
        <v>377.59</v>
      </c>
      <c r="D29">
        <v>547.24</v>
      </c>
      <c r="E29">
        <v>0</v>
      </c>
      <c r="F29">
        <v>5.2380000000000005E-3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</row>
    <row r="30" spans="1:20">
      <c r="A30">
        <f t="shared" si="0"/>
        <v>29</v>
      </c>
      <c r="B30" t="s">
        <v>26</v>
      </c>
      <c r="C30">
        <v>377.59</v>
      </c>
      <c r="D30">
        <v>482.6</v>
      </c>
      <c r="E30">
        <v>0</v>
      </c>
      <c r="F30">
        <v>5.3360000000000005E-3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</row>
    <row r="31" spans="1:20">
      <c r="A31">
        <f t="shared" si="0"/>
        <v>30</v>
      </c>
      <c r="B31" t="s">
        <v>26</v>
      </c>
      <c r="C31">
        <v>377.59</v>
      </c>
      <c r="D31">
        <v>417.81</v>
      </c>
      <c r="E31">
        <v>0</v>
      </c>
      <c r="F31">
        <v>5.7880000000000006E-3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</row>
    <row r="32" spans="1:20">
      <c r="A32">
        <f t="shared" si="0"/>
        <v>31</v>
      </c>
      <c r="B32" t="s">
        <v>26</v>
      </c>
      <c r="C32">
        <v>377.59</v>
      </c>
      <c r="D32">
        <v>354.11</v>
      </c>
      <c r="E32">
        <v>0</v>
      </c>
      <c r="F32">
        <v>6.2529999999999999E-3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</row>
    <row r="33" spans="1:20">
      <c r="A33">
        <f t="shared" si="0"/>
        <v>32</v>
      </c>
      <c r="B33" t="s">
        <v>26</v>
      </c>
      <c r="C33">
        <v>377.59</v>
      </c>
      <c r="D33">
        <v>622.53</v>
      </c>
      <c r="E33">
        <v>0</v>
      </c>
      <c r="F33">
        <v>4.8820000000000001E-3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</row>
    <row r="34" spans="1:20">
      <c r="A34">
        <f t="shared" si="0"/>
        <v>33</v>
      </c>
      <c r="B34" t="s">
        <v>26</v>
      </c>
      <c r="C34">
        <v>377.59</v>
      </c>
      <c r="D34">
        <v>558.79</v>
      </c>
      <c r="E34">
        <v>0</v>
      </c>
      <c r="F34">
        <v>4.9429999999999995E-3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</row>
    <row r="35" spans="1:20">
      <c r="A35">
        <f t="shared" si="0"/>
        <v>34</v>
      </c>
      <c r="B35" t="s">
        <v>26</v>
      </c>
      <c r="C35">
        <v>377.59</v>
      </c>
      <c r="D35">
        <v>93.15</v>
      </c>
      <c r="E35">
        <v>0</v>
      </c>
      <c r="F35">
        <v>1.545E-2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>
        <f t="shared" si="0"/>
        <v>35</v>
      </c>
      <c r="B36" t="s">
        <v>26</v>
      </c>
      <c r="C36">
        <v>377.59</v>
      </c>
      <c r="D36">
        <v>29.87</v>
      </c>
      <c r="E36">
        <v>0</v>
      </c>
      <c r="F36">
        <v>4.2810000000000001E-2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>
        <f t="shared" si="0"/>
        <v>36</v>
      </c>
      <c r="B37" t="s">
        <v>26</v>
      </c>
      <c r="C37">
        <v>410.93</v>
      </c>
      <c r="D37">
        <v>688.6</v>
      </c>
      <c r="E37">
        <v>0</v>
      </c>
      <c r="F37">
        <v>1.2060000000000001E-2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</row>
    <row r="38" spans="1:20">
      <c r="A38">
        <f t="shared" si="0"/>
        <v>37</v>
      </c>
      <c r="B38" t="s">
        <v>26</v>
      </c>
      <c r="C38">
        <v>410.93</v>
      </c>
      <c r="D38">
        <v>622.04</v>
      </c>
      <c r="E38">
        <v>0</v>
      </c>
      <c r="F38">
        <v>1.2529999999999999E-2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</row>
    <row r="39" spans="1:20">
      <c r="A39">
        <f t="shared" si="0"/>
        <v>38</v>
      </c>
      <c r="B39" t="s">
        <v>26</v>
      </c>
      <c r="C39">
        <v>410.93</v>
      </c>
      <c r="D39">
        <v>554.59</v>
      </c>
      <c r="E39">
        <v>0</v>
      </c>
      <c r="F39">
        <v>1.345E-2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</row>
    <row r="40" spans="1:20">
      <c r="A40">
        <f t="shared" si="0"/>
        <v>39</v>
      </c>
      <c r="B40" t="s">
        <v>26</v>
      </c>
      <c r="C40">
        <v>410.93</v>
      </c>
      <c r="D40">
        <v>483.34</v>
      </c>
      <c r="E40">
        <v>0</v>
      </c>
      <c r="F40">
        <v>1.4369999999999999E-2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</row>
    <row r="41" spans="1:20">
      <c r="A41">
        <f t="shared" si="0"/>
        <v>40</v>
      </c>
      <c r="B41" t="s">
        <v>26</v>
      </c>
      <c r="C41">
        <v>410.93</v>
      </c>
      <c r="D41">
        <v>421.06</v>
      </c>
      <c r="E41">
        <v>0</v>
      </c>
      <c r="F41">
        <v>1.545E-2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</row>
    <row r="42" spans="1:20">
      <c r="A42">
        <f t="shared" si="0"/>
        <v>41</v>
      </c>
      <c r="B42" t="s">
        <v>26</v>
      </c>
      <c r="C42">
        <v>410.93</v>
      </c>
      <c r="D42">
        <v>355.86</v>
      </c>
      <c r="E42">
        <v>0</v>
      </c>
      <c r="F42">
        <v>1.6710000000000003E-2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</row>
    <row r="43" spans="1:20">
      <c r="A43">
        <f t="shared" si="0"/>
        <v>42</v>
      </c>
      <c r="B43" t="s">
        <v>26</v>
      </c>
      <c r="C43">
        <v>410.93</v>
      </c>
      <c r="D43">
        <v>281.61</v>
      </c>
      <c r="E43">
        <v>0</v>
      </c>
      <c r="F43">
        <v>1.898E-2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</row>
    <row r="44" spans="1:20">
      <c r="A44">
        <f t="shared" si="0"/>
        <v>43</v>
      </c>
      <c r="B44" t="s">
        <v>26</v>
      </c>
      <c r="C44">
        <v>410.93</v>
      </c>
      <c r="D44">
        <v>140.66</v>
      </c>
      <c r="E44">
        <v>0</v>
      </c>
      <c r="F44">
        <v>3.1519999999999999E-2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</row>
    <row r="45" spans="1:20">
      <c r="A45">
        <f t="shared" si="0"/>
        <v>44</v>
      </c>
      <c r="B45" t="s">
        <v>26</v>
      </c>
      <c r="C45">
        <v>410.93</v>
      </c>
      <c r="D45">
        <v>98.7</v>
      </c>
      <c r="E45">
        <v>0</v>
      </c>
      <c r="F45">
        <v>4.1450000000000001E-2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>
        <f t="shared" si="0"/>
        <v>45</v>
      </c>
      <c r="B46" t="s">
        <v>26</v>
      </c>
      <c r="C46">
        <v>410.93</v>
      </c>
      <c r="D46">
        <v>65.459999999999994</v>
      </c>
      <c r="E46">
        <v>0</v>
      </c>
      <c r="F46">
        <v>5.8990000000000001E-2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</row>
    <row r="47" spans="1:20">
      <c r="A47">
        <f t="shared" si="0"/>
        <v>46</v>
      </c>
      <c r="B47" t="s">
        <v>26</v>
      </c>
      <c r="C47">
        <v>410.93</v>
      </c>
      <c r="D47">
        <v>34.06</v>
      </c>
      <c r="E47">
        <v>0</v>
      </c>
      <c r="F47">
        <v>0.11083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</row>
    <row r="48" spans="1:20">
      <c r="A48">
        <f t="shared" si="0"/>
        <v>47</v>
      </c>
      <c r="B48" t="s">
        <v>26</v>
      </c>
      <c r="C48">
        <v>444.26</v>
      </c>
      <c r="D48">
        <v>345.77</v>
      </c>
      <c r="E48">
        <v>0</v>
      </c>
      <c r="F48">
        <v>3.8350000000000002E-2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</row>
    <row r="49" spans="1:20">
      <c r="A49">
        <f t="shared" si="0"/>
        <v>48</v>
      </c>
      <c r="B49" t="s">
        <v>26</v>
      </c>
      <c r="C49">
        <v>444.26</v>
      </c>
      <c r="D49">
        <v>281.58999999999997</v>
      </c>
      <c r="E49">
        <v>0</v>
      </c>
      <c r="F49">
        <v>4.3840000000000004E-2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</row>
    <row r="50" spans="1:20">
      <c r="A50">
        <f t="shared" si="0"/>
        <v>49</v>
      </c>
      <c r="B50" t="s">
        <v>26</v>
      </c>
      <c r="C50">
        <v>444.26</v>
      </c>
      <c r="D50">
        <v>211.8</v>
      </c>
      <c r="E50">
        <v>0</v>
      </c>
      <c r="F50">
        <v>5.3620000000000001E-2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</row>
    <row r="51" spans="1:20">
      <c r="A51">
        <f t="shared" si="0"/>
        <v>50</v>
      </c>
      <c r="B51" t="s">
        <v>26</v>
      </c>
      <c r="C51">
        <v>444.26</v>
      </c>
      <c r="D51">
        <v>142.37</v>
      </c>
      <c r="E51">
        <v>0</v>
      </c>
      <c r="F51">
        <v>7.1059999999999998E-2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</row>
    <row r="52" spans="1:20">
      <c r="A52">
        <f t="shared" si="0"/>
        <v>51</v>
      </c>
      <c r="B52" t="s">
        <v>26</v>
      </c>
      <c r="C52">
        <v>444.26</v>
      </c>
      <c r="D52">
        <v>83.31</v>
      </c>
      <c r="E52">
        <v>0</v>
      </c>
      <c r="F52">
        <v>0.10935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</row>
    <row r="53" spans="1:20">
      <c r="A53">
        <f t="shared" si="0"/>
        <v>52</v>
      </c>
      <c r="B53" t="s">
        <v>26</v>
      </c>
      <c r="C53">
        <v>444.26</v>
      </c>
      <c r="D53">
        <v>34.42</v>
      </c>
      <c r="E53">
        <v>0</v>
      </c>
      <c r="F53">
        <v>0.25334000000000001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</row>
    <row r="54" spans="1:20">
      <c r="A54">
        <f t="shared" si="0"/>
        <v>53</v>
      </c>
      <c r="B54" t="s">
        <v>26</v>
      </c>
      <c r="C54">
        <v>444.26</v>
      </c>
      <c r="D54">
        <v>688.74</v>
      </c>
      <c r="E54">
        <v>0</v>
      </c>
      <c r="F54">
        <v>2.6159999999999999E-2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</row>
    <row r="55" spans="1:20">
      <c r="A55">
        <f t="shared" si="0"/>
        <v>54</v>
      </c>
      <c r="B55" t="s">
        <v>26</v>
      </c>
      <c r="C55">
        <v>444.26</v>
      </c>
      <c r="D55">
        <v>624.48</v>
      </c>
      <c r="E55">
        <v>0</v>
      </c>
      <c r="F55">
        <v>2.7649999999999997E-2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</row>
    <row r="56" spans="1:20">
      <c r="A56">
        <f t="shared" si="0"/>
        <v>55</v>
      </c>
      <c r="B56" t="s">
        <v>26</v>
      </c>
      <c r="C56">
        <v>444.26</v>
      </c>
      <c r="D56">
        <v>557.55999999999995</v>
      </c>
      <c r="E56">
        <v>0</v>
      </c>
      <c r="F56">
        <v>2.971E-2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</row>
    <row r="57" spans="1:20">
      <c r="A57">
        <f t="shared" si="0"/>
        <v>56</v>
      </c>
      <c r="B57" t="s">
        <v>26</v>
      </c>
      <c r="C57">
        <v>444.26</v>
      </c>
      <c r="D57">
        <v>487.64</v>
      </c>
      <c r="E57">
        <v>0</v>
      </c>
      <c r="F57">
        <v>3.1539999999999999E-2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</row>
    <row r="58" spans="1:20">
      <c r="A58">
        <f t="shared" si="0"/>
        <v>57</v>
      </c>
      <c r="B58" t="s">
        <v>26</v>
      </c>
      <c r="C58">
        <v>444.26</v>
      </c>
      <c r="D58">
        <v>418.71</v>
      </c>
      <c r="E58">
        <v>0</v>
      </c>
      <c r="F58">
        <v>3.4570000000000004E-2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</row>
    <row r="59" spans="1:20">
      <c r="A59">
        <f t="shared" si="0"/>
        <v>58</v>
      </c>
      <c r="B59" t="s">
        <v>26</v>
      </c>
      <c r="C59">
        <v>477.59</v>
      </c>
      <c r="D59">
        <v>348.01</v>
      </c>
      <c r="E59">
        <v>0</v>
      </c>
      <c r="F59">
        <v>7.961E-2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</row>
    <row r="60" spans="1:20">
      <c r="A60">
        <f t="shared" si="0"/>
        <v>59</v>
      </c>
      <c r="B60" t="s">
        <v>26</v>
      </c>
      <c r="C60">
        <v>477.59</v>
      </c>
      <c r="D60">
        <v>207.91</v>
      </c>
      <c r="E60">
        <v>0</v>
      </c>
      <c r="F60">
        <v>0.11359999999999999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</row>
    <row r="61" spans="1:20">
      <c r="A61">
        <f t="shared" si="0"/>
        <v>60</v>
      </c>
      <c r="B61" t="s">
        <v>26</v>
      </c>
      <c r="C61">
        <v>477.59</v>
      </c>
      <c r="D61">
        <v>140.44999999999999</v>
      </c>
      <c r="E61">
        <v>0</v>
      </c>
      <c r="F61">
        <v>0.15418000000000001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</row>
    <row r="62" spans="1:20">
      <c r="A62">
        <f t="shared" si="0"/>
        <v>61</v>
      </c>
      <c r="B62" t="s">
        <v>26</v>
      </c>
      <c r="C62">
        <v>477.59</v>
      </c>
      <c r="D62">
        <v>88.26</v>
      </c>
      <c r="E62">
        <v>0</v>
      </c>
      <c r="F62">
        <v>0.22827000000000003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</row>
    <row r="63" spans="1:20">
      <c r="A63">
        <f t="shared" si="0"/>
        <v>62</v>
      </c>
      <c r="B63" t="s">
        <v>26</v>
      </c>
      <c r="C63">
        <v>477.59</v>
      </c>
      <c r="D63">
        <v>64.13</v>
      </c>
      <c r="E63">
        <v>0</v>
      </c>
      <c r="F63">
        <v>0.30266999999999999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</row>
    <row r="64" spans="1:20">
      <c r="A64">
        <f t="shared" si="0"/>
        <v>63</v>
      </c>
      <c r="B64" t="s">
        <v>26</v>
      </c>
      <c r="C64">
        <v>477.59</v>
      </c>
      <c r="D64">
        <v>33.630000000000003</v>
      </c>
      <c r="E64">
        <v>0</v>
      </c>
      <c r="F64">
        <v>0.55557000000000001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</row>
    <row r="65" spans="1:20">
      <c r="A65">
        <f t="shared" si="0"/>
        <v>64</v>
      </c>
      <c r="B65" t="s">
        <v>26</v>
      </c>
      <c r="C65">
        <v>477.59</v>
      </c>
      <c r="D65">
        <v>687.33</v>
      </c>
      <c r="E65">
        <v>0</v>
      </c>
      <c r="F65">
        <v>5.3280000000000001E-2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</row>
    <row r="66" spans="1:20">
      <c r="A66">
        <f t="shared" si="0"/>
        <v>65</v>
      </c>
      <c r="B66" t="s">
        <v>26</v>
      </c>
      <c r="C66">
        <v>477.59</v>
      </c>
      <c r="D66">
        <v>625.79</v>
      </c>
      <c r="E66">
        <v>0</v>
      </c>
      <c r="F66">
        <v>5.6299999999999996E-2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</row>
    <row r="67" spans="1:20">
      <c r="A67">
        <f t="shared" si="0"/>
        <v>66</v>
      </c>
      <c r="B67" t="s">
        <v>26</v>
      </c>
      <c r="C67">
        <v>477.59</v>
      </c>
      <c r="D67">
        <v>556.74</v>
      </c>
      <c r="E67">
        <v>0</v>
      </c>
      <c r="F67">
        <v>6.0819999999999999E-2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</row>
    <row r="68" spans="1:20">
      <c r="A68">
        <f t="shared" ref="A68:A131" si="1">A67+1</f>
        <v>67</v>
      </c>
      <c r="B68" t="s">
        <v>26</v>
      </c>
      <c r="C68">
        <v>477.59</v>
      </c>
      <c r="D68">
        <v>485.25</v>
      </c>
      <c r="E68">
        <v>0</v>
      </c>
      <c r="F68">
        <v>6.5189999999999998E-2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</row>
    <row r="69" spans="1:20">
      <c r="A69">
        <f t="shared" si="1"/>
        <v>68</v>
      </c>
      <c r="B69" t="s">
        <v>26</v>
      </c>
      <c r="C69">
        <v>477.59</v>
      </c>
      <c r="D69">
        <v>414.31</v>
      </c>
      <c r="E69">
        <v>0</v>
      </c>
      <c r="F69">
        <v>7.0239999999999997E-2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</row>
    <row r="70" spans="1:20">
      <c r="A70">
        <f t="shared" si="1"/>
        <v>69</v>
      </c>
      <c r="B70" t="s">
        <v>26</v>
      </c>
      <c r="C70">
        <v>510.93</v>
      </c>
      <c r="D70">
        <v>539.41999999999996</v>
      </c>
      <c r="E70">
        <v>0</v>
      </c>
      <c r="F70">
        <v>0.11189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</row>
    <row r="71" spans="1:20">
      <c r="A71">
        <f t="shared" si="1"/>
        <v>70</v>
      </c>
      <c r="B71" t="s">
        <v>26</v>
      </c>
      <c r="C71">
        <v>510.93</v>
      </c>
      <c r="D71">
        <v>624.99</v>
      </c>
      <c r="E71">
        <v>0</v>
      </c>
      <c r="F71">
        <v>0.10641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</row>
    <row r="72" spans="1:20">
      <c r="A72">
        <f t="shared" si="1"/>
        <v>71</v>
      </c>
      <c r="B72" t="s">
        <v>26</v>
      </c>
      <c r="C72">
        <v>510.93</v>
      </c>
      <c r="D72">
        <v>485.31</v>
      </c>
      <c r="E72">
        <v>0</v>
      </c>
      <c r="F72">
        <v>0.12390999999999999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</row>
    <row r="73" spans="1:20">
      <c r="A73">
        <f t="shared" si="1"/>
        <v>72</v>
      </c>
      <c r="B73" t="s">
        <v>26</v>
      </c>
      <c r="C73">
        <v>510.93</v>
      </c>
      <c r="D73">
        <v>416.93</v>
      </c>
      <c r="E73">
        <v>0</v>
      </c>
      <c r="F73">
        <v>0.13388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</row>
    <row r="74" spans="1:20">
      <c r="A74">
        <f t="shared" si="1"/>
        <v>73</v>
      </c>
      <c r="B74" t="s">
        <v>26</v>
      </c>
      <c r="C74">
        <v>510.93</v>
      </c>
      <c r="D74">
        <v>356.03</v>
      </c>
      <c r="E74">
        <v>0</v>
      </c>
      <c r="F74">
        <v>0.14888999999999999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</row>
    <row r="75" spans="1:20">
      <c r="A75">
        <f t="shared" si="1"/>
        <v>74</v>
      </c>
      <c r="B75" t="s">
        <v>26</v>
      </c>
      <c r="C75">
        <v>510.93</v>
      </c>
      <c r="D75">
        <v>276.85000000000002</v>
      </c>
      <c r="E75">
        <v>0</v>
      </c>
      <c r="F75">
        <v>0.17565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</row>
    <row r="76" spans="1:20">
      <c r="A76">
        <f t="shared" si="1"/>
        <v>75</v>
      </c>
      <c r="B76" t="s">
        <v>26</v>
      </c>
      <c r="C76">
        <v>510.93</v>
      </c>
      <c r="D76">
        <v>210.06</v>
      </c>
      <c r="E76">
        <v>0</v>
      </c>
      <c r="F76">
        <v>0.21287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</row>
    <row r="77" spans="1:20">
      <c r="A77">
        <f t="shared" si="1"/>
        <v>76</v>
      </c>
      <c r="B77" t="s">
        <v>26</v>
      </c>
      <c r="C77">
        <v>510.93</v>
      </c>
      <c r="D77">
        <v>144.38999999999999</v>
      </c>
      <c r="E77">
        <v>0</v>
      </c>
      <c r="F77">
        <v>0.28510000000000002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</row>
    <row r="78" spans="1:20">
      <c r="A78">
        <f t="shared" si="1"/>
        <v>77</v>
      </c>
      <c r="B78" t="s">
        <v>26</v>
      </c>
      <c r="C78">
        <v>510.93</v>
      </c>
      <c r="D78">
        <v>95.1</v>
      </c>
      <c r="E78">
        <v>0</v>
      </c>
      <c r="F78">
        <v>0.40033000000000002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</row>
    <row r="79" spans="1:20">
      <c r="A79">
        <f t="shared" si="1"/>
        <v>78</v>
      </c>
      <c r="B79" t="s">
        <v>26</v>
      </c>
      <c r="C79">
        <v>510.93</v>
      </c>
      <c r="D79">
        <v>53.18</v>
      </c>
      <c r="E79">
        <v>0</v>
      </c>
      <c r="F79">
        <v>0.65459000000000001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</row>
    <row r="80" spans="1:20">
      <c r="A80">
        <f t="shared" si="1"/>
        <v>79</v>
      </c>
      <c r="B80" t="s">
        <v>20</v>
      </c>
      <c r="C80">
        <v>310.93</v>
      </c>
      <c r="D80">
        <v>6.89</v>
      </c>
      <c r="E80">
        <v>0</v>
      </c>
      <c r="F80">
        <v>1.0600000000000054E-2</v>
      </c>
      <c r="H80">
        <v>8.2000000000000007E-3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>
      <c r="A81">
        <f t="shared" si="1"/>
        <v>80</v>
      </c>
      <c r="B81" t="s">
        <v>20</v>
      </c>
      <c r="C81">
        <v>310.93</v>
      </c>
      <c r="D81">
        <v>10.34</v>
      </c>
      <c r="E81">
        <v>0</v>
      </c>
      <c r="F81">
        <v>7.4999999999999512E-3</v>
      </c>
      <c r="H81">
        <v>1.23E-2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>
      <c r="A82">
        <f t="shared" si="1"/>
        <v>81</v>
      </c>
      <c r="B82" t="s">
        <v>20</v>
      </c>
      <c r="C82">
        <v>310.93</v>
      </c>
      <c r="D82">
        <v>13.79</v>
      </c>
      <c r="E82">
        <v>0</v>
      </c>
      <c r="F82">
        <v>6.0000000000000053E-3</v>
      </c>
      <c r="H82">
        <v>1.6500000000000001E-2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>
      <c r="A83">
        <f t="shared" si="1"/>
        <v>82</v>
      </c>
      <c r="B83" t="s">
        <v>20</v>
      </c>
      <c r="C83">
        <v>310.93</v>
      </c>
      <c r="D83">
        <v>17.239999999999998</v>
      </c>
      <c r="E83">
        <v>0</v>
      </c>
      <c r="F83">
        <v>5.0999999999999934E-3</v>
      </c>
      <c r="H83">
        <v>2.07E-2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>
      <c r="A84">
        <f t="shared" si="1"/>
        <v>83</v>
      </c>
      <c r="B84" t="s">
        <v>20</v>
      </c>
      <c r="C84">
        <v>310.93</v>
      </c>
      <c r="D84">
        <v>20.68</v>
      </c>
      <c r="E84">
        <v>0</v>
      </c>
      <c r="F84">
        <v>4.6000000000000485E-3</v>
      </c>
      <c r="H84">
        <v>2.5000000000000001E-2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>
      <c r="A85">
        <f t="shared" si="1"/>
        <v>84</v>
      </c>
      <c r="B85" t="s">
        <v>20</v>
      </c>
      <c r="C85">
        <v>310.93</v>
      </c>
      <c r="D85">
        <v>26.9</v>
      </c>
      <c r="E85">
        <v>0</v>
      </c>
      <c r="F85">
        <v>4.0000000000000036E-3</v>
      </c>
      <c r="H85">
        <v>3.3300000000000003E-2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>
      <c r="A86">
        <f t="shared" si="1"/>
        <v>85</v>
      </c>
      <c r="B86" t="s">
        <v>20</v>
      </c>
      <c r="C86">
        <v>344.26</v>
      </c>
      <c r="D86">
        <v>6.89</v>
      </c>
      <c r="E86">
        <v>0</v>
      </c>
      <c r="F86">
        <v>5.0699999999999967E-2</v>
      </c>
      <c r="H86">
        <v>5.0000000000000001E-3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>
      <c r="A87">
        <f t="shared" si="1"/>
        <v>86</v>
      </c>
      <c r="B87" t="s">
        <v>20</v>
      </c>
      <c r="C87">
        <v>344.26</v>
      </c>
      <c r="D87">
        <v>10.34</v>
      </c>
      <c r="E87">
        <v>0</v>
      </c>
      <c r="F87">
        <v>3.5699999999999954E-2</v>
      </c>
      <c r="H87">
        <v>7.6E-3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>
      <c r="A88">
        <f t="shared" si="1"/>
        <v>87</v>
      </c>
      <c r="B88" t="s">
        <v>20</v>
      </c>
      <c r="C88">
        <v>344.26</v>
      </c>
      <c r="D88">
        <v>13.79</v>
      </c>
      <c r="E88">
        <v>0</v>
      </c>
      <c r="F88">
        <v>2.739999999999998E-2</v>
      </c>
      <c r="H88">
        <v>1.0200000000000001E-2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>
      <c r="A89">
        <f t="shared" si="1"/>
        <v>88</v>
      </c>
      <c r="B89" t="s">
        <v>20</v>
      </c>
      <c r="C89">
        <v>344.26</v>
      </c>
      <c r="D89">
        <v>17.239999999999998</v>
      </c>
      <c r="E89">
        <v>0</v>
      </c>
      <c r="F89">
        <v>2.2900000000000031E-2</v>
      </c>
      <c r="H89">
        <v>1.2800000000000001E-2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>
      <c r="A90">
        <f t="shared" si="1"/>
        <v>89</v>
      </c>
      <c r="B90" t="s">
        <v>20</v>
      </c>
      <c r="C90">
        <v>344.26</v>
      </c>
      <c r="D90">
        <v>20.68</v>
      </c>
      <c r="E90">
        <v>0</v>
      </c>
      <c r="F90">
        <v>1.9900000000000029E-2</v>
      </c>
      <c r="H90">
        <v>1.54E-2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>
        <f t="shared" si="1"/>
        <v>90</v>
      </c>
      <c r="B91" t="s">
        <v>20</v>
      </c>
      <c r="C91">
        <v>344.26</v>
      </c>
      <c r="D91">
        <v>27.58</v>
      </c>
      <c r="E91">
        <v>0</v>
      </c>
      <c r="F91">
        <v>1.6299999999999981E-2</v>
      </c>
      <c r="H91">
        <v>2.06E-2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>
      <c r="A92">
        <f t="shared" si="1"/>
        <v>91</v>
      </c>
      <c r="B92" t="s">
        <v>20</v>
      </c>
      <c r="C92">
        <v>344.26</v>
      </c>
      <c r="D92">
        <v>34.47</v>
      </c>
      <c r="E92">
        <v>0</v>
      </c>
      <c r="F92">
        <v>1.4399999999999968E-2</v>
      </c>
      <c r="H92">
        <v>2.58E-2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>
      <c r="A93">
        <f t="shared" si="1"/>
        <v>92</v>
      </c>
      <c r="B93" t="s">
        <v>20</v>
      </c>
      <c r="C93">
        <v>344.26</v>
      </c>
      <c r="D93">
        <v>41.37</v>
      </c>
      <c r="E93">
        <v>0</v>
      </c>
      <c r="F93">
        <v>1.3499999999999956E-2</v>
      </c>
      <c r="H93">
        <v>3.1E-2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>
      <c r="A94">
        <f t="shared" si="1"/>
        <v>93</v>
      </c>
      <c r="B94" t="s">
        <v>20</v>
      </c>
      <c r="C94">
        <v>344.26</v>
      </c>
      <c r="D94">
        <v>48.26</v>
      </c>
      <c r="E94">
        <v>0</v>
      </c>
      <c r="F94">
        <v>1.319999999999999E-2</v>
      </c>
      <c r="H94">
        <v>3.6400000000000002E-2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>
      <c r="A95">
        <f t="shared" si="1"/>
        <v>94</v>
      </c>
      <c r="B95" t="s">
        <v>20</v>
      </c>
      <c r="C95">
        <v>344.26</v>
      </c>
      <c r="D95">
        <v>52.36</v>
      </c>
      <c r="E95">
        <v>0</v>
      </c>
      <c r="F95">
        <v>1.3100000000000001E-2</v>
      </c>
      <c r="H95">
        <v>3.95E-2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>
      <c r="A96">
        <f t="shared" si="1"/>
        <v>95</v>
      </c>
      <c r="B96" t="s">
        <v>20</v>
      </c>
      <c r="C96">
        <v>377.59</v>
      </c>
      <c r="D96">
        <v>13.79</v>
      </c>
      <c r="E96">
        <v>0</v>
      </c>
      <c r="F96">
        <v>9.540000000000004E-2</v>
      </c>
      <c r="H96">
        <v>7.7000000000000002E-3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>
      <c r="A97">
        <f t="shared" si="1"/>
        <v>96</v>
      </c>
      <c r="B97" t="s">
        <v>20</v>
      </c>
      <c r="C97">
        <v>377.59</v>
      </c>
      <c r="D97">
        <v>27.58</v>
      </c>
      <c r="E97">
        <v>0</v>
      </c>
      <c r="F97">
        <v>5.2300000000000013E-2</v>
      </c>
      <c r="H97">
        <v>1.5599999999999999E-2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>
      <c r="A98">
        <f t="shared" si="1"/>
        <v>97</v>
      </c>
      <c r="B98" t="s">
        <v>20</v>
      </c>
      <c r="C98">
        <v>377.59</v>
      </c>
      <c r="D98">
        <v>41.37</v>
      </c>
      <c r="E98">
        <v>0</v>
      </c>
      <c r="F98">
        <v>4.0300000000000002E-2</v>
      </c>
      <c r="H98">
        <v>2.3E-2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f t="shared" si="1"/>
        <v>98</v>
      </c>
      <c r="B99" t="s">
        <v>20</v>
      </c>
      <c r="C99">
        <v>377.59</v>
      </c>
      <c r="D99">
        <v>55.16</v>
      </c>
      <c r="E99">
        <v>0</v>
      </c>
      <c r="F99">
        <v>3.5299999999999998E-2</v>
      </c>
      <c r="H99">
        <v>3.0099999999999998E-2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>
        <f t="shared" si="1"/>
        <v>99</v>
      </c>
      <c r="B100" t="s">
        <v>20</v>
      </c>
      <c r="C100">
        <v>377.59</v>
      </c>
      <c r="D100">
        <v>68.95</v>
      </c>
      <c r="E100">
        <v>0</v>
      </c>
      <c r="F100">
        <v>3.3599999999999963E-2</v>
      </c>
      <c r="H100">
        <v>3.7100000000000001E-2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>
        <f t="shared" si="1"/>
        <v>100</v>
      </c>
      <c r="B101" t="s">
        <v>20</v>
      </c>
      <c r="C101">
        <v>377.59</v>
      </c>
      <c r="D101">
        <v>86.18</v>
      </c>
      <c r="E101">
        <v>0</v>
      </c>
      <c r="F101">
        <v>3.3499999999999974E-2</v>
      </c>
      <c r="H101">
        <v>4.6300000000000001E-2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>
        <f t="shared" si="1"/>
        <v>101</v>
      </c>
      <c r="B102" t="s">
        <v>20</v>
      </c>
      <c r="C102">
        <v>377.59</v>
      </c>
      <c r="D102">
        <v>103.42</v>
      </c>
      <c r="E102">
        <v>0</v>
      </c>
      <c r="F102">
        <v>3.4900000000000042E-2</v>
      </c>
      <c r="H102">
        <v>5.7700000000000001E-2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>
        <f t="shared" si="1"/>
        <v>102</v>
      </c>
      <c r="B103" t="s">
        <v>20</v>
      </c>
      <c r="C103">
        <v>377.59</v>
      </c>
      <c r="D103">
        <v>120.66</v>
      </c>
      <c r="E103">
        <v>0</v>
      </c>
      <c r="F103">
        <v>3.7000000000000033E-2</v>
      </c>
      <c r="H103">
        <v>6.9000000000000006E-2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>
        <f t="shared" si="1"/>
        <v>103</v>
      </c>
      <c r="B104" t="s">
        <v>20</v>
      </c>
      <c r="C104">
        <v>377.59</v>
      </c>
      <c r="D104">
        <v>137.88999999999999</v>
      </c>
      <c r="E104">
        <v>0</v>
      </c>
      <c r="F104">
        <v>3.9799999999999947E-2</v>
      </c>
      <c r="H104">
        <v>8.2299999999999998E-2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>
        <f t="shared" si="1"/>
        <v>104</v>
      </c>
      <c r="B105" t="s">
        <v>20</v>
      </c>
      <c r="C105">
        <v>377.59</v>
      </c>
      <c r="D105">
        <v>155.13</v>
      </c>
      <c r="E105">
        <v>0</v>
      </c>
      <c r="F105">
        <v>4.3200000000000016E-2</v>
      </c>
      <c r="H105">
        <v>9.7299999999999998E-2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>
      <c r="A106">
        <f t="shared" si="1"/>
        <v>105</v>
      </c>
      <c r="B106" t="s">
        <v>20</v>
      </c>
      <c r="C106">
        <v>377.59</v>
      </c>
      <c r="D106">
        <v>172.37</v>
      </c>
      <c r="E106">
        <v>0</v>
      </c>
      <c r="F106">
        <v>4.6900000000000053E-2</v>
      </c>
      <c r="H106">
        <v>0.1145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>
      <c r="A107">
        <f t="shared" si="1"/>
        <v>106</v>
      </c>
      <c r="B107" t="s">
        <v>20</v>
      </c>
      <c r="C107">
        <v>377.59</v>
      </c>
      <c r="D107">
        <v>189.6</v>
      </c>
      <c r="E107">
        <v>0</v>
      </c>
      <c r="F107">
        <v>5.0899999999999945E-2</v>
      </c>
      <c r="H107">
        <v>0.1346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>
      <c r="A108">
        <f t="shared" si="1"/>
        <v>107</v>
      </c>
      <c r="B108" t="s">
        <v>20</v>
      </c>
      <c r="C108">
        <v>377.59</v>
      </c>
      <c r="D108">
        <v>206.84</v>
      </c>
      <c r="E108">
        <v>0</v>
      </c>
      <c r="F108">
        <v>5.4899999999999949E-2</v>
      </c>
      <c r="H108">
        <v>0.15859999999999999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>
        <f t="shared" si="1"/>
        <v>108</v>
      </c>
      <c r="B109" t="s">
        <v>20</v>
      </c>
      <c r="C109">
        <v>377.59</v>
      </c>
      <c r="D109">
        <v>241.31</v>
      </c>
      <c r="E109">
        <v>0</v>
      </c>
      <c r="F109">
        <v>6.2899999999999956E-2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>
      <c r="A110">
        <f t="shared" si="1"/>
        <v>109</v>
      </c>
      <c r="B110" t="s">
        <v>20</v>
      </c>
      <c r="C110">
        <v>377.59</v>
      </c>
      <c r="D110">
        <v>275.79000000000002</v>
      </c>
      <c r="E110">
        <v>0</v>
      </c>
      <c r="F110">
        <v>7.1200000000000041E-2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>
      <c r="A111">
        <f t="shared" si="1"/>
        <v>110</v>
      </c>
      <c r="B111" t="s">
        <v>20</v>
      </c>
      <c r="C111">
        <v>377.59</v>
      </c>
      <c r="D111">
        <v>310.26</v>
      </c>
      <c r="E111">
        <v>0</v>
      </c>
      <c r="F111">
        <v>7.9699999999999993E-2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>
        <f t="shared" si="1"/>
        <v>111</v>
      </c>
      <c r="B112" t="s">
        <v>20</v>
      </c>
      <c r="C112">
        <v>377.59</v>
      </c>
      <c r="D112">
        <v>344.73</v>
      </c>
      <c r="E112">
        <v>0</v>
      </c>
      <c r="F112">
        <v>8.8500000000000023E-2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>
      <c r="A113">
        <f t="shared" si="1"/>
        <v>112</v>
      </c>
      <c r="B113" t="s">
        <v>20</v>
      </c>
      <c r="C113">
        <v>410.93</v>
      </c>
      <c r="D113">
        <v>13.79</v>
      </c>
      <c r="E113">
        <v>0</v>
      </c>
      <c r="F113">
        <v>0.26249999999999996</v>
      </c>
      <c r="H113">
        <v>5.7000000000000002E-3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>
        <f t="shared" si="1"/>
        <v>113</v>
      </c>
      <c r="B114" t="s">
        <v>20</v>
      </c>
      <c r="C114">
        <v>410.93</v>
      </c>
      <c r="D114">
        <v>27.58</v>
      </c>
      <c r="E114">
        <v>0</v>
      </c>
      <c r="F114">
        <v>0.1411</v>
      </c>
      <c r="H114">
        <v>1.2699999999999999E-2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>
      <c r="A115">
        <f t="shared" si="1"/>
        <v>114</v>
      </c>
      <c r="B115" t="s">
        <v>20</v>
      </c>
      <c r="C115">
        <v>410.93</v>
      </c>
      <c r="D115">
        <v>41.37</v>
      </c>
      <c r="E115">
        <v>0</v>
      </c>
      <c r="F115">
        <v>0.10160000000000002</v>
      </c>
      <c r="H115">
        <v>1.9099999999999999E-2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>
      <c r="A116">
        <f t="shared" si="1"/>
        <v>115</v>
      </c>
      <c r="B116" t="s">
        <v>20</v>
      </c>
      <c r="C116">
        <v>410.93</v>
      </c>
      <c r="D116">
        <v>55.16</v>
      </c>
      <c r="E116">
        <v>0</v>
      </c>
      <c r="F116">
        <v>8.450000000000002E-2</v>
      </c>
      <c r="H116">
        <v>2.5000000000000001E-2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>
      <c r="A117">
        <f t="shared" si="1"/>
        <v>116</v>
      </c>
      <c r="B117" t="s">
        <v>20</v>
      </c>
      <c r="C117">
        <v>410.93</v>
      </c>
      <c r="D117">
        <v>68.95</v>
      </c>
      <c r="E117">
        <v>0</v>
      </c>
      <c r="F117">
        <v>7.5200000000000045E-2</v>
      </c>
      <c r="H117">
        <v>3.0800000000000001E-2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>
      <c r="A118">
        <f t="shared" si="1"/>
        <v>117</v>
      </c>
      <c r="B118" t="s">
        <v>20</v>
      </c>
      <c r="C118">
        <v>410.93</v>
      </c>
      <c r="D118">
        <v>86.18</v>
      </c>
      <c r="E118">
        <v>0</v>
      </c>
      <c r="F118">
        <v>6.9300000000000028E-2</v>
      </c>
      <c r="H118">
        <v>3.8199999999999998E-2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>
      <c r="A119">
        <f t="shared" si="1"/>
        <v>118</v>
      </c>
      <c r="B119" t="s">
        <v>20</v>
      </c>
      <c r="C119">
        <v>410.93</v>
      </c>
      <c r="D119">
        <v>103.42</v>
      </c>
      <c r="E119">
        <v>0</v>
      </c>
      <c r="F119">
        <v>6.6999999999999948E-2</v>
      </c>
      <c r="H119">
        <v>4.6300000000000001E-2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>
      <c r="A120">
        <f t="shared" si="1"/>
        <v>119</v>
      </c>
      <c r="B120" t="s">
        <v>20</v>
      </c>
      <c r="C120">
        <v>410.93</v>
      </c>
      <c r="D120">
        <v>120.66</v>
      </c>
      <c r="E120">
        <v>0</v>
      </c>
      <c r="F120">
        <v>6.7300000000000026E-2</v>
      </c>
      <c r="H120">
        <v>5.5E-2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>
      <c r="A121">
        <f t="shared" si="1"/>
        <v>120</v>
      </c>
      <c r="B121" t="s">
        <v>20</v>
      </c>
      <c r="C121">
        <v>410.93</v>
      </c>
      <c r="D121">
        <v>137.88999999999999</v>
      </c>
      <c r="E121">
        <v>0</v>
      </c>
      <c r="F121">
        <v>6.9699999999999984E-2</v>
      </c>
      <c r="H121">
        <v>6.4699999999999994E-2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>
        <f t="shared" si="1"/>
        <v>121</v>
      </c>
      <c r="B122" t="s">
        <v>20</v>
      </c>
      <c r="C122">
        <v>410.93</v>
      </c>
      <c r="D122">
        <v>155.13</v>
      </c>
      <c r="E122">
        <v>0</v>
      </c>
      <c r="F122">
        <v>7.3699999999999988E-2</v>
      </c>
      <c r="H122">
        <v>7.4999999999999997E-2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f t="shared" si="1"/>
        <v>122</v>
      </c>
      <c r="B123" t="s">
        <v>20</v>
      </c>
      <c r="C123">
        <v>410.93</v>
      </c>
      <c r="D123">
        <v>172.37</v>
      </c>
      <c r="E123">
        <v>0</v>
      </c>
      <c r="F123">
        <v>7.8699999999999992E-2</v>
      </c>
      <c r="H123">
        <v>8.5999999999999993E-2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>
        <f t="shared" si="1"/>
        <v>123</v>
      </c>
      <c r="B124" t="s">
        <v>20</v>
      </c>
      <c r="C124">
        <v>410.93</v>
      </c>
      <c r="D124">
        <v>189.6</v>
      </c>
      <c r="E124">
        <v>0</v>
      </c>
      <c r="F124">
        <v>8.4099999999999953E-2</v>
      </c>
      <c r="H124">
        <v>9.7799999999999998E-2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>
        <f t="shared" si="1"/>
        <v>124</v>
      </c>
      <c r="B125" t="s">
        <v>20</v>
      </c>
      <c r="C125">
        <v>410.93</v>
      </c>
      <c r="D125">
        <v>206.84</v>
      </c>
      <c r="E125">
        <v>0</v>
      </c>
      <c r="F125">
        <v>8.9600000000000013E-2</v>
      </c>
      <c r="H125">
        <v>0.1106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>
      <c r="A126">
        <f t="shared" si="1"/>
        <v>125</v>
      </c>
      <c r="B126" t="s">
        <v>20</v>
      </c>
      <c r="C126">
        <v>410.93</v>
      </c>
      <c r="D126">
        <v>241.31</v>
      </c>
      <c r="E126">
        <v>0</v>
      </c>
      <c r="F126">
        <v>0.10140000000000005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>
      <c r="A127">
        <f t="shared" si="1"/>
        <v>126</v>
      </c>
      <c r="B127" t="s">
        <v>20</v>
      </c>
      <c r="C127">
        <v>410.93</v>
      </c>
      <c r="D127">
        <v>275.79000000000002</v>
      </c>
      <c r="E127">
        <v>0</v>
      </c>
      <c r="F127">
        <v>0.11299999999999999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>
      <c r="A128">
        <f t="shared" si="1"/>
        <v>127</v>
      </c>
      <c r="B128" t="s">
        <v>20</v>
      </c>
      <c r="C128">
        <v>410.93</v>
      </c>
      <c r="D128">
        <v>310.26</v>
      </c>
      <c r="E128">
        <v>0</v>
      </c>
      <c r="F128">
        <v>0.125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>
      <c r="A129">
        <f t="shared" si="1"/>
        <v>128</v>
      </c>
      <c r="B129" t="s">
        <v>20</v>
      </c>
      <c r="C129">
        <v>410.93</v>
      </c>
      <c r="D129">
        <v>344.73</v>
      </c>
      <c r="E129">
        <v>0</v>
      </c>
      <c r="F129">
        <v>0.13700000000000001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>
      <c r="A130">
        <f t="shared" si="1"/>
        <v>129</v>
      </c>
      <c r="B130" t="s">
        <v>20</v>
      </c>
      <c r="C130">
        <v>444.26</v>
      </c>
      <c r="D130">
        <v>13.79</v>
      </c>
      <c r="E130">
        <v>0</v>
      </c>
      <c r="F130">
        <v>0.60189999999999999</v>
      </c>
      <c r="H130">
        <v>2.8999999999999998E-3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>
      <c r="A131">
        <f t="shared" si="1"/>
        <v>130</v>
      </c>
      <c r="B131" t="s">
        <v>20</v>
      </c>
      <c r="C131">
        <v>444.26</v>
      </c>
      <c r="D131">
        <v>27.58</v>
      </c>
      <c r="E131">
        <v>0</v>
      </c>
      <c r="F131">
        <v>0.31720000000000004</v>
      </c>
      <c r="H131">
        <v>9.4000000000000004E-3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>
      <c r="A132">
        <f t="shared" ref="A132:A195" si="2">A131+1</f>
        <v>131</v>
      </c>
      <c r="B132" t="s">
        <v>20</v>
      </c>
      <c r="C132">
        <v>444.26</v>
      </c>
      <c r="D132">
        <v>41.37</v>
      </c>
      <c r="E132">
        <v>0</v>
      </c>
      <c r="F132">
        <v>0.2228</v>
      </c>
      <c r="H132">
        <v>1.55E-2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>
      <c r="A133">
        <f t="shared" si="2"/>
        <v>132</v>
      </c>
      <c r="B133" t="s">
        <v>20</v>
      </c>
      <c r="C133">
        <v>444.26</v>
      </c>
      <c r="D133">
        <v>55.16</v>
      </c>
      <c r="E133">
        <v>0</v>
      </c>
      <c r="F133">
        <v>0.17759999999999998</v>
      </c>
      <c r="H133">
        <v>2.1399999999999999E-2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>
        <f t="shared" si="2"/>
        <v>133</v>
      </c>
      <c r="B134" t="s">
        <v>20</v>
      </c>
      <c r="C134">
        <v>444.26</v>
      </c>
      <c r="D134">
        <v>68.95</v>
      </c>
      <c r="E134">
        <v>0</v>
      </c>
      <c r="F134">
        <v>0.15339999999999998</v>
      </c>
      <c r="H134">
        <v>2.7300000000000001E-2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>
        <f t="shared" si="2"/>
        <v>134</v>
      </c>
      <c r="B135" t="s">
        <v>20</v>
      </c>
      <c r="C135">
        <v>444.26</v>
      </c>
      <c r="D135">
        <v>86.18</v>
      </c>
      <c r="E135">
        <v>0</v>
      </c>
      <c r="F135">
        <v>0.13539999999999996</v>
      </c>
      <c r="H135">
        <v>3.5099999999999999E-2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>
      <c r="A136">
        <f t="shared" si="2"/>
        <v>135</v>
      </c>
      <c r="B136" t="s">
        <v>20</v>
      </c>
      <c r="C136">
        <v>444.26</v>
      </c>
      <c r="D136">
        <v>103.42</v>
      </c>
      <c r="E136">
        <v>0</v>
      </c>
      <c r="F136">
        <v>0.12580000000000002</v>
      </c>
      <c r="H136">
        <v>4.3499999999999997E-2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>
      <c r="A137">
        <f t="shared" si="2"/>
        <v>136</v>
      </c>
      <c r="B137" t="s">
        <v>20</v>
      </c>
      <c r="C137">
        <v>444.26</v>
      </c>
      <c r="D137">
        <v>120.66</v>
      </c>
      <c r="E137">
        <v>0</v>
      </c>
      <c r="F137">
        <v>0.12119999999999997</v>
      </c>
      <c r="H137">
        <v>5.1999999999999998E-2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>
      <c r="A138">
        <f t="shared" si="2"/>
        <v>137</v>
      </c>
      <c r="B138" t="s">
        <v>20</v>
      </c>
      <c r="C138">
        <v>444.26</v>
      </c>
      <c r="D138">
        <v>137.88999999999999</v>
      </c>
      <c r="E138">
        <v>0</v>
      </c>
      <c r="F138">
        <v>0.12029999999999996</v>
      </c>
      <c r="H138">
        <v>6.0999999999999999E-2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>
        <f t="shared" si="2"/>
        <v>138</v>
      </c>
      <c r="B139" t="s">
        <v>20</v>
      </c>
      <c r="C139">
        <v>444.26</v>
      </c>
      <c r="D139">
        <v>155.13</v>
      </c>
      <c r="E139">
        <v>0</v>
      </c>
      <c r="F139">
        <v>0.12209999999999999</v>
      </c>
      <c r="H139">
        <v>7.0499999999999993E-2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>
      <c r="A140">
        <f t="shared" si="2"/>
        <v>139</v>
      </c>
      <c r="B140" t="s">
        <v>20</v>
      </c>
      <c r="C140">
        <v>444.26</v>
      </c>
      <c r="D140">
        <v>172.37</v>
      </c>
      <c r="E140">
        <v>0</v>
      </c>
      <c r="F140">
        <v>0.126</v>
      </c>
      <c r="H140">
        <v>8.0500000000000002E-2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>
      <c r="A141">
        <f t="shared" si="2"/>
        <v>140</v>
      </c>
      <c r="B141" t="s">
        <v>20</v>
      </c>
      <c r="C141">
        <v>444.26</v>
      </c>
      <c r="D141">
        <v>189.6</v>
      </c>
      <c r="E141">
        <v>0</v>
      </c>
      <c r="F141">
        <v>0.13190000000000002</v>
      </c>
      <c r="H141">
        <v>9.0999999999999998E-2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>
        <f t="shared" si="2"/>
        <v>141</v>
      </c>
      <c r="B142" t="s">
        <v>20</v>
      </c>
      <c r="C142">
        <v>444.26</v>
      </c>
      <c r="D142">
        <v>275.79000000000002</v>
      </c>
      <c r="E142">
        <v>0</v>
      </c>
      <c r="F142">
        <v>0.13939999999999997</v>
      </c>
      <c r="H142">
        <v>0.1024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>
        <f t="shared" si="2"/>
        <v>142</v>
      </c>
      <c r="B143" t="s">
        <v>20</v>
      </c>
      <c r="C143">
        <v>444.26</v>
      </c>
      <c r="D143">
        <v>241.31</v>
      </c>
      <c r="E143">
        <v>0</v>
      </c>
      <c r="F143">
        <v>0.15639999999999998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>
      <c r="A144">
        <f t="shared" si="2"/>
        <v>143</v>
      </c>
      <c r="B144" t="s">
        <v>20</v>
      </c>
      <c r="C144">
        <v>444.26</v>
      </c>
      <c r="D144">
        <v>275.79000000000002</v>
      </c>
      <c r="E144">
        <v>0</v>
      </c>
      <c r="F144">
        <v>0.17520000000000002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>
      <c r="A145">
        <f t="shared" si="2"/>
        <v>144</v>
      </c>
      <c r="B145" t="s">
        <v>20</v>
      </c>
      <c r="C145">
        <v>444.26</v>
      </c>
      <c r="D145">
        <v>310.26</v>
      </c>
      <c r="E145">
        <v>0</v>
      </c>
      <c r="F145">
        <v>0.19389999999999996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>
        <f t="shared" si="2"/>
        <v>145</v>
      </c>
      <c r="B146" t="s">
        <v>20</v>
      </c>
      <c r="C146">
        <v>444.26</v>
      </c>
      <c r="D146">
        <v>344.73</v>
      </c>
      <c r="E146">
        <v>0</v>
      </c>
      <c r="F146">
        <v>0.21360000000000001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f t="shared" si="2"/>
        <v>146</v>
      </c>
      <c r="B147" t="s">
        <v>28</v>
      </c>
      <c r="C147">
        <v>273.14999999999998</v>
      </c>
      <c r="D147">
        <v>1.0189999999999999</v>
      </c>
      <c r="E147">
        <v>0</v>
      </c>
      <c r="G147">
        <v>1.4519999999999999E-3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f t="shared" si="2"/>
        <v>147</v>
      </c>
      <c r="B148" t="s">
        <v>28</v>
      </c>
      <c r="C148">
        <v>274.14999999999998</v>
      </c>
      <c r="D148">
        <v>1.02</v>
      </c>
      <c r="E148">
        <v>0</v>
      </c>
      <c r="G148">
        <v>1.3910000000000001E-3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>
        <f t="shared" si="2"/>
        <v>148</v>
      </c>
      <c r="B149" t="s">
        <v>28</v>
      </c>
      <c r="C149">
        <v>275.14999999999998</v>
      </c>
      <c r="D149">
        <v>1.02</v>
      </c>
      <c r="E149">
        <v>0</v>
      </c>
      <c r="G149">
        <v>1.3320000000000001E-3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>
      <c r="A150">
        <f t="shared" si="2"/>
        <v>149</v>
      </c>
      <c r="B150" t="s">
        <v>28</v>
      </c>
      <c r="C150">
        <v>276.14999999999998</v>
      </c>
      <c r="D150">
        <v>1.0209999999999999</v>
      </c>
      <c r="E150">
        <v>0</v>
      </c>
      <c r="G150">
        <v>1.276E-3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>
        <f t="shared" si="2"/>
        <v>150</v>
      </c>
      <c r="B151" t="s">
        <v>28</v>
      </c>
      <c r="C151">
        <v>277.14999999999998</v>
      </c>
      <c r="D151">
        <v>1.0209999999999999</v>
      </c>
      <c r="E151">
        <v>0</v>
      </c>
      <c r="G151">
        <v>1.2230000000000001E-3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>
      <c r="A152">
        <f t="shared" si="2"/>
        <v>151</v>
      </c>
      <c r="B152" t="s">
        <v>28</v>
      </c>
      <c r="C152">
        <v>278.14999999999998</v>
      </c>
      <c r="D152">
        <v>1.022</v>
      </c>
      <c r="E152">
        <v>0</v>
      </c>
      <c r="G152">
        <v>1.1719999999999999E-3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>
      <c r="A153">
        <f t="shared" si="2"/>
        <v>152</v>
      </c>
      <c r="B153" t="s">
        <v>28</v>
      </c>
      <c r="C153">
        <v>279.14999999999998</v>
      </c>
      <c r="D153">
        <v>1.0229999999999999</v>
      </c>
      <c r="E153">
        <v>0</v>
      </c>
      <c r="G153">
        <v>1.1240000000000002E-3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>
      <c r="A154">
        <f t="shared" si="2"/>
        <v>153</v>
      </c>
      <c r="B154" t="s">
        <v>28</v>
      </c>
      <c r="C154">
        <v>280.14999999999998</v>
      </c>
      <c r="D154">
        <v>1.0229999999999999</v>
      </c>
      <c r="E154">
        <v>0</v>
      </c>
      <c r="G154">
        <v>1.103E-3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>
      <c r="A155">
        <f t="shared" si="2"/>
        <v>154</v>
      </c>
      <c r="B155" t="s">
        <v>28</v>
      </c>
      <c r="C155">
        <v>281.14999999999998</v>
      </c>
      <c r="D155">
        <v>1.024</v>
      </c>
      <c r="E155">
        <v>0</v>
      </c>
      <c r="G155">
        <v>1.036E-3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>
      <c r="A156">
        <f t="shared" si="2"/>
        <v>155</v>
      </c>
      <c r="B156" t="s">
        <v>28</v>
      </c>
      <c r="C156">
        <v>282.14999999999998</v>
      </c>
      <c r="D156">
        <v>1.0249999999999999</v>
      </c>
      <c r="E156">
        <v>0</v>
      </c>
      <c r="G156">
        <v>9.9550000000000007E-4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>
      <c r="A157">
        <f t="shared" si="2"/>
        <v>156</v>
      </c>
      <c r="B157" t="s">
        <v>28</v>
      </c>
      <c r="C157">
        <v>283.14999999999998</v>
      </c>
      <c r="D157">
        <v>1.026</v>
      </c>
      <c r="E157">
        <v>0</v>
      </c>
      <c r="G157">
        <v>9.5809999999999992E-4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>
      <c r="A158">
        <f t="shared" si="2"/>
        <v>157</v>
      </c>
      <c r="B158" t="s">
        <v>28</v>
      </c>
      <c r="C158">
        <v>284.14999999999998</v>
      </c>
      <c r="D158">
        <v>1.0269999999999999</v>
      </c>
      <c r="E158">
        <v>0</v>
      </c>
      <c r="G158">
        <v>9.2330000000000005E-4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>
      <c r="A159">
        <f t="shared" si="2"/>
        <v>158</v>
      </c>
      <c r="B159" t="s">
        <v>28</v>
      </c>
      <c r="C159">
        <v>285.14999999999998</v>
      </c>
      <c r="D159">
        <v>1.028</v>
      </c>
      <c r="E159">
        <v>0</v>
      </c>
      <c r="G159">
        <v>8.9130000000000003E-4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>
      <c r="A160">
        <f t="shared" si="2"/>
        <v>159</v>
      </c>
      <c r="B160" t="s">
        <v>28</v>
      </c>
      <c r="C160">
        <v>286.14999999999998</v>
      </c>
      <c r="D160">
        <v>1.0289999999999999</v>
      </c>
      <c r="E160">
        <v>0</v>
      </c>
      <c r="G160">
        <v>8.6189999999999997E-4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>
      <c r="A161">
        <f t="shared" si="2"/>
        <v>160</v>
      </c>
      <c r="B161" t="s">
        <v>28</v>
      </c>
      <c r="C161">
        <v>287.14999999999998</v>
      </c>
      <c r="D161">
        <v>1.03</v>
      </c>
      <c r="E161">
        <v>0</v>
      </c>
      <c r="G161">
        <v>8.3520000000000003E-4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>
      <c r="A162">
        <f t="shared" si="2"/>
        <v>161</v>
      </c>
      <c r="B162" t="s">
        <v>28</v>
      </c>
      <c r="C162">
        <v>288.14999999999998</v>
      </c>
      <c r="D162">
        <v>1.03</v>
      </c>
      <c r="E162">
        <v>0</v>
      </c>
      <c r="G162">
        <v>8.1089999999999992E-4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>
      <c r="A163">
        <f t="shared" si="2"/>
        <v>162</v>
      </c>
      <c r="B163" t="s">
        <v>28</v>
      </c>
      <c r="C163">
        <v>289.14999999999998</v>
      </c>
      <c r="D163">
        <v>1.0309999999999999</v>
      </c>
      <c r="E163">
        <v>0</v>
      </c>
      <c r="G163">
        <v>7.8990000000000006E-4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>
      <c r="A164">
        <f t="shared" si="2"/>
        <v>163</v>
      </c>
      <c r="B164" t="s">
        <v>28</v>
      </c>
      <c r="C164">
        <v>290.14999999999998</v>
      </c>
      <c r="D164">
        <v>1.0329999999999999</v>
      </c>
      <c r="E164">
        <v>0</v>
      </c>
      <c r="G164">
        <v>7.8120000000000002E-4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>
      <c r="A165">
        <f t="shared" si="2"/>
        <v>164</v>
      </c>
      <c r="B165" t="s">
        <v>28</v>
      </c>
      <c r="C165">
        <v>291.14999999999998</v>
      </c>
      <c r="D165">
        <v>1.034</v>
      </c>
      <c r="E165">
        <v>0</v>
      </c>
      <c r="G165">
        <v>7.5449999999999996E-4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>
      <c r="A166">
        <f t="shared" si="2"/>
        <v>165</v>
      </c>
      <c r="B166" t="s">
        <v>28</v>
      </c>
      <c r="C166">
        <v>292.14999999999998</v>
      </c>
      <c r="D166">
        <v>1.0349999999999999</v>
      </c>
      <c r="E166">
        <v>0</v>
      </c>
      <c r="G166">
        <v>7.4109999999999996E-4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>
      <c r="A167">
        <f t="shared" si="2"/>
        <v>166</v>
      </c>
      <c r="B167" t="s">
        <v>28</v>
      </c>
      <c r="C167">
        <v>293.14999999999998</v>
      </c>
      <c r="D167">
        <v>1.0369999999999999</v>
      </c>
      <c r="E167">
        <v>0</v>
      </c>
      <c r="G167">
        <v>7.3019999999999997E-4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>
      <c r="A168">
        <f t="shared" si="2"/>
        <v>167</v>
      </c>
      <c r="B168" t="s">
        <v>27</v>
      </c>
      <c r="C168">
        <v>277.55</v>
      </c>
      <c r="D168">
        <v>1.022</v>
      </c>
      <c r="E168">
        <v>0</v>
      </c>
      <c r="G168">
        <v>1.188E-3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>
      <c r="A169">
        <f t="shared" si="2"/>
        <v>168</v>
      </c>
      <c r="B169" t="s">
        <v>27</v>
      </c>
      <c r="C169">
        <v>281.55</v>
      </c>
      <c r="D169">
        <v>1.024</v>
      </c>
      <c r="E169">
        <v>0</v>
      </c>
      <c r="G169">
        <v>1.005E-3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>
      <c r="A170">
        <f t="shared" si="2"/>
        <v>169</v>
      </c>
      <c r="B170" t="s">
        <v>27</v>
      </c>
      <c r="C170">
        <v>286.95</v>
      </c>
      <c r="D170">
        <v>1.0289999999999999</v>
      </c>
      <c r="E170">
        <v>0</v>
      </c>
      <c r="G170">
        <v>8.6210000000000008E-4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>
      <c r="A171">
        <f t="shared" si="2"/>
        <v>170</v>
      </c>
      <c r="B171" t="s">
        <v>27</v>
      </c>
      <c r="C171">
        <v>289.25</v>
      </c>
      <c r="D171">
        <v>1.032</v>
      </c>
      <c r="E171">
        <v>0</v>
      </c>
      <c r="G171">
        <v>7.8459999999999999E-4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>
      <c r="A172">
        <f t="shared" si="2"/>
        <v>171</v>
      </c>
      <c r="B172" t="s">
        <v>27</v>
      </c>
      <c r="C172">
        <v>292.25</v>
      </c>
      <c r="D172">
        <v>1.0349999999999999</v>
      </c>
      <c r="E172">
        <v>0</v>
      </c>
      <c r="G172">
        <v>7.2599999999999997E-4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>
      <c r="A173">
        <f t="shared" si="2"/>
        <v>172</v>
      </c>
      <c r="B173" t="s">
        <v>29</v>
      </c>
      <c r="C173">
        <v>295.55</v>
      </c>
      <c r="D173">
        <v>1.04</v>
      </c>
      <c r="E173">
        <v>0</v>
      </c>
      <c r="G173">
        <v>7.0049999999999995E-4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>
      <c r="A174">
        <f t="shared" si="2"/>
        <v>173</v>
      </c>
      <c r="B174" t="s">
        <v>29</v>
      </c>
      <c r="C174">
        <v>288.14999999999998</v>
      </c>
      <c r="D174">
        <v>0.94699999999999995</v>
      </c>
      <c r="E174">
        <v>0</v>
      </c>
      <c r="G174">
        <v>7.6409999999999998E-4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>
      <c r="A175">
        <f t="shared" si="2"/>
        <v>174</v>
      </c>
      <c r="B175" t="s">
        <v>29</v>
      </c>
      <c r="C175">
        <v>288.14999999999998</v>
      </c>
      <c r="D175">
        <v>1.0960000000000001</v>
      </c>
      <c r="E175">
        <v>0</v>
      </c>
      <c r="G175">
        <v>9.4020000000000009E-4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>
      <c r="A176">
        <f t="shared" si="2"/>
        <v>175</v>
      </c>
      <c r="B176" t="s">
        <v>29</v>
      </c>
      <c r="C176">
        <v>288.14999999999998</v>
      </c>
      <c r="D176">
        <v>1.736</v>
      </c>
      <c r="E176">
        <v>0</v>
      </c>
      <c r="G176">
        <v>1.508E-3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>
      <c r="A177">
        <f t="shared" si="2"/>
        <v>176</v>
      </c>
      <c r="B177" t="s">
        <v>29</v>
      </c>
      <c r="C177">
        <v>288.14999999999998</v>
      </c>
      <c r="D177">
        <v>1.9770000000000001</v>
      </c>
      <c r="E177">
        <v>0</v>
      </c>
      <c r="G177">
        <v>1.748E-3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>
      <c r="A178">
        <f t="shared" si="2"/>
        <v>177</v>
      </c>
      <c r="B178" t="s">
        <v>29</v>
      </c>
      <c r="C178">
        <v>288.14999999999998</v>
      </c>
      <c r="D178">
        <v>2.6859999999999999</v>
      </c>
      <c r="E178">
        <v>0</v>
      </c>
      <c r="G178">
        <v>2.3490000000000004E-3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>
      <c r="A179">
        <f t="shared" si="2"/>
        <v>178</v>
      </c>
      <c r="B179" t="s">
        <v>29</v>
      </c>
      <c r="C179">
        <v>288.14999999999998</v>
      </c>
      <c r="D179">
        <v>2.9350000000000001</v>
      </c>
      <c r="E179">
        <v>0</v>
      </c>
      <c r="G179">
        <v>2.5659999999999997E-3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>
      <c r="A180">
        <f t="shared" si="2"/>
        <v>179</v>
      </c>
      <c r="B180" t="s">
        <v>29</v>
      </c>
      <c r="C180">
        <v>288.14999999999998</v>
      </c>
      <c r="D180">
        <v>3.1749999999999998</v>
      </c>
      <c r="E180">
        <v>0</v>
      </c>
      <c r="G180">
        <v>2.8149999999999998E-3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>
      <c r="A181">
        <f t="shared" si="2"/>
        <v>180</v>
      </c>
      <c r="B181" t="s">
        <v>29</v>
      </c>
      <c r="C181">
        <v>288.14999999999998</v>
      </c>
      <c r="D181">
        <v>3.4220000000000002</v>
      </c>
      <c r="E181">
        <v>0</v>
      </c>
      <c r="G181">
        <v>3.0000000000000001E-3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>
      <c r="A182">
        <f t="shared" si="2"/>
        <v>181</v>
      </c>
      <c r="B182" t="s">
        <v>29</v>
      </c>
      <c r="C182">
        <v>288.14999999999998</v>
      </c>
      <c r="D182">
        <v>3.6680000000000001</v>
      </c>
      <c r="E182">
        <v>0</v>
      </c>
      <c r="G182">
        <v>3.2320000000000001E-3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>
      <c r="A183">
        <f t="shared" si="2"/>
        <v>182</v>
      </c>
      <c r="B183" t="s">
        <v>29</v>
      </c>
      <c r="C183">
        <v>288.14999999999998</v>
      </c>
      <c r="D183">
        <v>4.1630000000000003</v>
      </c>
      <c r="E183">
        <v>0</v>
      </c>
      <c r="G183">
        <v>3.6320000000000002E-3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>
      <c r="A184">
        <f t="shared" si="2"/>
        <v>183</v>
      </c>
      <c r="B184" t="s">
        <v>30</v>
      </c>
      <c r="C184">
        <v>310.44</v>
      </c>
      <c r="D184">
        <v>1.006</v>
      </c>
      <c r="E184">
        <v>0</v>
      </c>
      <c r="G184">
        <v>4.5839999999999998E-4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>
      <c r="A185">
        <f t="shared" si="2"/>
        <v>184</v>
      </c>
      <c r="B185" t="s">
        <v>30</v>
      </c>
      <c r="C185">
        <v>373.15</v>
      </c>
      <c r="D185">
        <v>1.871</v>
      </c>
      <c r="E185">
        <v>0</v>
      </c>
      <c r="G185">
        <v>2.0579999999999999E-4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>
      <c r="A186">
        <f t="shared" si="2"/>
        <v>185</v>
      </c>
      <c r="B186" t="s">
        <v>32</v>
      </c>
      <c r="C186">
        <v>273.25</v>
      </c>
      <c r="D186">
        <v>1.0189999999999999</v>
      </c>
      <c r="E186">
        <v>0</v>
      </c>
      <c r="G186">
        <v>1.379E-3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>
      <c r="A187">
        <f t="shared" si="2"/>
        <v>186</v>
      </c>
      <c r="B187" t="s">
        <v>32</v>
      </c>
      <c r="C187">
        <v>276.95</v>
      </c>
      <c r="D187">
        <v>1.0209999999999999</v>
      </c>
      <c r="E187">
        <v>0</v>
      </c>
      <c r="G187">
        <v>1.206E-3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>
      <c r="A188">
        <f t="shared" si="2"/>
        <v>187</v>
      </c>
      <c r="B188" t="s">
        <v>32</v>
      </c>
      <c r="C188">
        <v>279.95</v>
      </c>
      <c r="D188">
        <v>1.0229999999999999</v>
      </c>
      <c r="E188">
        <v>0</v>
      </c>
      <c r="G188">
        <v>1.0839999999999999E-3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>
        <f t="shared" si="2"/>
        <v>188</v>
      </c>
      <c r="B189" t="s">
        <v>32</v>
      </c>
      <c r="C189">
        <v>285.95</v>
      </c>
      <c r="D189">
        <v>1.028</v>
      </c>
      <c r="E189">
        <v>0</v>
      </c>
      <c r="G189">
        <v>8.8869999999999997E-4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>
      <c r="A190">
        <f t="shared" si="2"/>
        <v>189</v>
      </c>
      <c r="B190" t="s">
        <v>32</v>
      </c>
      <c r="C190">
        <v>287.95</v>
      </c>
      <c r="D190">
        <v>1.03</v>
      </c>
      <c r="E190">
        <v>0</v>
      </c>
      <c r="G190">
        <v>8.2810000000000002E-4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>
      <c r="A191">
        <f t="shared" si="2"/>
        <v>190</v>
      </c>
      <c r="B191" t="s">
        <v>32</v>
      </c>
      <c r="C191">
        <v>292.05</v>
      </c>
      <c r="D191">
        <v>1.0349999999999999</v>
      </c>
      <c r="E191">
        <v>0</v>
      </c>
      <c r="G191">
        <v>7.3930000000000003E-4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>
      <c r="A192">
        <f t="shared" si="2"/>
        <v>191</v>
      </c>
      <c r="B192" t="s">
        <v>32</v>
      </c>
      <c r="C192">
        <v>294.35000000000002</v>
      </c>
      <c r="D192">
        <v>1.038</v>
      </c>
      <c r="E192">
        <v>0</v>
      </c>
      <c r="G192">
        <v>6.8860000000000004E-4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>
      <c r="A193">
        <f t="shared" si="2"/>
        <v>192</v>
      </c>
      <c r="B193" t="s">
        <v>32</v>
      </c>
      <c r="C193">
        <v>295.75</v>
      </c>
      <c r="D193">
        <v>1.0409999999999999</v>
      </c>
      <c r="E193">
        <v>0</v>
      </c>
      <c r="G193">
        <v>6.5959999999999999E-4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>
      <c r="A194">
        <f t="shared" si="2"/>
        <v>193</v>
      </c>
      <c r="B194" t="s">
        <v>32</v>
      </c>
      <c r="C194">
        <v>299.35000000000002</v>
      </c>
      <c r="D194">
        <v>1.0469999999999999</v>
      </c>
      <c r="E194">
        <v>0</v>
      </c>
      <c r="G194">
        <v>5.9349999999999995E-4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>
      <c r="A195">
        <f t="shared" si="2"/>
        <v>194</v>
      </c>
      <c r="B195" t="s">
        <v>32</v>
      </c>
      <c r="C195">
        <v>304.25</v>
      </c>
      <c r="D195">
        <v>1.0580000000000001</v>
      </c>
      <c r="E195">
        <v>0</v>
      </c>
      <c r="G195">
        <v>5.2720000000000002E-4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>
      <c r="A196">
        <f t="shared" ref="A196:A259" si="3">A195+1</f>
        <v>195</v>
      </c>
      <c r="B196" t="s">
        <v>32</v>
      </c>
      <c r="C196">
        <v>310.45</v>
      </c>
      <c r="D196">
        <v>1.077</v>
      </c>
      <c r="E196">
        <v>0</v>
      </c>
      <c r="G196">
        <v>4.5839999999999998E-4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>
      <c r="A197">
        <f t="shared" si="3"/>
        <v>196</v>
      </c>
      <c r="B197" t="s">
        <v>32</v>
      </c>
      <c r="C197">
        <v>313.55</v>
      </c>
      <c r="D197">
        <v>1.089</v>
      </c>
      <c r="E197">
        <v>0</v>
      </c>
      <c r="G197">
        <v>4.325E-4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>
      <c r="A198">
        <f t="shared" si="3"/>
        <v>197</v>
      </c>
      <c r="B198" t="s">
        <v>32</v>
      </c>
      <c r="C198">
        <v>317.05</v>
      </c>
      <c r="D198">
        <v>1.1040000000000001</v>
      </c>
      <c r="E198">
        <v>0</v>
      </c>
      <c r="G198">
        <v>4.0049999999999998E-4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>
      <c r="A199">
        <f t="shared" si="3"/>
        <v>198</v>
      </c>
      <c r="B199" t="s">
        <v>32</v>
      </c>
      <c r="C199">
        <v>322.95</v>
      </c>
      <c r="D199">
        <v>1.135</v>
      </c>
      <c r="E199">
        <v>0</v>
      </c>
      <c r="G199">
        <v>3.5879999999999999E-4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>
      <c r="A200">
        <f t="shared" si="3"/>
        <v>199</v>
      </c>
      <c r="B200" t="s">
        <v>32</v>
      </c>
      <c r="C200">
        <v>334.55</v>
      </c>
      <c r="D200">
        <v>1.226</v>
      </c>
      <c r="E200">
        <v>0</v>
      </c>
      <c r="G200">
        <v>2.8889999999999997E-4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>
      <c r="A201">
        <f t="shared" si="3"/>
        <v>200</v>
      </c>
      <c r="B201" t="s">
        <v>33</v>
      </c>
      <c r="C201">
        <v>298.14999999999998</v>
      </c>
      <c r="D201">
        <v>0.99099999999999999</v>
      </c>
      <c r="E201">
        <v>0</v>
      </c>
      <c r="G201">
        <v>5.8900000000000001E-4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>
      <c r="A202">
        <f t="shared" si="3"/>
        <v>201</v>
      </c>
      <c r="B202" t="s">
        <v>33</v>
      </c>
      <c r="C202">
        <v>298.14999999999998</v>
      </c>
      <c r="D202">
        <v>1.0029999999999999</v>
      </c>
      <c r="E202">
        <v>0</v>
      </c>
      <c r="G202">
        <v>5.9699999999999998E-4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>
      <c r="A203">
        <f t="shared" si="3"/>
        <v>202</v>
      </c>
      <c r="B203" t="s">
        <v>33</v>
      </c>
      <c r="C203">
        <v>298.14999999999998</v>
      </c>
      <c r="D203">
        <v>1.0669999999999999</v>
      </c>
      <c r="E203">
        <v>0</v>
      </c>
      <c r="G203">
        <v>6.3299999999999999E-4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>
      <c r="A204">
        <f t="shared" si="3"/>
        <v>203</v>
      </c>
      <c r="B204" t="s">
        <v>33</v>
      </c>
      <c r="C204">
        <v>298.14999999999998</v>
      </c>
      <c r="D204">
        <v>1.121</v>
      </c>
      <c r="E204">
        <v>0</v>
      </c>
      <c r="G204">
        <v>6.6699999999999995E-4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>
      <c r="A205">
        <f t="shared" si="3"/>
        <v>204</v>
      </c>
      <c r="B205" t="s">
        <v>33</v>
      </c>
      <c r="C205">
        <v>298.14999999999998</v>
      </c>
      <c r="D205">
        <v>1.2729999999999999</v>
      </c>
      <c r="E205">
        <v>0</v>
      </c>
      <c r="G205">
        <v>7.5699999999999997E-4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>
      <c r="A206">
        <f t="shared" si="3"/>
        <v>205</v>
      </c>
      <c r="B206" t="s">
        <v>33</v>
      </c>
      <c r="C206">
        <v>298.14999999999998</v>
      </c>
      <c r="D206">
        <v>1.393</v>
      </c>
      <c r="E206">
        <v>0</v>
      </c>
      <c r="G206">
        <v>8.2899999999999998E-4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>
      <c r="A207">
        <f t="shared" si="3"/>
        <v>206</v>
      </c>
      <c r="B207" t="s">
        <v>33</v>
      </c>
      <c r="C207">
        <v>298.14999999999998</v>
      </c>
      <c r="D207">
        <v>1.4179999999999999</v>
      </c>
      <c r="E207">
        <v>0</v>
      </c>
      <c r="G207">
        <v>8.5400000000000005E-4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>
      <c r="A208">
        <f t="shared" si="3"/>
        <v>207</v>
      </c>
      <c r="B208" t="s">
        <v>33</v>
      </c>
      <c r="C208">
        <v>298.14999999999998</v>
      </c>
      <c r="D208">
        <v>1.5369999999999999</v>
      </c>
      <c r="E208">
        <v>0</v>
      </c>
      <c r="G208">
        <v>9.1600000000000004E-4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>
      <c r="A209">
        <f t="shared" si="3"/>
        <v>208</v>
      </c>
      <c r="B209" t="s">
        <v>33</v>
      </c>
      <c r="C209">
        <v>298.14999999999998</v>
      </c>
      <c r="D209">
        <v>1.657</v>
      </c>
      <c r="E209">
        <v>0</v>
      </c>
      <c r="G209">
        <v>9.8799999999999995E-4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>
      <c r="A210">
        <f t="shared" si="3"/>
        <v>209</v>
      </c>
      <c r="B210" t="s">
        <v>33</v>
      </c>
      <c r="C210">
        <v>298.14999999999998</v>
      </c>
      <c r="D210">
        <v>1.8009999999999999</v>
      </c>
      <c r="E210">
        <v>0</v>
      </c>
      <c r="G210">
        <v>1.075E-3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>
      <c r="A211">
        <f t="shared" si="3"/>
        <v>210</v>
      </c>
      <c r="B211" t="s">
        <v>34</v>
      </c>
      <c r="C211">
        <v>293.14999999999998</v>
      </c>
      <c r="D211">
        <v>24.5</v>
      </c>
      <c r="E211">
        <v>0</v>
      </c>
      <c r="G211">
        <v>5.47E-3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>
      <c r="A212">
        <f t="shared" si="3"/>
        <v>211</v>
      </c>
      <c r="B212" t="s">
        <v>34</v>
      </c>
      <c r="C212">
        <v>293.14999999999998</v>
      </c>
      <c r="D212">
        <v>29.4</v>
      </c>
      <c r="E212">
        <v>0</v>
      </c>
      <c r="G212">
        <v>6.0800000000000003E-3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>
      <c r="A213">
        <f t="shared" si="3"/>
        <v>212</v>
      </c>
      <c r="B213" t="s">
        <v>34</v>
      </c>
      <c r="C213">
        <v>293.14999999999998</v>
      </c>
      <c r="D213">
        <v>39.200000000000003</v>
      </c>
      <c r="E213">
        <v>0</v>
      </c>
      <c r="G213">
        <v>6.4900000000000001E-3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>
      <c r="A214">
        <f t="shared" si="3"/>
        <v>213</v>
      </c>
      <c r="B214" t="s">
        <v>34</v>
      </c>
      <c r="C214">
        <v>293.14999999999998</v>
      </c>
      <c r="D214">
        <v>49</v>
      </c>
      <c r="E214">
        <v>0</v>
      </c>
      <c r="G214">
        <v>8.6999999999999994E-3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>
      <c r="A215">
        <f t="shared" si="3"/>
        <v>214</v>
      </c>
      <c r="B215" t="s">
        <v>34</v>
      </c>
      <c r="C215">
        <v>293.14999999999998</v>
      </c>
      <c r="D215">
        <v>53.9</v>
      </c>
      <c r="E215">
        <v>0</v>
      </c>
      <c r="G215">
        <v>9.6200000000000001E-3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>
      <c r="A216">
        <f t="shared" si="3"/>
        <v>215</v>
      </c>
      <c r="B216" t="s">
        <v>34</v>
      </c>
      <c r="C216">
        <v>308.14999999999998</v>
      </c>
      <c r="D216">
        <v>29.4</v>
      </c>
      <c r="E216">
        <v>0</v>
      </c>
      <c r="G216">
        <v>8.2699999999999996E-3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>
      <c r="A217">
        <f t="shared" si="3"/>
        <v>216</v>
      </c>
      <c r="B217" t="s">
        <v>34</v>
      </c>
      <c r="C217">
        <v>308.14999999999998</v>
      </c>
      <c r="D217">
        <v>39.200000000000003</v>
      </c>
      <c r="E217">
        <v>0</v>
      </c>
      <c r="G217">
        <v>1.306E-2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>
      <c r="A218">
        <f t="shared" si="3"/>
        <v>217</v>
      </c>
      <c r="B218" t="s">
        <v>34</v>
      </c>
      <c r="C218">
        <v>308.14999999999998</v>
      </c>
      <c r="D218">
        <v>49</v>
      </c>
      <c r="E218">
        <v>0</v>
      </c>
      <c r="G218">
        <v>1.6039999999999999E-2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>
      <c r="A219">
        <f t="shared" si="3"/>
        <v>218</v>
      </c>
      <c r="B219" t="s">
        <v>34</v>
      </c>
      <c r="C219">
        <v>308.14999999999998</v>
      </c>
      <c r="D219">
        <v>58.8</v>
      </c>
      <c r="E219">
        <v>0</v>
      </c>
      <c r="G219">
        <v>1.43E-2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>
      <c r="A220">
        <f t="shared" si="3"/>
        <v>219</v>
      </c>
      <c r="B220" t="s">
        <v>34</v>
      </c>
      <c r="C220">
        <v>308.14999999999998</v>
      </c>
      <c r="D220">
        <v>68.599999999999994</v>
      </c>
      <c r="E220">
        <v>0</v>
      </c>
      <c r="G220">
        <v>1.8239999999999999E-2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>
      <c r="A221">
        <f t="shared" si="3"/>
        <v>220</v>
      </c>
      <c r="B221" t="s">
        <v>34</v>
      </c>
      <c r="C221">
        <v>308.14999999999998</v>
      </c>
      <c r="D221">
        <v>78.5</v>
      </c>
      <c r="E221">
        <v>0</v>
      </c>
      <c r="G221">
        <v>2.1270000000000001E-2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>
      <c r="A222">
        <f t="shared" si="3"/>
        <v>221</v>
      </c>
      <c r="B222" t="s">
        <v>34</v>
      </c>
      <c r="C222">
        <v>308.14999999999998</v>
      </c>
      <c r="D222">
        <v>29.4</v>
      </c>
      <c r="E222">
        <v>0</v>
      </c>
      <c r="G222">
        <v>8.6199999999999992E-3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>
      <c r="A223">
        <f t="shared" si="3"/>
        <v>222</v>
      </c>
      <c r="B223" t="s">
        <v>34</v>
      </c>
      <c r="C223">
        <v>308.14999999999998</v>
      </c>
      <c r="D223">
        <v>39.200000000000003</v>
      </c>
      <c r="E223">
        <v>0</v>
      </c>
      <c r="G223">
        <v>1.0829999999999999E-2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>
      <c r="A224">
        <f t="shared" si="3"/>
        <v>223</v>
      </c>
      <c r="B224" t="s">
        <v>34</v>
      </c>
      <c r="C224">
        <v>308.14999999999998</v>
      </c>
      <c r="D224">
        <v>49</v>
      </c>
      <c r="E224">
        <v>0</v>
      </c>
      <c r="G224">
        <v>1.3809999999999999E-2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>
      <c r="A225">
        <f t="shared" si="3"/>
        <v>224</v>
      </c>
      <c r="B225" t="s">
        <v>34</v>
      </c>
      <c r="C225">
        <v>308.14999999999998</v>
      </c>
      <c r="D225">
        <v>58.8</v>
      </c>
      <c r="E225">
        <v>0</v>
      </c>
      <c r="G225">
        <v>1.6629999999999999E-2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>
      <c r="A226">
        <f t="shared" si="3"/>
        <v>225</v>
      </c>
      <c r="B226" t="s">
        <v>34</v>
      </c>
      <c r="C226">
        <v>308.14999999999998</v>
      </c>
      <c r="D226">
        <v>68.599999999999994</v>
      </c>
      <c r="E226">
        <v>0</v>
      </c>
      <c r="G226">
        <v>1.968E-2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>
      <c r="A227">
        <f t="shared" si="3"/>
        <v>226</v>
      </c>
      <c r="B227" t="s">
        <v>34</v>
      </c>
      <c r="C227">
        <v>333.15</v>
      </c>
      <c r="D227">
        <v>39.200000000000003</v>
      </c>
      <c r="E227">
        <v>0</v>
      </c>
      <c r="G227">
        <v>7.4000000000000003E-3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>
      <c r="A228">
        <f t="shared" si="3"/>
        <v>227</v>
      </c>
      <c r="B228" t="s">
        <v>34</v>
      </c>
      <c r="C228">
        <v>333.15</v>
      </c>
      <c r="D228">
        <v>49</v>
      </c>
      <c r="E228">
        <v>0</v>
      </c>
      <c r="G228">
        <v>8.3099999999999997E-3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>
      <c r="A229">
        <f t="shared" si="3"/>
        <v>228</v>
      </c>
      <c r="B229" t="s">
        <v>34</v>
      </c>
      <c r="C229">
        <v>333.15</v>
      </c>
      <c r="D229">
        <v>58.8</v>
      </c>
      <c r="E229">
        <v>0</v>
      </c>
      <c r="G229">
        <v>9.8099999999999993E-3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>
      <c r="A230">
        <f t="shared" si="3"/>
        <v>229</v>
      </c>
      <c r="B230" t="s">
        <v>34</v>
      </c>
      <c r="C230">
        <v>333.15</v>
      </c>
      <c r="D230">
        <v>68.599999999999994</v>
      </c>
      <c r="E230">
        <v>0</v>
      </c>
      <c r="G230">
        <v>1.1379999999999999E-2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>
        <f t="shared" si="3"/>
        <v>230</v>
      </c>
      <c r="B231" t="s">
        <v>34</v>
      </c>
      <c r="C231">
        <v>333.15</v>
      </c>
      <c r="D231">
        <v>78.5</v>
      </c>
      <c r="E231">
        <v>0</v>
      </c>
      <c r="G231">
        <v>1.357E-2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>
      <c r="A232">
        <f t="shared" si="3"/>
        <v>231</v>
      </c>
      <c r="B232" t="s">
        <v>34</v>
      </c>
      <c r="C232">
        <v>333.15</v>
      </c>
      <c r="D232">
        <v>88.3</v>
      </c>
      <c r="E232">
        <v>0</v>
      </c>
      <c r="G232">
        <v>1.5350000000000001E-2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>
      <c r="A233">
        <f t="shared" si="3"/>
        <v>232</v>
      </c>
      <c r="B233" t="s">
        <v>34</v>
      </c>
      <c r="C233">
        <v>333.15</v>
      </c>
      <c r="D233">
        <v>98.1</v>
      </c>
      <c r="E233">
        <v>0</v>
      </c>
      <c r="G233">
        <v>1.7639999999999999E-2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>
        <f t="shared" si="3"/>
        <v>233</v>
      </c>
      <c r="B234" t="s">
        <v>34</v>
      </c>
      <c r="C234">
        <v>333.15</v>
      </c>
      <c r="D234">
        <v>107.9</v>
      </c>
      <c r="E234">
        <v>0</v>
      </c>
      <c r="G234">
        <v>1.9429999999999999E-2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>
      <c r="A235">
        <f t="shared" si="3"/>
        <v>234</v>
      </c>
      <c r="B235" t="s">
        <v>34</v>
      </c>
      <c r="C235">
        <v>333.15</v>
      </c>
      <c r="D235">
        <v>117.7</v>
      </c>
      <c r="E235">
        <v>0</v>
      </c>
      <c r="G235">
        <v>2.027E-2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>
      <c r="A236">
        <f t="shared" si="3"/>
        <v>235</v>
      </c>
      <c r="B236" t="s">
        <v>34</v>
      </c>
      <c r="C236">
        <v>333.15</v>
      </c>
      <c r="D236">
        <v>39.200000000000003</v>
      </c>
      <c r="E236">
        <v>0</v>
      </c>
      <c r="G236">
        <v>5.9100000000000003E-3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>
      <c r="A237">
        <f t="shared" si="3"/>
        <v>236</v>
      </c>
      <c r="B237" t="s">
        <v>34</v>
      </c>
      <c r="C237">
        <v>333.15</v>
      </c>
      <c r="D237">
        <v>49</v>
      </c>
      <c r="E237">
        <v>0</v>
      </c>
      <c r="G237">
        <v>8.2500000000000004E-3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>
      <c r="A238">
        <f t="shared" si="3"/>
        <v>237</v>
      </c>
      <c r="B238" t="s">
        <v>34</v>
      </c>
      <c r="C238">
        <v>333.15</v>
      </c>
      <c r="D238">
        <v>58.8</v>
      </c>
      <c r="E238">
        <v>0</v>
      </c>
      <c r="G238">
        <v>9.2999999999999992E-3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>
      <c r="A239">
        <f t="shared" si="3"/>
        <v>238</v>
      </c>
      <c r="B239" t="s">
        <v>34</v>
      </c>
      <c r="C239">
        <v>333.15</v>
      </c>
      <c r="D239">
        <v>68.599999999999994</v>
      </c>
      <c r="E239">
        <v>0</v>
      </c>
      <c r="G239">
        <v>1.0749999999999999E-2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>
      <c r="A240">
        <f t="shared" si="3"/>
        <v>239</v>
      </c>
      <c r="B240" t="s">
        <v>34</v>
      </c>
      <c r="C240">
        <v>333.15</v>
      </c>
      <c r="D240">
        <v>78.5</v>
      </c>
      <c r="E240">
        <v>0</v>
      </c>
      <c r="G240">
        <v>1.391E-2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>
      <c r="A241">
        <f t="shared" si="3"/>
        <v>240</v>
      </c>
      <c r="B241" t="s">
        <v>34</v>
      </c>
      <c r="C241">
        <v>333.15</v>
      </c>
      <c r="D241">
        <v>88.3</v>
      </c>
      <c r="E241">
        <v>0</v>
      </c>
      <c r="G241">
        <v>1.321E-2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>
      <c r="A242">
        <f t="shared" si="3"/>
        <v>241</v>
      </c>
      <c r="B242" t="s">
        <v>34</v>
      </c>
      <c r="C242">
        <v>333.15</v>
      </c>
      <c r="D242">
        <v>98.1</v>
      </c>
      <c r="E242">
        <v>0</v>
      </c>
      <c r="G242">
        <v>1.704E-2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>
        <f t="shared" si="3"/>
        <v>242</v>
      </c>
      <c r="B243" t="s">
        <v>34</v>
      </c>
      <c r="C243">
        <v>333.15</v>
      </c>
      <c r="D243">
        <v>107.9</v>
      </c>
      <c r="E243">
        <v>0</v>
      </c>
      <c r="G243">
        <v>1.7170000000000001E-2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>
      <c r="A244">
        <f t="shared" si="3"/>
        <v>243</v>
      </c>
      <c r="B244" t="s">
        <v>34</v>
      </c>
      <c r="C244">
        <v>333.15</v>
      </c>
      <c r="D244">
        <v>117.7</v>
      </c>
      <c r="E244">
        <v>0</v>
      </c>
      <c r="G244">
        <v>2.0899999999999998E-2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>
      <c r="A245">
        <f t="shared" si="3"/>
        <v>244</v>
      </c>
      <c r="B245" t="s">
        <v>34</v>
      </c>
      <c r="C245">
        <v>375.15</v>
      </c>
      <c r="D245">
        <v>58.8</v>
      </c>
      <c r="E245">
        <v>0</v>
      </c>
      <c r="G245">
        <v>5.5100000000000001E-3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>
      <c r="A246">
        <f t="shared" si="3"/>
        <v>245</v>
      </c>
      <c r="B246" t="s">
        <v>34</v>
      </c>
      <c r="C246">
        <v>375.15</v>
      </c>
      <c r="D246">
        <v>68.599999999999994</v>
      </c>
      <c r="E246">
        <v>0</v>
      </c>
      <c r="G246">
        <v>6.2599999999999999E-3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>
      <c r="A247">
        <f t="shared" si="3"/>
        <v>246</v>
      </c>
      <c r="B247" t="s">
        <v>34</v>
      </c>
      <c r="C247">
        <v>375.15</v>
      </c>
      <c r="D247">
        <v>78.5</v>
      </c>
      <c r="E247">
        <v>0</v>
      </c>
      <c r="G247">
        <v>6.9499999999999996E-3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>
      <c r="A248">
        <f t="shared" si="3"/>
        <v>247</v>
      </c>
      <c r="B248" t="s">
        <v>34</v>
      </c>
      <c r="C248">
        <v>375.15</v>
      </c>
      <c r="D248">
        <v>88.3</v>
      </c>
      <c r="E248">
        <v>0</v>
      </c>
      <c r="G248">
        <v>7.9399999999999991E-3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>
      <c r="A249">
        <f t="shared" si="3"/>
        <v>248</v>
      </c>
      <c r="B249" t="s">
        <v>34</v>
      </c>
      <c r="C249">
        <v>375.15</v>
      </c>
      <c r="D249">
        <v>98.1</v>
      </c>
      <c r="E249">
        <v>0</v>
      </c>
      <c r="G249">
        <v>8.6099999999999996E-3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>
      <c r="A250">
        <f t="shared" si="3"/>
        <v>249</v>
      </c>
      <c r="B250" t="s">
        <v>34</v>
      </c>
      <c r="C250">
        <v>375.15</v>
      </c>
      <c r="D250">
        <v>107.9</v>
      </c>
      <c r="E250">
        <v>0</v>
      </c>
      <c r="G250">
        <v>9.3799999999999994E-3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>
      <c r="A251">
        <f t="shared" si="3"/>
        <v>250</v>
      </c>
      <c r="B251" t="s">
        <v>34</v>
      </c>
      <c r="C251">
        <v>375.15</v>
      </c>
      <c r="D251">
        <v>117.7</v>
      </c>
      <c r="E251">
        <v>0</v>
      </c>
      <c r="G251">
        <v>1.0330000000000001E-2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>
      <c r="A252">
        <f t="shared" si="3"/>
        <v>251</v>
      </c>
      <c r="B252" t="s">
        <v>34</v>
      </c>
      <c r="C252">
        <v>375.15</v>
      </c>
      <c r="D252">
        <v>127.5</v>
      </c>
      <c r="E252">
        <v>0</v>
      </c>
      <c r="G252">
        <v>1.128E-2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>
      <c r="A253">
        <f t="shared" si="3"/>
        <v>252</v>
      </c>
      <c r="B253" t="s">
        <v>34</v>
      </c>
      <c r="C253">
        <v>375.15</v>
      </c>
      <c r="D253">
        <v>137.30000000000001</v>
      </c>
      <c r="E253">
        <v>0</v>
      </c>
      <c r="G253">
        <v>1.2290000000000001E-2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>
      <c r="A254">
        <f t="shared" si="3"/>
        <v>253</v>
      </c>
      <c r="B254" t="s">
        <v>34</v>
      </c>
      <c r="C254">
        <v>375.15</v>
      </c>
      <c r="D254">
        <v>147.1</v>
      </c>
      <c r="E254">
        <v>0</v>
      </c>
      <c r="G254">
        <v>1.2919999999999999E-2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>
      <c r="A255">
        <f t="shared" si="3"/>
        <v>254</v>
      </c>
      <c r="B255" t="s">
        <v>34</v>
      </c>
      <c r="C255">
        <v>375.15</v>
      </c>
      <c r="D255">
        <v>156.9</v>
      </c>
      <c r="E255">
        <v>0</v>
      </c>
      <c r="G255">
        <v>1.3849999999999999E-2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>
      <c r="A256">
        <f t="shared" si="3"/>
        <v>255</v>
      </c>
      <c r="B256" t="s">
        <v>34</v>
      </c>
      <c r="C256">
        <v>375.15</v>
      </c>
      <c r="D256">
        <v>166.7</v>
      </c>
      <c r="E256">
        <v>0</v>
      </c>
      <c r="G256">
        <v>1.4290000000000001E-2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>
      <c r="A257">
        <f t="shared" si="3"/>
        <v>256</v>
      </c>
      <c r="B257" t="s">
        <v>34</v>
      </c>
      <c r="C257">
        <v>375.15</v>
      </c>
      <c r="D257">
        <v>68.599999999999994</v>
      </c>
      <c r="E257">
        <v>0</v>
      </c>
      <c r="G257">
        <v>3.6700000000000001E-3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>
      <c r="A258">
        <f t="shared" si="3"/>
        <v>257</v>
      </c>
      <c r="B258" t="s">
        <v>34</v>
      </c>
      <c r="C258">
        <v>375.15</v>
      </c>
      <c r="D258">
        <v>78.5</v>
      </c>
      <c r="E258">
        <v>0</v>
      </c>
      <c r="G258">
        <v>5.3699999999999998E-3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>
      <c r="A259">
        <f t="shared" si="3"/>
        <v>258</v>
      </c>
      <c r="B259" t="s">
        <v>34</v>
      </c>
      <c r="C259">
        <v>375.15</v>
      </c>
      <c r="D259">
        <v>88.3</v>
      </c>
      <c r="E259">
        <v>0</v>
      </c>
      <c r="G259">
        <v>6.2100000000000002E-3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>
      <c r="A260">
        <f t="shared" ref="A260:A323" si="4">A259+1</f>
        <v>259</v>
      </c>
      <c r="B260" t="s">
        <v>34</v>
      </c>
      <c r="C260">
        <v>375.15</v>
      </c>
      <c r="D260">
        <v>98.1</v>
      </c>
      <c r="E260">
        <v>0</v>
      </c>
      <c r="G260">
        <v>7.1000000000000004E-3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>
      <c r="A261">
        <f t="shared" si="4"/>
        <v>260</v>
      </c>
      <c r="B261" t="s">
        <v>34</v>
      </c>
      <c r="C261">
        <v>375.15</v>
      </c>
      <c r="D261">
        <v>107.9</v>
      </c>
      <c r="E261">
        <v>0</v>
      </c>
      <c r="G261">
        <v>9.3100000000000006E-3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>
      <c r="A262">
        <f t="shared" si="4"/>
        <v>261</v>
      </c>
      <c r="B262" t="s">
        <v>34</v>
      </c>
      <c r="C262">
        <v>375.15</v>
      </c>
      <c r="D262">
        <v>117.7</v>
      </c>
      <c r="E262">
        <v>0</v>
      </c>
      <c r="G262">
        <v>9.0100000000000006E-3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>
      <c r="A263">
        <f t="shared" si="4"/>
        <v>262</v>
      </c>
      <c r="B263" t="s">
        <v>34</v>
      </c>
      <c r="C263">
        <v>375.15</v>
      </c>
      <c r="D263">
        <v>127.5</v>
      </c>
      <c r="E263">
        <v>0</v>
      </c>
      <c r="G263">
        <v>9.6399999999999993E-3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>
      <c r="A264">
        <f t="shared" si="4"/>
        <v>263</v>
      </c>
      <c r="B264" t="s">
        <v>34</v>
      </c>
      <c r="C264">
        <v>375.15</v>
      </c>
      <c r="D264">
        <v>137.30000000000001</v>
      </c>
      <c r="E264">
        <v>0</v>
      </c>
      <c r="G264">
        <v>9.7400000000000004E-3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>
      <c r="A265">
        <f t="shared" si="4"/>
        <v>264</v>
      </c>
      <c r="B265" t="s">
        <v>34</v>
      </c>
      <c r="C265">
        <v>375.15</v>
      </c>
      <c r="D265">
        <v>147.1</v>
      </c>
      <c r="E265">
        <v>0</v>
      </c>
      <c r="G265">
        <v>9.6600000000000002E-3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>
      <c r="A266">
        <f t="shared" si="4"/>
        <v>265</v>
      </c>
      <c r="B266" t="s">
        <v>35</v>
      </c>
      <c r="C266">
        <v>298.14999999999998</v>
      </c>
      <c r="D266">
        <v>0.35099999999999998</v>
      </c>
      <c r="E266">
        <v>0</v>
      </c>
      <c r="G266">
        <v>2.0900000000000001E-4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>
        <f t="shared" si="4"/>
        <v>266</v>
      </c>
      <c r="B267" t="s">
        <v>35</v>
      </c>
      <c r="C267">
        <v>298.14999999999998</v>
      </c>
      <c r="D267">
        <v>0.36099999999999999</v>
      </c>
      <c r="E267">
        <v>0</v>
      </c>
      <c r="G267">
        <v>2.1499999999999999E-4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>
      <c r="A268">
        <f t="shared" si="4"/>
        <v>267</v>
      </c>
      <c r="B268" t="s">
        <v>35</v>
      </c>
      <c r="C268">
        <v>298.14999999999998</v>
      </c>
      <c r="D268">
        <v>0.50900000000000001</v>
      </c>
      <c r="E268">
        <v>0</v>
      </c>
      <c r="G268">
        <v>3.0200000000000002E-4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>
      <c r="A269">
        <f t="shared" si="4"/>
        <v>268</v>
      </c>
      <c r="B269" t="s">
        <v>35</v>
      </c>
      <c r="C269">
        <v>298.14999999999998</v>
      </c>
      <c r="D269">
        <v>0.52300000000000002</v>
      </c>
      <c r="E269">
        <v>0</v>
      </c>
      <c r="G269">
        <v>3.0899999999999998E-4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>
      <c r="A270">
        <f t="shared" si="4"/>
        <v>269</v>
      </c>
      <c r="B270" t="s">
        <v>35</v>
      </c>
      <c r="C270">
        <v>298.14999999999998</v>
      </c>
      <c r="D270">
        <v>0.63900000000000001</v>
      </c>
      <c r="E270">
        <v>0</v>
      </c>
      <c r="G270">
        <v>3.8000000000000002E-4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>
      <c r="A271">
        <f t="shared" si="4"/>
        <v>270</v>
      </c>
      <c r="B271" t="s">
        <v>35</v>
      </c>
      <c r="C271">
        <v>298.14999999999998</v>
      </c>
      <c r="D271">
        <v>0.66</v>
      </c>
      <c r="E271">
        <v>0</v>
      </c>
      <c r="G271">
        <v>3.9199999999999999E-4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>
      <c r="A272">
        <f t="shared" si="4"/>
        <v>271</v>
      </c>
      <c r="B272" t="s">
        <v>35</v>
      </c>
      <c r="C272">
        <v>298.14999999999998</v>
      </c>
      <c r="D272">
        <v>0.86799999999999999</v>
      </c>
      <c r="E272">
        <v>0</v>
      </c>
      <c r="G272">
        <v>5.1599999999999997E-4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>
      <c r="A273">
        <f t="shared" si="4"/>
        <v>272</v>
      </c>
      <c r="B273" t="s">
        <v>35</v>
      </c>
      <c r="C273">
        <v>298.14999999999998</v>
      </c>
      <c r="D273">
        <v>0.88900000000000001</v>
      </c>
      <c r="E273">
        <v>0</v>
      </c>
      <c r="G273">
        <v>5.2899999999999996E-4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>
      <c r="A274">
        <f t="shared" si="4"/>
        <v>273</v>
      </c>
      <c r="B274" t="s">
        <v>35</v>
      </c>
      <c r="C274">
        <v>298.14999999999998</v>
      </c>
      <c r="D274">
        <v>1.0029999999999999</v>
      </c>
      <c r="E274">
        <v>0</v>
      </c>
      <c r="G274">
        <v>5.9699999999999998E-4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>
      <c r="A275">
        <f t="shared" si="4"/>
        <v>274</v>
      </c>
      <c r="B275" t="s">
        <v>35</v>
      </c>
      <c r="C275">
        <v>298.14999999999998</v>
      </c>
      <c r="D275">
        <v>1.024</v>
      </c>
      <c r="E275">
        <v>0</v>
      </c>
      <c r="G275">
        <v>6.0899999999999995E-4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>
      <c r="A276">
        <f t="shared" si="4"/>
        <v>275</v>
      </c>
      <c r="B276" t="s">
        <v>36</v>
      </c>
      <c r="C276">
        <v>293.14999999999998</v>
      </c>
      <c r="D276">
        <v>1.0129999999999999</v>
      </c>
      <c r="E276">
        <v>0</v>
      </c>
      <c r="G276">
        <v>6.6270000000000001E-4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>
      <c r="A277">
        <f t="shared" si="4"/>
        <v>276</v>
      </c>
      <c r="B277" t="s">
        <v>36</v>
      </c>
      <c r="C277">
        <v>295.14999999999998</v>
      </c>
      <c r="D277">
        <v>1.0129999999999999</v>
      </c>
      <c r="E277">
        <v>0</v>
      </c>
      <c r="G277">
        <v>6.3599999999999996E-4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>
      <c r="A278">
        <f t="shared" si="4"/>
        <v>277</v>
      </c>
      <c r="B278" t="s">
        <v>36</v>
      </c>
      <c r="C278">
        <v>297.14999999999998</v>
      </c>
      <c r="D278">
        <v>1.0129999999999999</v>
      </c>
      <c r="E278">
        <v>0</v>
      </c>
      <c r="G278">
        <v>6.0380000000000004E-4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>
      <c r="A279">
        <f t="shared" si="4"/>
        <v>278</v>
      </c>
      <c r="B279" t="s">
        <v>36</v>
      </c>
      <c r="C279">
        <v>299.14999999999998</v>
      </c>
      <c r="D279">
        <v>1.0129999999999999</v>
      </c>
      <c r="E279">
        <v>0</v>
      </c>
      <c r="G279">
        <v>5.7200000000000003E-4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>
      <c r="A280">
        <f t="shared" si="4"/>
        <v>279</v>
      </c>
      <c r="B280" t="s">
        <v>36</v>
      </c>
      <c r="C280">
        <v>301.14999999999998</v>
      </c>
      <c r="D280">
        <v>1.0129999999999999</v>
      </c>
      <c r="E280">
        <v>0</v>
      </c>
      <c r="G280">
        <v>5.4120000000000004E-4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>
      <c r="A281">
        <f t="shared" si="4"/>
        <v>280</v>
      </c>
      <c r="B281" t="s">
        <v>36</v>
      </c>
      <c r="C281">
        <v>303.14999999999998</v>
      </c>
      <c r="D281">
        <v>1.0129999999999999</v>
      </c>
      <c r="E281">
        <v>0</v>
      </c>
      <c r="G281">
        <v>5.1020000000000004E-4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>
      <c r="A282">
        <f t="shared" si="4"/>
        <v>281</v>
      </c>
      <c r="B282" t="s">
        <v>36</v>
      </c>
      <c r="C282">
        <v>305.14999999999998</v>
      </c>
      <c r="D282">
        <v>1.0129999999999999</v>
      </c>
      <c r="E282">
        <v>0</v>
      </c>
      <c r="G282">
        <v>4.795E-4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>
      <c r="A283">
        <f t="shared" si="4"/>
        <v>282</v>
      </c>
      <c r="B283" t="s">
        <v>36</v>
      </c>
      <c r="C283">
        <v>307.14999999999998</v>
      </c>
      <c r="D283">
        <v>1.0129999999999999</v>
      </c>
      <c r="E283">
        <v>0</v>
      </c>
      <c r="G283">
        <v>4.4860000000000001E-4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>
      <c r="A284">
        <f t="shared" si="4"/>
        <v>283</v>
      </c>
      <c r="B284" t="s">
        <v>37</v>
      </c>
      <c r="C284">
        <v>273</v>
      </c>
      <c r="D284">
        <v>10.841774999999998</v>
      </c>
      <c r="E284">
        <v>0</v>
      </c>
      <c r="G284">
        <v>1.332E-2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>
      <c r="A285">
        <f t="shared" si="4"/>
        <v>284</v>
      </c>
      <c r="B285" t="s">
        <v>37</v>
      </c>
      <c r="C285">
        <v>273</v>
      </c>
      <c r="D285">
        <v>15.948555000000001</v>
      </c>
      <c r="E285">
        <v>0</v>
      </c>
      <c r="G285">
        <v>1.8100000000000002E-2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>
      <c r="A286">
        <f t="shared" si="4"/>
        <v>285</v>
      </c>
      <c r="B286" t="s">
        <v>37</v>
      </c>
      <c r="C286">
        <v>273</v>
      </c>
      <c r="D286">
        <v>29.860477499999998</v>
      </c>
      <c r="E286">
        <v>0</v>
      </c>
      <c r="G286">
        <v>2.639E-2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>
      <c r="A287">
        <f t="shared" si="4"/>
        <v>286</v>
      </c>
      <c r="B287" t="s">
        <v>37</v>
      </c>
      <c r="C287">
        <v>298</v>
      </c>
      <c r="D287">
        <v>11.125484999999999</v>
      </c>
      <c r="E287">
        <v>0</v>
      </c>
      <c r="G287">
        <v>6.1700000000000001E-3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>
      <c r="A288">
        <f t="shared" si="4"/>
        <v>287</v>
      </c>
      <c r="B288" t="s">
        <v>37</v>
      </c>
      <c r="C288">
        <v>298</v>
      </c>
      <c r="D288">
        <v>11.176147499999999</v>
      </c>
      <c r="E288">
        <v>0</v>
      </c>
      <c r="G288">
        <v>6.234E-3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>
      <c r="A289">
        <f t="shared" si="4"/>
        <v>288</v>
      </c>
      <c r="B289" t="s">
        <v>37</v>
      </c>
      <c r="C289">
        <v>298</v>
      </c>
      <c r="D289">
        <v>23.223690000000001</v>
      </c>
      <c r="E289">
        <v>0</v>
      </c>
      <c r="G289">
        <v>1.2399E-2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>
      <c r="A290">
        <f t="shared" si="4"/>
        <v>289</v>
      </c>
      <c r="B290" t="s">
        <v>37</v>
      </c>
      <c r="C290">
        <v>298</v>
      </c>
      <c r="D290">
        <v>24.986744999999999</v>
      </c>
      <c r="E290">
        <v>0</v>
      </c>
      <c r="G290">
        <v>1.2714E-2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>
        <f t="shared" si="4"/>
        <v>290</v>
      </c>
      <c r="B291" t="s">
        <v>37</v>
      </c>
      <c r="C291">
        <v>298</v>
      </c>
      <c r="D291">
        <v>25.098202499999999</v>
      </c>
      <c r="E291">
        <v>0</v>
      </c>
      <c r="G291">
        <v>1.2848999999999999E-2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>
      <c r="A292">
        <f t="shared" si="4"/>
        <v>291</v>
      </c>
      <c r="B292" t="s">
        <v>37</v>
      </c>
      <c r="C292">
        <v>298</v>
      </c>
      <c r="D292">
        <v>26.3445</v>
      </c>
      <c r="E292">
        <v>0</v>
      </c>
      <c r="G292">
        <v>1.3427E-2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>
      <c r="A293">
        <f t="shared" si="4"/>
        <v>292</v>
      </c>
      <c r="B293" t="s">
        <v>37</v>
      </c>
      <c r="C293">
        <v>298</v>
      </c>
      <c r="D293">
        <v>31.816049999999997</v>
      </c>
      <c r="E293">
        <v>0</v>
      </c>
      <c r="G293">
        <v>1.5570000000000001E-2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>
      <c r="A294">
        <f t="shared" si="4"/>
        <v>293</v>
      </c>
      <c r="B294" t="s">
        <v>37</v>
      </c>
      <c r="C294">
        <v>298</v>
      </c>
      <c r="D294">
        <v>34.865932499999992</v>
      </c>
      <c r="E294">
        <v>0</v>
      </c>
      <c r="G294">
        <v>1.6619999999999999E-2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>
      <c r="A295">
        <f t="shared" si="4"/>
        <v>294</v>
      </c>
      <c r="B295" t="s">
        <v>37</v>
      </c>
      <c r="C295">
        <v>298</v>
      </c>
      <c r="D295">
        <v>39.344497499999996</v>
      </c>
      <c r="E295">
        <v>0</v>
      </c>
      <c r="G295">
        <v>1.8540999999999998E-2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>
      <c r="A296">
        <f t="shared" si="4"/>
        <v>295</v>
      </c>
      <c r="B296" t="s">
        <v>37</v>
      </c>
      <c r="C296">
        <v>298</v>
      </c>
      <c r="D296">
        <v>39.699134999999998</v>
      </c>
      <c r="E296">
        <v>0</v>
      </c>
      <c r="G296">
        <v>1.8634999999999999E-2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>
      <c r="A297">
        <f t="shared" si="4"/>
        <v>296</v>
      </c>
      <c r="B297" t="s">
        <v>37</v>
      </c>
      <c r="C297">
        <v>298</v>
      </c>
      <c r="D297">
        <v>44.684325000000001</v>
      </c>
      <c r="E297">
        <v>0</v>
      </c>
      <c r="G297">
        <v>2.0378E-2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>
      <c r="A298">
        <f t="shared" si="4"/>
        <v>297</v>
      </c>
      <c r="B298" t="s">
        <v>37</v>
      </c>
      <c r="C298">
        <v>298</v>
      </c>
      <c r="D298">
        <v>45.646912499999999</v>
      </c>
      <c r="E298">
        <v>0</v>
      </c>
      <c r="G298">
        <v>2.0378E-2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>
      <c r="A299">
        <f t="shared" si="4"/>
        <v>298</v>
      </c>
      <c r="B299" t="s">
        <v>37</v>
      </c>
      <c r="C299">
        <v>298</v>
      </c>
      <c r="D299">
        <v>56.843325</v>
      </c>
      <c r="E299">
        <v>0</v>
      </c>
      <c r="G299">
        <v>2.2970000000000001E-2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>
      <c r="A300">
        <f t="shared" si="4"/>
        <v>299</v>
      </c>
      <c r="B300" t="s">
        <v>37</v>
      </c>
      <c r="C300">
        <v>298</v>
      </c>
      <c r="D300">
        <v>63.733424999999997</v>
      </c>
      <c r="E300">
        <v>0</v>
      </c>
      <c r="G300">
        <v>2.4032000000000001E-2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>
      <c r="A301">
        <f t="shared" si="4"/>
        <v>300</v>
      </c>
      <c r="B301" t="s">
        <v>37</v>
      </c>
      <c r="C301">
        <v>323</v>
      </c>
      <c r="D301">
        <v>19.393605000000001</v>
      </c>
      <c r="E301">
        <v>0</v>
      </c>
      <c r="G301">
        <v>6.2300000000000003E-3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>
      <c r="A302">
        <f t="shared" si="4"/>
        <v>301</v>
      </c>
      <c r="B302" t="s">
        <v>37</v>
      </c>
      <c r="C302">
        <v>323</v>
      </c>
      <c r="D302">
        <v>33.011685</v>
      </c>
      <c r="E302">
        <v>0</v>
      </c>
      <c r="G302">
        <v>9.8700000000000003E-3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>
      <c r="A303">
        <f t="shared" si="4"/>
        <v>302</v>
      </c>
      <c r="B303" t="s">
        <v>37</v>
      </c>
      <c r="C303">
        <v>323</v>
      </c>
      <c r="D303">
        <v>33.224467499999996</v>
      </c>
      <c r="E303">
        <v>0</v>
      </c>
      <c r="G303">
        <v>1.0009999999999999E-3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>
      <c r="A304">
        <f t="shared" si="4"/>
        <v>303</v>
      </c>
      <c r="B304" t="s">
        <v>37</v>
      </c>
      <c r="C304">
        <v>323</v>
      </c>
      <c r="D304">
        <v>47.420099999999998</v>
      </c>
      <c r="E304">
        <v>0</v>
      </c>
      <c r="G304">
        <v>1.273E-2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>
      <c r="A305">
        <f t="shared" si="4"/>
        <v>304</v>
      </c>
      <c r="B305" t="s">
        <v>37</v>
      </c>
      <c r="C305">
        <v>323</v>
      </c>
      <c r="D305">
        <v>47.501159999999999</v>
      </c>
      <c r="E305">
        <v>0</v>
      </c>
      <c r="G305">
        <v>1.304E-2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>
      <c r="A306">
        <f t="shared" si="4"/>
        <v>305</v>
      </c>
      <c r="B306" t="s">
        <v>37</v>
      </c>
      <c r="C306">
        <v>323</v>
      </c>
      <c r="D306">
        <v>57.755249999999997</v>
      </c>
      <c r="E306">
        <v>0</v>
      </c>
      <c r="G306">
        <v>1.5233E-2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>
      <c r="A307">
        <f t="shared" si="4"/>
        <v>306</v>
      </c>
      <c r="B307" t="s">
        <v>37</v>
      </c>
      <c r="C307">
        <v>323</v>
      </c>
      <c r="D307">
        <v>61.098974999999996</v>
      </c>
      <c r="E307">
        <v>0</v>
      </c>
      <c r="G307">
        <v>1.5970000000000002E-2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>
        <f t="shared" si="4"/>
        <v>307</v>
      </c>
      <c r="B308" t="s">
        <v>37</v>
      </c>
      <c r="C308">
        <v>323</v>
      </c>
      <c r="D308">
        <v>61.72719</v>
      </c>
      <c r="E308">
        <v>0</v>
      </c>
      <c r="G308">
        <v>1.6166E-2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>
      <c r="A309">
        <f t="shared" si="4"/>
        <v>308</v>
      </c>
      <c r="B309" t="s">
        <v>37</v>
      </c>
      <c r="C309">
        <v>323</v>
      </c>
      <c r="D309">
        <v>61.909575000000004</v>
      </c>
      <c r="E309">
        <v>0</v>
      </c>
      <c r="G309">
        <v>1.6236E-2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>
      <c r="A310">
        <f t="shared" si="4"/>
        <v>309</v>
      </c>
      <c r="B310" t="s">
        <v>37</v>
      </c>
      <c r="C310">
        <v>323</v>
      </c>
      <c r="D310">
        <v>62.8215</v>
      </c>
      <c r="E310">
        <v>0</v>
      </c>
      <c r="G310">
        <v>1.6337999999999998E-2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>
      <c r="A311">
        <f t="shared" si="4"/>
        <v>310</v>
      </c>
      <c r="B311" t="s">
        <v>37</v>
      </c>
      <c r="C311">
        <v>323</v>
      </c>
      <c r="D311">
        <v>74.190164999999993</v>
      </c>
      <c r="E311">
        <v>0</v>
      </c>
      <c r="G311">
        <v>1.7957000000000001E-2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>
      <c r="A312">
        <f t="shared" si="4"/>
        <v>311</v>
      </c>
      <c r="B312" t="s">
        <v>37</v>
      </c>
      <c r="C312">
        <v>323</v>
      </c>
      <c r="D312">
        <v>74.798114999999996</v>
      </c>
      <c r="E312">
        <v>0</v>
      </c>
      <c r="G312">
        <v>1.8487E-2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>
      <c r="A313">
        <f t="shared" si="4"/>
        <v>312</v>
      </c>
      <c r="B313" t="s">
        <v>37</v>
      </c>
      <c r="C313">
        <v>323</v>
      </c>
      <c r="D313">
        <v>75.487124999999992</v>
      </c>
      <c r="E313">
        <v>0</v>
      </c>
      <c r="G313">
        <v>1.8277000000000002E-2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>
      <c r="A314">
        <f t="shared" si="4"/>
        <v>313</v>
      </c>
      <c r="B314" t="s">
        <v>37</v>
      </c>
      <c r="C314">
        <v>323</v>
      </c>
      <c r="D314">
        <v>90.787199999999999</v>
      </c>
      <c r="E314">
        <v>0</v>
      </c>
      <c r="G314">
        <v>2.0611000000000001E-2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f t="shared" si="4"/>
        <v>314</v>
      </c>
      <c r="B315" t="s">
        <v>37</v>
      </c>
      <c r="C315">
        <v>323</v>
      </c>
      <c r="D315">
        <v>92.712374999999994</v>
      </c>
      <c r="E315">
        <v>0</v>
      </c>
      <c r="G315">
        <v>2.0362999999999999E-2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>
        <f t="shared" si="4"/>
        <v>315</v>
      </c>
      <c r="B316" t="s">
        <v>37</v>
      </c>
      <c r="C316">
        <v>323</v>
      </c>
      <c r="D316">
        <v>93.218999999999994</v>
      </c>
      <c r="E316">
        <v>0</v>
      </c>
      <c r="G316">
        <v>2.0503E-2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>
      <c r="A317">
        <f t="shared" si="4"/>
        <v>316</v>
      </c>
      <c r="B317" t="s">
        <v>37</v>
      </c>
      <c r="C317">
        <v>348</v>
      </c>
      <c r="D317">
        <v>19.08963</v>
      </c>
      <c r="E317">
        <v>0</v>
      </c>
      <c r="G317">
        <v>4.4099999999999999E-3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>
      <c r="A318">
        <f t="shared" si="4"/>
        <v>317</v>
      </c>
      <c r="B318" t="s">
        <v>37</v>
      </c>
      <c r="C318">
        <v>348</v>
      </c>
      <c r="D318">
        <v>19.251750000000001</v>
      </c>
      <c r="E318">
        <v>0</v>
      </c>
      <c r="G318">
        <v>4.3400000000000001E-3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>
      <c r="A319">
        <f t="shared" si="4"/>
        <v>318</v>
      </c>
      <c r="B319" t="s">
        <v>37</v>
      </c>
      <c r="C319">
        <v>348</v>
      </c>
      <c r="D319">
        <v>32.667180000000002</v>
      </c>
      <c r="E319">
        <v>0</v>
      </c>
      <c r="G319">
        <v>7.2399999999999999E-3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>
      <c r="A320">
        <f t="shared" si="4"/>
        <v>319</v>
      </c>
      <c r="B320" t="s">
        <v>37</v>
      </c>
      <c r="C320">
        <v>348</v>
      </c>
      <c r="D320">
        <v>33.113010000000003</v>
      </c>
      <c r="E320">
        <v>0</v>
      </c>
      <c r="G320">
        <v>7.2719999999999998E-3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>
      <c r="A321">
        <f t="shared" si="4"/>
        <v>320</v>
      </c>
      <c r="B321" t="s">
        <v>37</v>
      </c>
      <c r="C321">
        <v>348</v>
      </c>
      <c r="D321">
        <v>47.227582499999997</v>
      </c>
      <c r="E321">
        <v>0</v>
      </c>
      <c r="G321">
        <v>9.8300000000000002E-3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>
      <c r="A322">
        <f t="shared" si="4"/>
        <v>321</v>
      </c>
      <c r="B322" t="s">
        <v>37</v>
      </c>
      <c r="C322">
        <v>348</v>
      </c>
      <c r="D322">
        <v>61.068577500000004</v>
      </c>
      <c r="E322">
        <v>0</v>
      </c>
      <c r="G322">
        <v>1.2185E-2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>
      <c r="A323">
        <f t="shared" si="4"/>
        <v>322</v>
      </c>
      <c r="B323" t="s">
        <v>37</v>
      </c>
      <c r="C323">
        <v>348</v>
      </c>
      <c r="D323">
        <v>61.72719</v>
      </c>
      <c r="E323">
        <v>0</v>
      </c>
      <c r="G323">
        <v>1.2043E-2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>
      <c r="A324">
        <f t="shared" ref="A324:A387" si="5">A323+1</f>
        <v>323</v>
      </c>
      <c r="B324" t="s">
        <v>37</v>
      </c>
      <c r="C324">
        <v>348</v>
      </c>
      <c r="D324">
        <v>61.8386475</v>
      </c>
      <c r="E324">
        <v>0</v>
      </c>
      <c r="G324">
        <v>1.2083E-2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>
      <c r="A325">
        <f t="shared" si="5"/>
        <v>324</v>
      </c>
      <c r="B325" t="s">
        <v>37</v>
      </c>
      <c r="C325">
        <v>348</v>
      </c>
      <c r="D325">
        <v>62.031164999999994</v>
      </c>
      <c r="E325">
        <v>0</v>
      </c>
      <c r="G325">
        <v>1.2193000000000001E-2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>
      <c r="A326">
        <f t="shared" si="5"/>
        <v>325</v>
      </c>
      <c r="B326" t="s">
        <v>37</v>
      </c>
      <c r="C326">
        <v>348</v>
      </c>
      <c r="D326">
        <v>76.703024999999997</v>
      </c>
      <c r="E326">
        <v>0</v>
      </c>
      <c r="G326">
        <v>1.4062E-2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>
      <c r="A327">
        <f t="shared" si="5"/>
        <v>326</v>
      </c>
      <c r="B327" t="s">
        <v>37</v>
      </c>
      <c r="C327">
        <v>348</v>
      </c>
      <c r="D327">
        <v>76.956337500000004</v>
      </c>
      <c r="E327">
        <v>0</v>
      </c>
      <c r="G327">
        <v>1.436E-2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>
      <c r="A328">
        <f t="shared" si="5"/>
        <v>327</v>
      </c>
      <c r="B328" t="s">
        <v>37</v>
      </c>
      <c r="C328">
        <v>348</v>
      </c>
      <c r="D328">
        <v>77.361637499999986</v>
      </c>
      <c r="E328">
        <v>0</v>
      </c>
      <c r="G328">
        <v>1.4227E-2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>
      <c r="A329">
        <f t="shared" si="5"/>
        <v>328</v>
      </c>
      <c r="B329" t="s">
        <v>37</v>
      </c>
      <c r="C329">
        <v>348</v>
      </c>
      <c r="D329">
        <v>93.269662499999995</v>
      </c>
      <c r="E329">
        <v>0</v>
      </c>
      <c r="G329">
        <v>1.6063999999999998E-2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>
      <c r="A330">
        <f t="shared" si="5"/>
        <v>329</v>
      </c>
      <c r="B330" t="s">
        <v>37</v>
      </c>
      <c r="C330">
        <v>348</v>
      </c>
      <c r="D330">
        <v>94.455164999999994</v>
      </c>
      <c r="E330">
        <v>0</v>
      </c>
      <c r="G330">
        <v>1.6111E-2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>
      <c r="A331">
        <f t="shared" si="5"/>
        <v>330</v>
      </c>
      <c r="B331" t="s">
        <v>37</v>
      </c>
      <c r="C331">
        <v>373</v>
      </c>
      <c r="D331">
        <v>19.353075</v>
      </c>
      <c r="E331">
        <v>0</v>
      </c>
      <c r="G331">
        <v>3.4770000000000001E-3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>
      <c r="A332">
        <f t="shared" si="5"/>
        <v>331</v>
      </c>
      <c r="B332" t="s">
        <v>37</v>
      </c>
      <c r="C332">
        <v>373</v>
      </c>
      <c r="D332">
        <v>19.5253275</v>
      </c>
      <c r="E332">
        <v>0</v>
      </c>
      <c r="G332">
        <v>3.46E-3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>
      <c r="A333">
        <f t="shared" si="5"/>
        <v>332</v>
      </c>
      <c r="B333" t="s">
        <v>37</v>
      </c>
      <c r="C333">
        <v>373</v>
      </c>
      <c r="D333">
        <v>32.494927500000003</v>
      </c>
      <c r="E333">
        <v>0</v>
      </c>
      <c r="G333">
        <v>5.738E-3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>
      <c r="A334">
        <f t="shared" si="5"/>
        <v>333</v>
      </c>
      <c r="B334" t="s">
        <v>37</v>
      </c>
      <c r="C334">
        <v>373</v>
      </c>
      <c r="D334">
        <v>33.011685</v>
      </c>
      <c r="E334">
        <v>0</v>
      </c>
      <c r="G334">
        <v>5.8979999999999996E-3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>
      <c r="A335">
        <f t="shared" si="5"/>
        <v>334</v>
      </c>
      <c r="B335" t="s">
        <v>37</v>
      </c>
      <c r="C335">
        <v>373</v>
      </c>
      <c r="D335">
        <v>33.1231425</v>
      </c>
      <c r="E335">
        <v>0</v>
      </c>
      <c r="G335">
        <v>5.8199999999999997E-3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>
      <c r="A336">
        <f t="shared" si="5"/>
        <v>335</v>
      </c>
      <c r="B336" t="s">
        <v>37</v>
      </c>
      <c r="C336">
        <v>373</v>
      </c>
      <c r="D336">
        <v>33.214334999999998</v>
      </c>
      <c r="E336">
        <v>0</v>
      </c>
      <c r="G336">
        <v>5.7780000000000001E-3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>
      <c r="A337">
        <f t="shared" si="5"/>
        <v>336</v>
      </c>
      <c r="B337" t="s">
        <v>37</v>
      </c>
      <c r="C337">
        <v>373</v>
      </c>
      <c r="D337">
        <v>46.710825</v>
      </c>
      <c r="E337">
        <v>0</v>
      </c>
      <c r="G337">
        <v>8.0129999999999993E-3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>
      <c r="A338">
        <f t="shared" si="5"/>
        <v>337</v>
      </c>
      <c r="B338" t="s">
        <v>37</v>
      </c>
      <c r="C338">
        <v>373</v>
      </c>
      <c r="D338">
        <v>47.369437499999997</v>
      </c>
      <c r="E338">
        <v>0</v>
      </c>
      <c r="G338">
        <v>8.1300000000000001E-3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>
      <c r="A339">
        <f t="shared" si="5"/>
        <v>338</v>
      </c>
      <c r="B339" t="s">
        <v>37</v>
      </c>
      <c r="C339">
        <v>373</v>
      </c>
      <c r="D339">
        <v>47.511292500000003</v>
      </c>
      <c r="E339">
        <v>0</v>
      </c>
      <c r="G339">
        <v>7.9419999999999994E-3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>
      <c r="A340">
        <f t="shared" si="5"/>
        <v>339</v>
      </c>
      <c r="B340" t="s">
        <v>37</v>
      </c>
      <c r="C340">
        <v>373</v>
      </c>
      <c r="D340">
        <v>61.7575875</v>
      </c>
      <c r="E340">
        <v>0</v>
      </c>
      <c r="G340">
        <v>9.8099999999999993E-3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>
      <c r="A341">
        <f t="shared" si="5"/>
        <v>340</v>
      </c>
      <c r="B341" t="s">
        <v>37</v>
      </c>
      <c r="C341">
        <v>373</v>
      </c>
      <c r="D341">
        <v>62.112224999999995</v>
      </c>
      <c r="E341">
        <v>0</v>
      </c>
      <c r="G341">
        <v>1.0825E-2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>
      <c r="A342">
        <f t="shared" si="5"/>
        <v>341</v>
      </c>
      <c r="B342" t="s">
        <v>37</v>
      </c>
      <c r="C342">
        <v>373</v>
      </c>
      <c r="D342">
        <v>75.993750000000006</v>
      </c>
      <c r="E342">
        <v>0</v>
      </c>
      <c r="G342">
        <v>1.448E-2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>
      <c r="A343">
        <f t="shared" si="5"/>
        <v>342</v>
      </c>
      <c r="B343" t="s">
        <v>37</v>
      </c>
      <c r="C343">
        <v>373</v>
      </c>
      <c r="D343">
        <v>91.192499999999995</v>
      </c>
      <c r="E343">
        <v>0</v>
      </c>
      <c r="G343">
        <v>1.448E-2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>
      <c r="A344">
        <f t="shared" si="5"/>
        <v>343</v>
      </c>
      <c r="B344" t="s">
        <v>38</v>
      </c>
      <c r="C344">
        <v>323.14999999999998</v>
      </c>
      <c r="D344">
        <v>25.33</v>
      </c>
      <c r="E344">
        <v>0</v>
      </c>
      <c r="G344">
        <v>7.7970000000000001E-3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>
      <c r="A345">
        <f t="shared" si="5"/>
        <v>344</v>
      </c>
      <c r="B345" t="s">
        <v>38</v>
      </c>
      <c r="C345">
        <v>323.14999999999998</v>
      </c>
      <c r="D345">
        <v>50.66</v>
      </c>
      <c r="E345">
        <v>0</v>
      </c>
      <c r="G345">
        <v>1.3769999999999999E-2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>
      <c r="A346">
        <f t="shared" si="5"/>
        <v>345</v>
      </c>
      <c r="B346" t="s">
        <v>38</v>
      </c>
      <c r="C346">
        <v>323.14999999999998</v>
      </c>
      <c r="D346">
        <v>75.989999999999995</v>
      </c>
      <c r="E346">
        <v>0</v>
      </c>
      <c r="G346">
        <v>1.7909999999999999E-2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>
      <c r="A347">
        <f t="shared" si="5"/>
        <v>346</v>
      </c>
      <c r="B347" t="s">
        <v>38</v>
      </c>
      <c r="C347">
        <v>323.14999999999998</v>
      </c>
      <c r="D347">
        <v>101.325</v>
      </c>
      <c r="E347">
        <v>0</v>
      </c>
      <c r="G347">
        <v>2.0320000000000001E-2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>
      <c r="A348">
        <f t="shared" si="5"/>
        <v>347</v>
      </c>
      <c r="B348" t="s">
        <v>38</v>
      </c>
      <c r="C348">
        <v>323.14999999999998</v>
      </c>
      <c r="D348">
        <v>126.66</v>
      </c>
      <c r="E348">
        <v>0</v>
      </c>
      <c r="G348">
        <v>2.12E-2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>
      <c r="A349">
        <f t="shared" si="5"/>
        <v>348</v>
      </c>
      <c r="B349" t="s">
        <v>38</v>
      </c>
      <c r="C349">
        <v>323.14999999999998</v>
      </c>
      <c r="D349">
        <v>152</v>
      </c>
      <c r="E349">
        <v>0</v>
      </c>
      <c r="G349">
        <v>2.188E-2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>
      <c r="A350">
        <f t="shared" si="5"/>
        <v>349</v>
      </c>
      <c r="B350" t="s">
        <v>38</v>
      </c>
      <c r="C350">
        <v>323.14999999999998</v>
      </c>
      <c r="D350">
        <v>202.6</v>
      </c>
      <c r="E350">
        <v>0</v>
      </c>
      <c r="G350">
        <v>2.3040000000000001E-2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>
      <c r="A351">
        <f t="shared" si="5"/>
        <v>350</v>
      </c>
      <c r="B351" t="s">
        <v>38</v>
      </c>
      <c r="C351">
        <v>323.14999999999998</v>
      </c>
      <c r="D351">
        <v>304</v>
      </c>
      <c r="E351">
        <v>0</v>
      </c>
      <c r="G351">
        <v>2.4740000000000002E-2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>
      <c r="A352">
        <f t="shared" si="5"/>
        <v>351</v>
      </c>
      <c r="B352" t="s">
        <v>38</v>
      </c>
      <c r="C352">
        <v>323.14999999999998</v>
      </c>
      <c r="D352">
        <v>405.3</v>
      </c>
      <c r="E352">
        <v>0</v>
      </c>
      <c r="G352">
        <v>2.623E-2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>
      <c r="A353">
        <f t="shared" si="5"/>
        <v>352</v>
      </c>
      <c r="B353" t="s">
        <v>38</v>
      </c>
      <c r="C353">
        <v>323.14999999999998</v>
      </c>
      <c r="D353">
        <v>608.9</v>
      </c>
      <c r="E353">
        <v>0</v>
      </c>
      <c r="G353">
        <v>2.887E-2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>
      <c r="A354">
        <f t="shared" si="5"/>
        <v>353</v>
      </c>
      <c r="B354" t="s">
        <v>38</v>
      </c>
      <c r="C354">
        <v>323.14999999999998</v>
      </c>
      <c r="D354">
        <v>709.3</v>
      </c>
      <c r="E354">
        <v>0</v>
      </c>
      <c r="G354">
        <v>3.0089999999999999E-2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>
      <c r="A355">
        <f t="shared" si="5"/>
        <v>354</v>
      </c>
      <c r="B355" t="s">
        <v>38</v>
      </c>
      <c r="C355">
        <v>348.15</v>
      </c>
      <c r="D355">
        <v>25.33</v>
      </c>
      <c r="E355">
        <v>0</v>
      </c>
      <c r="G355">
        <v>5.4850000000000003E-3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>
      <c r="A356">
        <f t="shared" si="5"/>
        <v>355</v>
      </c>
      <c r="B356" t="s">
        <v>38</v>
      </c>
      <c r="C356">
        <v>348.15</v>
      </c>
      <c r="D356">
        <v>50.66</v>
      </c>
      <c r="E356">
        <v>0</v>
      </c>
      <c r="G356">
        <v>1.009E-2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>
      <c r="A357">
        <f t="shared" si="5"/>
        <v>356</v>
      </c>
      <c r="B357" t="s">
        <v>38</v>
      </c>
      <c r="C357">
        <v>348.15</v>
      </c>
      <c r="D357">
        <v>75.989999999999995</v>
      </c>
      <c r="E357">
        <v>0</v>
      </c>
      <c r="G357">
        <v>1.3610000000000001E-2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>
      <c r="A358">
        <f t="shared" si="5"/>
        <v>357</v>
      </c>
      <c r="B358" t="s">
        <v>38</v>
      </c>
      <c r="C358">
        <v>348.15</v>
      </c>
      <c r="D358">
        <v>101.325</v>
      </c>
      <c r="E358">
        <v>0</v>
      </c>
      <c r="G358">
        <v>1.6400000000000001E-2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>
      <c r="A359">
        <f t="shared" si="5"/>
        <v>358</v>
      </c>
      <c r="B359" t="s">
        <v>38</v>
      </c>
      <c r="C359">
        <v>348.15</v>
      </c>
      <c r="D359">
        <v>152</v>
      </c>
      <c r="E359">
        <v>0</v>
      </c>
      <c r="G359">
        <v>1.95E-2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>
      <c r="A360">
        <f t="shared" si="5"/>
        <v>359</v>
      </c>
      <c r="B360" t="s">
        <v>38</v>
      </c>
      <c r="C360">
        <v>348.15</v>
      </c>
      <c r="D360">
        <v>202.6</v>
      </c>
      <c r="E360">
        <v>0</v>
      </c>
      <c r="G360">
        <v>2.112E-2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>
      <c r="A361">
        <f t="shared" si="5"/>
        <v>360</v>
      </c>
      <c r="B361" t="s">
        <v>38</v>
      </c>
      <c r="C361">
        <v>348.15</v>
      </c>
      <c r="D361">
        <v>304</v>
      </c>
      <c r="E361">
        <v>0</v>
      </c>
      <c r="G361">
        <v>2.332E-2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>
      <c r="A362">
        <f t="shared" si="5"/>
        <v>361</v>
      </c>
      <c r="B362" t="s">
        <v>38</v>
      </c>
      <c r="C362">
        <v>348.15</v>
      </c>
      <c r="D362">
        <v>405.4</v>
      </c>
      <c r="E362">
        <v>0</v>
      </c>
      <c r="G362">
        <v>2.5149999999999999E-2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>
      <c r="A363">
        <f t="shared" si="5"/>
        <v>362</v>
      </c>
      <c r="B363" t="s">
        <v>38</v>
      </c>
      <c r="C363">
        <v>348.15</v>
      </c>
      <c r="D363">
        <v>709.3</v>
      </c>
      <c r="E363">
        <v>0</v>
      </c>
      <c r="G363">
        <v>2.9520000000000001E-2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>
      <c r="A364">
        <f t="shared" si="5"/>
        <v>363</v>
      </c>
      <c r="B364" t="s">
        <v>38</v>
      </c>
      <c r="C364">
        <v>373.15</v>
      </c>
      <c r="D364">
        <v>25.33</v>
      </c>
      <c r="E364">
        <v>0</v>
      </c>
      <c r="G364">
        <v>4.3229999999999996E-3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>
      <c r="A365">
        <f t="shared" si="5"/>
        <v>364</v>
      </c>
      <c r="B365" t="s">
        <v>38</v>
      </c>
      <c r="C365">
        <v>373.15</v>
      </c>
      <c r="D365">
        <v>50.66</v>
      </c>
      <c r="E365">
        <v>0</v>
      </c>
      <c r="G365">
        <v>8.1700000000000002E-3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>
      <c r="A366">
        <f t="shared" si="5"/>
        <v>365</v>
      </c>
      <c r="B366" t="s">
        <v>38</v>
      </c>
      <c r="C366">
        <v>373.15</v>
      </c>
      <c r="D366">
        <v>75.989999999999995</v>
      </c>
      <c r="E366">
        <v>0</v>
      </c>
      <c r="G366">
        <v>1.1429999999999999E-2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>
      <c r="A367">
        <f t="shared" si="5"/>
        <v>366</v>
      </c>
      <c r="B367" t="s">
        <v>38</v>
      </c>
      <c r="C367">
        <v>373.15</v>
      </c>
      <c r="D367">
        <v>101.325</v>
      </c>
      <c r="E367">
        <v>0</v>
      </c>
      <c r="G367">
        <v>1.41E-2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>
      <c r="A368">
        <f t="shared" si="5"/>
        <v>367</v>
      </c>
      <c r="B368" t="s">
        <v>38</v>
      </c>
      <c r="C368">
        <v>373.15</v>
      </c>
      <c r="D368">
        <v>152</v>
      </c>
      <c r="E368">
        <v>0</v>
      </c>
      <c r="G368">
        <v>1.806E-2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>
      <c r="A369">
        <f t="shared" si="5"/>
        <v>368</v>
      </c>
      <c r="B369" t="s">
        <v>38</v>
      </c>
      <c r="C369">
        <v>373.15</v>
      </c>
      <c r="D369">
        <v>202.6</v>
      </c>
      <c r="E369">
        <v>0</v>
      </c>
      <c r="G369">
        <v>2.0369999999999999E-2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>
      <c r="A370">
        <f t="shared" si="5"/>
        <v>369</v>
      </c>
      <c r="B370" t="s">
        <v>38</v>
      </c>
      <c r="C370">
        <v>373.15</v>
      </c>
      <c r="D370">
        <v>304</v>
      </c>
      <c r="E370">
        <v>0</v>
      </c>
      <c r="G370">
        <v>2.334E-2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>
      <c r="A371">
        <f t="shared" si="5"/>
        <v>370</v>
      </c>
      <c r="B371" t="s">
        <v>38</v>
      </c>
      <c r="C371">
        <v>373.15</v>
      </c>
      <c r="D371">
        <v>405.3</v>
      </c>
      <c r="E371">
        <v>0</v>
      </c>
      <c r="G371">
        <v>2.554E-2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>
      <c r="A372">
        <f t="shared" si="5"/>
        <v>371</v>
      </c>
      <c r="B372" t="s">
        <v>38</v>
      </c>
      <c r="C372">
        <v>373.15</v>
      </c>
      <c r="D372">
        <v>709.3</v>
      </c>
      <c r="E372">
        <v>0</v>
      </c>
      <c r="G372">
        <v>3.022E-2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>
      <c r="A373">
        <f t="shared" si="5"/>
        <v>372</v>
      </c>
      <c r="B373" t="s">
        <v>39</v>
      </c>
      <c r="C373">
        <v>291.14999999999998</v>
      </c>
      <c r="D373">
        <v>25.33</v>
      </c>
      <c r="E373">
        <v>0</v>
      </c>
      <c r="G373">
        <v>1.554E-2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>
      <c r="A374">
        <f t="shared" si="5"/>
        <v>373</v>
      </c>
      <c r="B374" t="s">
        <v>39</v>
      </c>
      <c r="C374">
        <v>291.14999999999998</v>
      </c>
      <c r="D374">
        <v>50.66</v>
      </c>
      <c r="E374">
        <v>0</v>
      </c>
      <c r="G374">
        <v>2.5270000000000001E-2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>
      <c r="A375">
        <f t="shared" si="5"/>
        <v>374</v>
      </c>
      <c r="B375" t="s">
        <v>39</v>
      </c>
      <c r="C375">
        <v>298.14999999999998</v>
      </c>
      <c r="D375">
        <v>50.66</v>
      </c>
      <c r="E375">
        <v>0</v>
      </c>
      <c r="G375">
        <v>2.1559999999999999E-2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>
      <c r="A376">
        <f t="shared" si="5"/>
        <v>375</v>
      </c>
      <c r="B376" t="s">
        <v>39</v>
      </c>
      <c r="C376">
        <v>304.19</v>
      </c>
      <c r="D376">
        <v>25.33</v>
      </c>
      <c r="E376">
        <v>0</v>
      </c>
      <c r="G376">
        <v>1.1339999999999999E-2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>
      <c r="A377">
        <f t="shared" si="5"/>
        <v>376</v>
      </c>
      <c r="B377" t="s">
        <v>39</v>
      </c>
      <c r="C377">
        <v>304.19</v>
      </c>
      <c r="D377">
        <v>50.66</v>
      </c>
      <c r="E377">
        <v>0</v>
      </c>
      <c r="G377">
        <v>1.917E-2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>
      <c r="A378">
        <f t="shared" si="5"/>
        <v>377</v>
      </c>
      <c r="B378" t="s">
        <v>39</v>
      </c>
      <c r="C378">
        <v>308.14999999999998</v>
      </c>
      <c r="D378">
        <v>25.33</v>
      </c>
      <c r="E378">
        <v>0</v>
      </c>
      <c r="G378">
        <v>1.0370000000000001E-2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>
      <c r="A379">
        <f t="shared" si="5"/>
        <v>378</v>
      </c>
      <c r="B379" t="s">
        <v>39</v>
      </c>
      <c r="C379">
        <v>308.14999999999998</v>
      </c>
      <c r="D379">
        <v>50.66</v>
      </c>
      <c r="E379">
        <v>0</v>
      </c>
      <c r="G379">
        <v>1.7659999999999999E-2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>
      <c r="A380">
        <f t="shared" si="5"/>
        <v>379</v>
      </c>
      <c r="B380" t="s">
        <v>39</v>
      </c>
      <c r="C380">
        <v>308.14999999999998</v>
      </c>
      <c r="D380">
        <v>75.989999999999995</v>
      </c>
      <c r="E380">
        <v>0</v>
      </c>
      <c r="G380">
        <v>2.2030000000000001E-2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>
      <c r="A381">
        <f t="shared" si="5"/>
        <v>380</v>
      </c>
      <c r="B381" t="s">
        <v>39</v>
      </c>
      <c r="C381">
        <v>308.14999999999998</v>
      </c>
      <c r="D381">
        <v>101.33</v>
      </c>
      <c r="E381">
        <v>0</v>
      </c>
      <c r="G381">
        <v>2.3029999999999998E-2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>
      <c r="A382">
        <f t="shared" si="5"/>
        <v>381</v>
      </c>
      <c r="B382" t="s">
        <v>39</v>
      </c>
      <c r="C382">
        <v>308.14999999999998</v>
      </c>
      <c r="D382">
        <v>152</v>
      </c>
      <c r="E382">
        <v>0</v>
      </c>
      <c r="G382">
        <v>2.41E-2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>
      <c r="A383">
        <f t="shared" si="5"/>
        <v>382</v>
      </c>
      <c r="B383" t="s">
        <v>39</v>
      </c>
      <c r="C383">
        <v>308.14999999999998</v>
      </c>
      <c r="D383">
        <v>202.6</v>
      </c>
      <c r="E383">
        <v>0</v>
      </c>
      <c r="G383">
        <v>2.511E-2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>
      <c r="A384">
        <f t="shared" si="5"/>
        <v>383</v>
      </c>
      <c r="B384" t="s">
        <v>39</v>
      </c>
      <c r="C384">
        <v>308.14999999999998</v>
      </c>
      <c r="D384">
        <v>405.3</v>
      </c>
      <c r="E384">
        <v>0</v>
      </c>
      <c r="G384">
        <v>2.81E-2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>
      <c r="A385">
        <f t="shared" si="5"/>
        <v>384</v>
      </c>
      <c r="B385" t="s">
        <v>39</v>
      </c>
      <c r="C385">
        <v>308.14999999999998</v>
      </c>
      <c r="D385">
        <v>506.6</v>
      </c>
      <c r="E385">
        <v>0</v>
      </c>
      <c r="G385">
        <v>2.9829999999999999E-2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>
      <c r="A386">
        <f t="shared" si="5"/>
        <v>385</v>
      </c>
      <c r="B386" t="s">
        <v>39</v>
      </c>
      <c r="C386">
        <v>313.14999999999998</v>
      </c>
      <c r="D386">
        <v>25.33</v>
      </c>
      <c r="E386">
        <v>0</v>
      </c>
      <c r="G386">
        <v>9.3159999999999996E-3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>
        <f t="shared" si="5"/>
        <v>386</v>
      </c>
      <c r="B387" t="s">
        <v>39</v>
      </c>
      <c r="C387">
        <v>313.14999999999998</v>
      </c>
      <c r="D387">
        <v>50.66</v>
      </c>
      <c r="E387">
        <v>0</v>
      </c>
      <c r="G387">
        <v>1.6199999999999999E-2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>
        <f t="shared" ref="A388:A451" si="6">A387+1</f>
        <v>387</v>
      </c>
      <c r="B388" t="s">
        <v>39</v>
      </c>
      <c r="C388">
        <v>313.14999999999998</v>
      </c>
      <c r="D388">
        <v>75.989999999999995</v>
      </c>
      <c r="E388">
        <v>0</v>
      </c>
      <c r="G388">
        <v>2.0459999999999999E-2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>
        <f t="shared" si="6"/>
        <v>388</v>
      </c>
      <c r="B389" t="s">
        <v>39</v>
      </c>
      <c r="C389">
        <v>313.14999999999998</v>
      </c>
      <c r="D389">
        <v>101.33</v>
      </c>
      <c r="E389">
        <v>0</v>
      </c>
      <c r="G389">
        <v>2.2009999999999998E-2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>
      <c r="A390">
        <f t="shared" si="6"/>
        <v>389</v>
      </c>
      <c r="B390" t="s">
        <v>39</v>
      </c>
      <c r="C390">
        <v>313.14999999999998</v>
      </c>
      <c r="D390">
        <v>126.7</v>
      </c>
      <c r="E390">
        <v>0</v>
      </c>
      <c r="G390">
        <v>2.2710000000000001E-2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>
      <c r="A391">
        <f t="shared" si="6"/>
        <v>390</v>
      </c>
      <c r="B391" t="s">
        <v>39</v>
      </c>
      <c r="C391">
        <v>313.14999999999998</v>
      </c>
      <c r="D391">
        <v>152</v>
      </c>
      <c r="E391">
        <v>0</v>
      </c>
      <c r="G391">
        <v>2.3230000000000001E-2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>
      <c r="A392">
        <f t="shared" si="6"/>
        <v>391</v>
      </c>
      <c r="B392" t="s">
        <v>39</v>
      </c>
      <c r="C392">
        <v>313.14999999999998</v>
      </c>
      <c r="D392">
        <v>202.6</v>
      </c>
      <c r="E392">
        <v>0</v>
      </c>
      <c r="G392">
        <v>2.504E-2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>
      <c r="A393">
        <f t="shared" si="6"/>
        <v>392</v>
      </c>
      <c r="B393" t="s">
        <v>39</v>
      </c>
      <c r="C393">
        <v>313.14999999999998</v>
      </c>
      <c r="D393">
        <v>405.3</v>
      </c>
      <c r="E393">
        <v>0</v>
      </c>
      <c r="G393">
        <v>2.7439999999999999E-2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>
      <c r="A394">
        <f t="shared" si="6"/>
        <v>393</v>
      </c>
      <c r="B394" t="s">
        <v>39</v>
      </c>
      <c r="C394">
        <v>313.14999999999998</v>
      </c>
      <c r="D394">
        <v>506.6</v>
      </c>
      <c r="E394">
        <v>0</v>
      </c>
      <c r="G394">
        <v>2.887E-2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>
      <c r="A395">
        <f t="shared" si="6"/>
        <v>394</v>
      </c>
      <c r="B395" t="s">
        <v>40</v>
      </c>
      <c r="C395">
        <v>298.14999999999998</v>
      </c>
      <c r="D395">
        <v>1.01325</v>
      </c>
      <c r="E395">
        <v>0</v>
      </c>
      <c r="F395">
        <v>2.7820472662020035E-2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>
      <c r="A396">
        <f t="shared" si="6"/>
        <v>395</v>
      </c>
      <c r="B396" t="s">
        <v>40</v>
      </c>
      <c r="C396">
        <v>298.14999999999998</v>
      </c>
      <c r="D396">
        <v>25.331250000000001</v>
      </c>
      <c r="E396">
        <v>0</v>
      </c>
      <c r="F396">
        <v>1.6396511288065115E-3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>
      <c r="A397">
        <f t="shared" si="6"/>
        <v>396</v>
      </c>
      <c r="B397" t="s">
        <v>40</v>
      </c>
      <c r="C397">
        <v>298.14999999999998</v>
      </c>
      <c r="D397">
        <v>50.662500000000001</v>
      </c>
      <c r="E397">
        <v>0</v>
      </c>
      <c r="F397">
        <v>1.2922958105745824E-3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>
      <c r="A398">
        <f t="shared" si="6"/>
        <v>397</v>
      </c>
      <c r="B398" t="s">
        <v>40</v>
      </c>
      <c r="C398">
        <v>298.14999999999998</v>
      </c>
      <c r="D398">
        <v>101.325</v>
      </c>
      <c r="E398">
        <v>0</v>
      </c>
      <c r="F398">
        <v>3.3110147626044212E-3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>
      <c r="A399">
        <f t="shared" si="6"/>
        <v>398</v>
      </c>
      <c r="B399" t="s">
        <v>40</v>
      </c>
      <c r="C399">
        <v>298.14999999999998</v>
      </c>
      <c r="D399">
        <v>151.98750000000001</v>
      </c>
      <c r="E399">
        <v>0</v>
      </c>
      <c r="F399">
        <v>3.5828549921562143E-3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>
      <c r="A400">
        <f t="shared" si="6"/>
        <v>399</v>
      </c>
      <c r="B400" t="s">
        <v>40</v>
      </c>
      <c r="C400">
        <v>298.14999999999998</v>
      </c>
      <c r="D400">
        <v>202.65</v>
      </c>
      <c r="E400">
        <v>0</v>
      </c>
      <c r="F400">
        <v>3.755767036200286E-3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>
      <c r="A401">
        <f t="shared" si="6"/>
        <v>400</v>
      </c>
      <c r="B401" t="s">
        <v>40</v>
      </c>
      <c r="C401">
        <v>298.14999999999998</v>
      </c>
      <c r="D401">
        <v>455.96249999999998</v>
      </c>
      <c r="E401">
        <v>0</v>
      </c>
      <c r="F401">
        <v>3.9903374154444081E-3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>
      <c r="A402">
        <f t="shared" si="6"/>
        <v>401</v>
      </c>
      <c r="B402" t="s">
        <v>40</v>
      </c>
      <c r="C402">
        <v>298.14999999999998</v>
      </c>
      <c r="D402">
        <v>481.29374999999999</v>
      </c>
      <c r="E402">
        <v>0</v>
      </c>
      <c r="F402">
        <v>3.9779943599297747E-3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>
      <c r="A403">
        <f t="shared" si="6"/>
        <v>402</v>
      </c>
      <c r="B403" t="s">
        <v>40</v>
      </c>
      <c r="C403">
        <v>298.14999999999998</v>
      </c>
      <c r="D403">
        <v>506.625</v>
      </c>
      <c r="E403">
        <v>0</v>
      </c>
      <c r="F403">
        <v>3.9533073311094416E-3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>
      <c r="A404">
        <f t="shared" si="6"/>
        <v>403</v>
      </c>
      <c r="B404" t="s">
        <v>40</v>
      </c>
      <c r="C404">
        <v>304.19</v>
      </c>
      <c r="D404">
        <v>1.01325</v>
      </c>
      <c r="E404">
        <v>0</v>
      </c>
      <c r="F404">
        <v>3.8289910199358651E-2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>
      <c r="A405">
        <f t="shared" si="6"/>
        <v>404</v>
      </c>
      <c r="B405" t="s">
        <v>40</v>
      </c>
      <c r="C405">
        <v>304.19</v>
      </c>
      <c r="D405">
        <v>25.331250000000001</v>
      </c>
      <c r="E405">
        <v>0</v>
      </c>
      <c r="F405">
        <v>2.2717135671828713E-3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>
      <c r="A406">
        <f t="shared" si="6"/>
        <v>405</v>
      </c>
      <c r="B406" t="s">
        <v>40</v>
      </c>
      <c r="C406">
        <v>304.19</v>
      </c>
      <c r="D406">
        <v>50.662500000000001</v>
      </c>
      <c r="E406">
        <v>0</v>
      </c>
      <c r="F406">
        <v>1.6024460452533395E-3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>
      <c r="A407">
        <f t="shared" si="6"/>
        <v>406</v>
      </c>
      <c r="B407" t="s">
        <v>40</v>
      </c>
      <c r="C407">
        <v>304.19</v>
      </c>
      <c r="D407">
        <v>101.325</v>
      </c>
      <c r="E407">
        <v>0</v>
      </c>
      <c r="F407">
        <v>3.6322645577610943E-3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>
      <c r="A408">
        <f t="shared" si="6"/>
        <v>407</v>
      </c>
      <c r="B408" t="s">
        <v>40</v>
      </c>
      <c r="C408">
        <v>304.19</v>
      </c>
      <c r="D408">
        <v>202.65</v>
      </c>
      <c r="E408">
        <v>0</v>
      </c>
      <c r="F408">
        <v>4.1877847069445549E-3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>
      <c r="A409">
        <f t="shared" si="6"/>
        <v>408</v>
      </c>
      <c r="B409" t="s">
        <v>40</v>
      </c>
      <c r="C409">
        <v>304.19</v>
      </c>
      <c r="D409">
        <v>405.3</v>
      </c>
      <c r="E409">
        <v>0</v>
      </c>
      <c r="F409">
        <v>4.7426857460121288E-3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>
      <c r="A410">
        <f t="shared" si="6"/>
        <v>409</v>
      </c>
      <c r="B410" t="s">
        <v>40</v>
      </c>
      <c r="C410">
        <v>304.19</v>
      </c>
      <c r="D410">
        <v>506.625</v>
      </c>
      <c r="E410">
        <v>0</v>
      </c>
      <c r="F410">
        <v>4.7796571611619185E-3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>
        <f t="shared" si="6"/>
        <v>410</v>
      </c>
      <c r="B411" t="s">
        <v>40</v>
      </c>
      <c r="C411">
        <v>304.19</v>
      </c>
      <c r="D411">
        <v>531.95624999999995</v>
      </c>
      <c r="E411">
        <v>0</v>
      </c>
      <c r="F411">
        <v>4.7303613305323478E-3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>
      <c r="A412">
        <f t="shared" si="6"/>
        <v>411</v>
      </c>
      <c r="B412" t="s">
        <v>40</v>
      </c>
      <c r="C412">
        <v>304.19</v>
      </c>
      <c r="D412">
        <v>557.28750000000002</v>
      </c>
      <c r="E412">
        <v>0</v>
      </c>
      <c r="F412">
        <v>4.7550098562694253E-3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>
      <c r="A413">
        <f t="shared" si="6"/>
        <v>412</v>
      </c>
      <c r="B413" t="s">
        <v>40</v>
      </c>
      <c r="C413">
        <v>323.14999999999998</v>
      </c>
      <c r="D413">
        <v>1.01325</v>
      </c>
      <c r="E413">
        <v>0</v>
      </c>
      <c r="F413">
        <v>0.10371022736541179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>
      <c r="A414">
        <f t="shared" si="6"/>
        <v>413</v>
      </c>
      <c r="B414" t="s">
        <v>40</v>
      </c>
      <c r="C414">
        <v>323.14999999999998</v>
      </c>
      <c r="D414">
        <v>25.331250000000001</v>
      </c>
      <c r="E414">
        <v>0</v>
      </c>
      <c r="F414">
        <v>6.1579605620342114E-3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>
      <c r="A415">
        <f t="shared" si="6"/>
        <v>414</v>
      </c>
      <c r="B415" t="s">
        <v>40</v>
      </c>
      <c r="C415">
        <v>323.14999999999998</v>
      </c>
      <c r="D415">
        <v>50.662500000000001</v>
      </c>
      <c r="E415">
        <v>0</v>
      </c>
      <c r="F415">
        <v>3.8175067947814733E-3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>
      <c r="A416">
        <f t="shared" si="6"/>
        <v>415</v>
      </c>
      <c r="B416" t="s">
        <v>40</v>
      </c>
      <c r="C416">
        <v>323.14999999999998</v>
      </c>
      <c r="D416">
        <v>60.795000000000002</v>
      </c>
      <c r="E416">
        <v>0</v>
      </c>
      <c r="F416">
        <v>3.5581483716544847E-3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>
      <c r="A417">
        <f t="shared" si="6"/>
        <v>416</v>
      </c>
      <c r="B417" t="s">
        <v>40</v>
      </c>
      <c r="C417">
        <v>323.14999999999998</v>
      </c>
      <c r="D417">
        <v>75.993750000000006</v>
      </c>
      <c r="E417">
        <v>0</v>
      </c>
      <c r="F417">
        <v>3.4840211582584544E-3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>
      <c r="A418">
        <f t="shared" si="6"/>
        <v>417</v>
      </c>
      <c r="B418" t="s">
        <v>40</v>
      </c>
      <c r="C418">
        <v>323.14999999999998</v>
      </c>
      <c r="D418">
        <v>101.325</v>
      </c>
      <c r="E418">
        <v>0</v>
      </c>
      <c r="F418">
        <v>4.4714780789766361E-3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>
      <c r="A419">
        <f t="shared" si="6"/>
        <v>418</v>
      </c>
      <c r="B419" t="s">
        <v>40</v>
      </c>
      <c r="C419">
        <v>323.14999999999998</v>
      </c>
      <c r="D419">
        <v>151.98750000000001</v>
      </c>
      <c r="E419">
        <v>0</v>
      </c>
      <c r="F419">
        <v>6.0596369386326709E-3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>
      <c r="A420">
        <f t="shared" si="6"/>
        <v>419</v>
      </c>
      <c r="B420" t="s">
        <v>40</v>
      </c>
      <c r="C420">
        <v>323.14999999999998</v>
      </c>
      <c r="D420">
        <v>202.65</v>
      </c>
      <c r="E420">
        <v>0</v>
      </c>
      <c r="F420">
        <v>6.7229441024357567E-3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>
      <c r="A421">
        <f t="shared" si="6"/>
        <v>420</v>
      </c>
      <c r="B421" t="s">
        <v>40</v>
      </c>
      <c r="C421">
        <v>323.14999999999998</v>
      </c>
      <c r="D421">
        <v>405.3</v>
      </c>
      <c r="E421">
        <v>0</v>
      </c>
      <c r="F421">
        <v>7.5324515550289212E-3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>
      <c r="A422">
        <f t="shared" si="6"/>
        <v>421</v>
      </c>
      <c r="B422" t="s">
        <v>40</v>
      </c>
      <c r="C422">
        <v>323.14999999999998</v>
      </c>
      <c r="D422">
        <v>607.95000000000005</v>
      </c>
      <c r="E422">
        <v>0</v>
      </c>
      <c r="F422">
        <v>7.8632335181373914E-3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>
      <c r="A423">
        <f t="shared" si="6"/>
        <v>422</v>
      </c>
      <c r="B423" t="s">
        <v>40</v>
      </c>
      <c r="C423">
        <v>323.14999999999998</v>
      </c>
      <c r="D423">
        <v>709.27499999999998</v>
      </c>
      <c r="E423">
        <v>0</v>
      </c>
      <c r="F423">
        <v>7.9489558150861624E-3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>
      <c r="A424">
        <f t="shared" si="6"/>
        <v>423</v>
      </c>
      <c r="B424" t="s">
        <v>40</v>
      </c>
      <c r="C424">
        <v>348.15</v>
      </c>
      <c r="D424">
        <v>1.01325</v>
      </c>
      <c r="E424">
        <v>0</v>
      </c>
      <c r="F424">
        <v>0.23141744147474388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>
      <c r="A425">
        <f t="shared" si="6"/>
        <v>424</v>
      </c>
      <c r="B425" t="s">
        <v>40</v>
      </c>
      <c r="C425">
        <v>348.15</v>
      </c>
      <c r="D425">
        <v>25.331250000000001</v>
      </c>
      <c r="E425">
        <v>0</v>
      </c>
      <c r="F425">
        <v>1.0525936039743453E-2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>
      <c r="A426">
        <f t="shared" si="6"/>
        <v>425</v>
      </c>
      <c r="B426" t="s">
        <v>40</v>
      </c>
      <c r="C426">
        <v>348.15</v>
      </c>
      <c r="D426">
        <v>101.325</v>
      </c>
      <c r="E426">
        <v>0</v>
      </c>
      <c r="F426">
        <v>8.2182723382082969E-3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>
      <c r="A427">
        <f t="shared" si="6"/>
        <v>426</v>
      </c>
      <c r="B427" t="s">
        <v>40</v>
      </c>
      <c r="C427">
        <v>348.15</v>
      </c>
      <c r="D427">
        <v>111.4575</v>
      </c>
      <c r="E427">
        <v>0</v>
      </c>
      <c r="F427">
        <v>8.0469060177532775E-3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>
      <c r="A428">
        <f t="shared" si="6"/>
        <v>427</v>
      </c>
      <c r="B428" t="s">
        <v>40</v>
      </c>
      <c r="C428">
        <v>348.15</v>
      </c>
      <c r="D428">
        <v>126.65625</v>
      </c>
      <c r="E428">
        <v>0</v>
      </c>
      <c r="F428">
        <v>8.4752108302460043E-3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>
      <c r="A429">
        <f t="shared" si="6"/>
        <v>428</v>
      </c>
      <c r="B429" t="s">
        <v>40</v>
      </c>
      <c r="C429">
        <v>348.15</v>
      </c>
      <c r="D429">
        <v>151.98750000000001</v>
      </c>
      <c r="E429">
        <v>0</v>
      </c>
      <c r="F429">
        <v>9.4650134801510105E-3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>
      <c r="A430">
        <f t="shared" si="6"/>
        <v>429</v>
      </c>
      <c r="B430" t="s">
        <v>40</v>
      </c>
      <c r="C430">
        <v>348.15</v>
      </c>
      <c r="D430">
        <v>202.65</v>
      </c>
      <c r="E430">
        <v>0</v>
      </c>
      <c r="F430">
        <v>1.1195462510454878E-2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>
      <c r="A431">
        <f t="shared" si="6"/>
        <v>430</v>
      </c>
      <c r="B431" t="s">
        <v>40</v>
      </c>
      <c r="C431">
        <v>348.15</v>
      </c>
      <c r="D431">
        <v>405.3</v>
      </c>
      <c r="E431">
        <v>0</v>
      </c>
      <c r="F431">
        <v>1.3016847052313622E-2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>
      <c r="A432">
        <f t="shared" si="6"/>
        <v>431</v>
      </c>
      <c r="B432" t="s">
        <v>40</v>
      </c>
      <c r="C432">
        <v>348.15</v>
      </c>
      <c r="D432">
        <v>607.95000000000005</v>
      </c>
      <c r="E432">
        <v>0</v>
      </c>
      <c r="F432">
        <v>1.3743523450969797E-2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>
      <c r="A433">
        <f t="shared" si="6"/>
        <v>432</v>
      </c>
      <c r="B433" t="s">
        <v>40</v>
      </c>
      <c r="C433">
        <v>348.15</v>
      </c>
      <c r="D433">
        <v>709.27499999999998</v>
      </c>
      <c r="E433">
        <v>0</v>
      </c>
      <c r="F433">
        <v>1.3804031519809346E-2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>
      <c r="A434">
        <f t="shared" si="6"/>
        <v>433</v>
      </c>
      <c r="B434" t="s">
        <v>48</v>
      </c>
      <c r="C434">
        <v>374.15</v>
      </c>
      <c r="D434">
        <v>623.14874999999995</v>
      </c>
      <c r="E434">
        <v>0</v>
      </c>
      <c r="G434">
        <v>2.8199999999999999E-2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>
      <c r="A435">
        <f t="shared" si="6"/>
        <v>434</v>
      </c>
      <c r="B435" t="s">
        <v>48</v>
      </c>
      <c r="C435">
        <v>374.15</v>
      </c>
      <c r="D435">
        <v>565.39350000000002</v>
      </c>
      <c r="E435">
        <v>0</v>
      </c>
      <c r="G435">
        <v>2.7799999999999998E-2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>
      <c r="A436">
        <f t="shared" si="6"/>
        <v>435</v>
      </c>
      <c r="B436" t="s">
        <v>48</v>
      </c>
      <c r="C436">
        <v>374.15</v>
      </c>
      <c r="D436">
        <v>524.86350000000004</v>
      </c>
      <c r="E436">
        <v>0</v>
      </c>
      <c r="G436">
        <v>2.6599999999999999E-2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>
      <c r="A437">
        <f t="shared" si="6"/>
        <v>436</v>
      </c>
      <c r="B437" t="s">
        <v>48</v>
      </c>
      <c r="C437">
        <v>374.15</v>
      </c>
      <c r="D437">
        <v>457.98899999999998</v>
      </c>
      <c r="E437">
        <v>0</v>
      </c>
      <c r="G437">
        <v>2.5100000000000001E-2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>
      <c r="A438">
        <f t="shared" si="6"/>
        <v>437</v>
      </c>
      <c r="B438" t="s">
        <v>48</v>
      </c>
      <c r="C438">
        <v>374.15</v>
      </c>
      <c r="D438">
        <v>448.86975000000001</v>
      </c>
      <c r="E438">
        <v>0</v>
      </c>
      <c r="G438">
        <v>2.53E-2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>
      <c r="A439">
        <f t="shared" si="6"/>
        <v>438</v>
      </c>
      <c r="B439" t="s">
        <v>48</v>
      </c>
      <c r="C439">
        <v>374.15</v>
      </c>
      <c r="D439">
        <v>329.30624999999998</v>
      </c>
      <c r="E439">
        <v>0</v>
      </c>
      <c r="G439">
        <v>2.3099999999999999E-2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>
      <c r="A440">
        <f t="shared" si="6"/>
        <v>439</v>
      </c>
      <c r="B440" t="s">
        <v>48</v>
      </c>
      <c r="C440">
        <v>374.15</v>
      </c>
      <c r="D440">
        <v>324.24</v>
      </c>
      <c r="E440">
        <v>0</v>
      </c>
      <c r="G440">
        <v>2.3300000000000001E-2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>
      <c r="A441">
        <f t="shared" si="6"/>
        <v>440</v>
      </c>
      <c r="B441" t="s">
        <v>48</v>
      </c>
      <c r="C441">
        <v>374.15</v>
      </c>
      <c r="D441">
        <v>202.65</v>
      </c>
      <c r="E441">
        <v>0</v>
      </c>
      <c r="G441">
        <v>2.2100000000000002E-2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>
      <c r="A442">
        <f t="shared" si="6"/>
        <v>441</v>
      </c>
      <c r="B442" t="s">
        <v>48</v>
      </c>
      <c r="C442">
        <v>374.15</v>
      </c>
      <c r="D442">
        <v>286.74975000000001</v>
      </c>
      <c r="E442">
        <v>0</v>
      </c>
      <c r="G442">
        <v>2.23E-2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>
      <c r="A443">
        <f t="shared" si="6"/>
        <v>442</v>
      </c>
      <c r="B443" t="s">
        <v>48</v>
      </c>
      <c r="C443">
        <v>374.15</v>
      </c>
      <c r="D443">
        <v>214.809</v>
      </c>
      <c r="E443">
        <v>0</v>
      </c>
      <c r="G443">
        <v>2.07E-2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>
      <c r="A444">
        <f t="shared" si="6"/>
        <v>443</v>
      </c>
      <c r="B444" t="s">
        <v>48</v>
      </c>
      <c r="C444">
        <v>374.15</v>
      </c>
      <c r="D444">
        <v>212.7825</v>
      </c>
      <c r="E444">
        <v>0</v>
      </c>
      <c r="G444">
        <v>2.0500000000000001E-2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>
      <c r="A445">
        <f t="shared" si="6"/>
        <v>444</v>
      </c>
      <c r="B445" t="s">
        <v>48</v>
      </c>
      <c r="C445">
        <v>374.15</v>
      </c>
      <c r="D445">
        <v>110.44425</v>
      </c>
      <c r="E445">
        <v>0</v>
      </c>
      <c r="G445">
        <v>1.5299999999999999E-2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>
      <c r="A446">
        <f t="shared" si="6"/>
        <v>445</v>
      </c>
      <c r="B446" t="s">
        <v>48</v>
      </c>
      <c r="C446">
        <v>374.15</v>
      </c>
      <c r="D446">
        <v>108.41775</v>
      </c>
      <c r="E446">
        <v>0</v>
      </c>
      <c r="G446">
        <v>1.4999999999999999E-2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>
      <c r="A447">
        <f t="shared" si="6"/>
        <v>446</v>
      </c>
      <c r="B447" t="s">
        <v>48</v>
      </c>
      <c r="C447">
        <v>374.15</v>
      </c>
      <c r="D447">
        <v>57.755249999999997</v>
      </c>
      <c r="E447">
        <v>0</v>
      </c>
      <c r="G447">
        <v>1.0800000000000001E-2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>
      <c r="A448">
        <f t="shared" si="6"/>
        <v>447</v>
      </c>
      <c r="B448" t="s">
        <v>48</v>
      </c>
      <c r="C448">
        <v>393.15</v>
      </c>
      <c r="D448">
        <v>628.21500000000003</v>
      </c>
      <c r="E448">
        <v>1.0123180057696113</v>
      </c>
      <c r="G448">
        <v>1.9199999999999998E-2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>
      <c r="A449">
        <f t="shared" si="6"/>
        <v>448</v>
      </c>
      <c r="B449" t="s">
        <v>48</v>
      </c>
      <c r="C449">
        <v>393.15</v>
      </c>
      <c r="D449">
        <v>592.75125000000003</v>
      </c>
      <c r="E449">
        <v>1.0123180057696113</v>
      </c>
      <c r="G449">
        <v>1.84E-2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>
      <c r="A450">
        <f t="shared" si="6"/>
        <v>449</v>
      </c>
      <c r="B450" t="s">
        <v>48</v>
      </c>
      <c r="C450">
        <v>393.15</v>
      </c>
      <c r="D450">
        <v>451.90949999999998</v>
      </c>
      <c r="E450">
        <v>1.0123180057696113</v>
      </c>
      <c r="G450">
        <v>1.6799999999999999E-2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>
      <c r="A451">
        <f t="shared" si="6"/>
        <v>450</v>
      </c>
      <c r="B451" t="s">
        <v>48</v>
      </c>
      <c r="C451">
        <v>393.15</v>
      </c>
      <c r="D451">
        <v>431.64449999999999</v>
      </c>
      <c r="E451">
        <v>1.0123180057696113</v>
      </c>
      <c r="G451">
        <v>1.7000000000000001E-2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>
      <c r="A452">
        <f t="shared" ref="A452:A515" si="7">A451+1</f>
        <v>451</v>
      </c>
      <c r="B452" t="s">
        <v>48</v>
      </c>
      <c r="C452">
        <v>393.15</v>
      </c>
      <c r="D452">
        <v>332.346</v>
      </c>
      <c r="E452">
        <v>1.0123180057696113</v>
      </c>
      <c r="G452">
        <v>1.5800000000000002E-2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>
      <c r="A453">
        <f t="shared" si="7"/>
        <v>452</v>
      </c>
      <c r="B453" t="s">
        <v>48</v>
      </c>
      <c r="C453">
        <v>393.15</v>
      </c>
      <c r="D453">
        <v>314.10750000000002</v>
      </c>
      <c r="E453">
        <v>1.0123180057696113</v>
      </c>
      <c r="G453">
        <v>1.54E-2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>
      <c r="A454">
        <f t="shared" si="7"/>
        <v>453</v>
      </c>
      <c r="B454" t="s">
        <v>48</v>
      </c>
      <c r="C454">
        <v>393.15</v>
      </c>
      <c r="D454">
        <v>165.15975</v>
      </c>
      <c r="E454">
        <v>1.0123180057696113</v>
      </c>
      <c r="G454">
        <v>1.3299999999999999E-2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>
      <c r="A455">
        <f t="shared" si="7"/>
        <v>454</v>
      </c>
      <c r="B455" t="s">
        <v>48</v>
      </c>
      <c r="C455">
        <v>393.15</v>
      </c>
      <c r="D455">
        <v>164.1465</v>
      </c>
      <c r="E455">
        <v>1.0123180057696113</v>
      </c>
      <c r="G455">
        <v>1.3299999999999999E-2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>
      <c r="A456">
        <f t="shared" si="7"/>
        <v>455</v>
      </c>
      <c r="B456" t="s">
        <v>48</v>
      </c>
      <c r="C456">
        <v>393.15</v>
      </c>
      <c r="D456">
        <v>63.83475</v>
      </c>
      <c r="E456">
        <v>1.0123180057696113</v>
      </c>
      <c r="G456">
        <v>8.3000000000000001E-3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>
      <c r="A457">
        <f t="shared" si="7"/>
        <v>456</v>
      </c>
      <c r="B457" t="s">
        <v>48</v>
      </c>
      <c r="C457">
        <v>393.15</v>
      </c>
      <c r="D457">
        <v>62.8215</v>
      </c>
      <c r="E457">
        <v>1.0123180057696113</v>
      </c>
      <c r="G457">
        <v>8.0999999999999996E-3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>
      <c r="A458">
        <f t="shared" si="7"/>
        <v>457</v>
      </c>
      <c r="B458" t="s">
        <v>48</v>
      </c>
      <c r="C458">
        <v>393.15</v>
      </c>
      <c r="D458">
        <v>16.212</v>
      </c>
      <c r="E458">
        <v>1.0123180057696113</v>
      </c>
      <c r="G458">
        <v>2.7000000000000001E-3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>
      <c r="A459">
        <f t="shared" si="7"/>
        <v>458</v>
      </c>
      <c r="B459" t="s">
        <v>48</v>
      </c>
      <c r="C459">
        <v>393.15</v>
      </c>
      <c r="D459">
        <v>16.212</v>
      </c>
      <c r="E459">
        <v>1.0123180057696113</v>
      </c>
      <c r="G459">
        <v>2.5999999999999999E-3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>
      <c r="A460">
        <f t="shared" si="7"/>
        <v>459</v>
      </c>
      <c r="B460" t="s">
        <v>48</v>
      </c>
      <c r="C460">
        <v>348.65</v>
      </c>
      <c r="D460">
        <v>628.21500000000003</v>
      </c>
      <c r="E460">
        <v>1.0123180057696113</v>
      </c>
      <c r="G460">
        <v>1.9199999999999998E-2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>
      <c r="A461">
        <f t="shared" si="7"/>
        <v>460</v>
      </c>
      <c r="B461" t="s">
        <v>48</v>
      </c>
      <c r="C461">
        <v>348.65</v>
      </c>
      <c r="D461">
        <v>592.75125000000003</v>
      </c>
      <c r="E461">
        <v>1.0123180057696113</v>
      </c>
      <c r="G461">
        <v>1.84E-2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>
      <c r="A462">
        <f t="shared" si="7"/>
        <v>461</v>
      </c>
      <c r="B462" t="s">
        <v>48</v>
      </c>
      <c r="C462">
        <v>348.65</v>
      </c>
      <c r="D462">
        <v>451.90949999999998</v>
      </c>
      <c r="E462">
        <v>1.0123180057696113</v>
      </c>
      <c r="G462">
        <v>1.6799999999999999E-2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>
      <c r="A463">
        <f t="shared" si="7"/>
        <v>462</v>
      </c>
      <c r="B463" t="s">
        <v>48</v>
      </c>
      <c r="C463">
        <v>348.65</v>
      </c>
      <c r="D463">
        <v>431.64449999999999</v>
      </c>
      <c r="E463">
        <v>1.0123180057696113</v>
      </c>
      <c r="G463">
        <v>1.7000000000000001E-2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>
      <c r="A464">
        <f t="shared" si="7"/>
        <v>463</v>
      </c>
      <c r="B464" t="s">
        <v>48</v>
      </c>
      <c r="C464">
        <v>348.65</v>
      </c>
      <c r="D464">
        <v>332.346</v>
      </c>
      <c r="E464">
        <v>1.0123180057696113</v>
      </c>
      <c r="G464">
        <v>1.5800000000000002E-2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>
      <c r="A465">
        <f t="shared" si="7"/>
        <v>464</v>
      </c>
      <c r="B465" t="s">
        <v>48</v>
      </c>
      <c r="C465">
        <v>348.65</v>
      </c>
      <c r="D465">
        <v>314.10750000000002</v>
      </c>
      <c r="E465">
        <v>1.0123180057696113</v>
      </c>
      <c r="G465">
        <v>1.54E-2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>
      <c r="A466">
        <f t="shared" si="7"/>
        <v>465</v>
      </c>
      <c r="B466" t="s">
        <v>48</v>
      </c>
      <c r="C466">
        <v>348.65</v>
      </c>
      <c r="D466">
        <v>165.15975</v>
      </c>
      <c r="E466">
        <v>1.0123180057696113</v>
      </c>
      <c r="G466">
        <v>1.3299999999999999E-2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>
      <c r="A467">
        <f t="shared" si="7"/>
        <v>466</v>
      </c>
      <c r="B467" t="s">
        <v>48</v>
      </c>
      <c r="C467">
        <v>348.65</v>
      </c>
      <c r="D467">
        <v>164.1465</v>
      </c>
      <c r="E467">
        <v>1.0123180057696113</v>
      </c>
      <c r="G467">
        <v>1.3299999999999999E-2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>
      <c r="A468">
        <f t="shared" si="7"/>
        <v>467</v>
      </c>
      <c r="B468" t="s">
        <v>48</v>
      </c>
      <c r="C468">
        <v>348.65</v>
      </c>
      <c r="D468">
        <v>63.83475</v>
      </c>
      <c r="E468">
        <v>1.0123180057696113</v>
      </c>
      <c r="G468">
        <v>8.3000000000000001E-3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>
      <c r="A469">
        <f t="shared" si="7"/>
        <v>468</v>
      </c>
      <c r="B469" t="s">
        <v>48</v>
      </c>
      <c r="C469">
        <v>348.65</v>
      </c>
      <c r="D469">
        <v>62.8215</v>
      </c>
      <c r="E469">
        <v>1.0123180057696113</v>
      </c>
      <c r="G469">
        <v>8.0999999999999996E-3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>
      <c r="A470">
        <f t="shared" si="7"/>
        <v>469</v>
      </c>
      <c r="B470" t="s">
        <v>48</v>
      </c>
      <c r="C470">
        <v>348.65</v>
      </c>
      <c r="D470">
        <v>16.212</v>
      </c>
      <c r="E470">
        <v>1.0123180057696113</v>
      </c>
      <c r="G470">
        <v>2.7000000000000001E-3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>
      <c r="A471">
        <f t="shared" si="7"/>
        <v>470</v>
      </c>
      <c r="B471" t="s">
        <v>48</v>
      </c>
      <c r="C471">
        <v>348.65</v>
      </c>
      <c r="D471">
        <v>16.212</v>
      </c>
      <c r="E471">
        <v>1.0123180057696113</v>
      </c>
      <c r="G471">
        <v>2.5999999999999999E-3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>
      <c r="A472">
        <f t="shared" si="7"/>
        <v>471</v>
      </c>
      <c r="B472" t="s">
        <v>48</v>
      </c>
      <c r="C472">
        <v>374.15</v>
      </c>
      <c r="D472">
        <v>626.18849999999998</v>
      </c>
      <c r="E472">
        <v>1.0123180057696113</v>
      </c>
      <c r="G472">
        <v>1.8599999999999998E-2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>
      <c r="A473">
        <f t="shared" si="7"/>
        <v>472</v>
      </c>
      <c r="B473" t="s">
        <v>48</v>
      </c>
      <c r="C473">
        <v>374.15</v>
      </c>
      <c r="D473">
        <v>582.61874999999998</v>
      </c>
      <c r="E473">
        <v>1.0123180057696113</v>
      </c>
      <c r="G473">
        <v>1.8499999999999999E-2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>
      <c r="A474">
        <f t="shared" si="7"/>
        <v>473</v>
      </c>
      <c r="B474" t="s">
        <v>48</v>
      </c>
      <c r="C474">
        <v>374.15</v>
      </c>
      <c r="D474">
        <v>506.625</v>
      </c>
      <c r="E474">
        <v>1.0123180057696113</v>
      </c>
      <c r="G474">
        <v>1.7399999999999999E-2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>
      <c r="A475">
        <f t="shared" si="7"/>
        <v>474</v>
      </c>
      <c r="B475" t="s">
        <v>48</v>
      </c>
      <c r="C475">
        <v>374.15</v>
      </c>
      <c r="D475">
        <v>399.22050000000002</v>
      </c>
      <c r="E475">
        <v>1.0123180057696113</v>
      </c>
      <c r="G475">
        <v>1.6799999999999999E-2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>
      <c r="A476">
        <f t="shared" si="7"/>
        <v>475</v>
      </c>
      <c r="B476" t="s">
        <v>48</v>
      </c>
      <c r="C476">
        <v>374.15</v>
      </c>
      <c r="D476">
        <v>385.03499999999997</v>
      </c>
      <c r="E476">
        <v>1.0123180057696113</v>
      </c>
      <c r="G476">
        <v>1.6500000000000001E-2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>
      <c r="A477">
        <f t="shared" si="7"/>
        <v>476</v>
      </c>
      <c r="B477" t="s">
        <v>48</v>
      </c>
      <c r="C477">
        <v>374.15</v>
      </c>
      <c r="D477">
        <v>356.66399999999999</v>
      </c>
      <c r="E477">
        <v>1.0123180057696113</v>
      </c>
      <c r="G477">
        <v>1.5900000000000001E-2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>
      <c r="A478">
        <f t="shared" si="7"/>
        <v>477</v>
      </c>
      <c r="B478" t="s">
        <v>48</v>
      </c>
      <c r="C478">
        <v>374.15</v>
      </c>
      <c r="D478">
        <v>351.59775000000002</v>
      </c>
      <c r="E478">
        <v>1.0123180057696113</v>
      </c>
      <c r="G478">
        <v>1.6199999999999999E-2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>
      <c r="A479">
        <f t="shared" si="7"/>
        <v>478</v>
      </c>
      <c r="B479" t="s">
        <v>48</v>
      </c>
      <c r="C479">
        <v>374.15</v>
      </c>
      <c r="D479">
        <v>289.78949999999998</v>
      </c>
      <c r="E479">
        <v>1.0123180057696113</v>
      </c>
      <c r="G479">
        <v>1.52E-2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>
      <c r="A480">
        <f t="shared" si="7"/>
        <v>479</v>
      </c>
      <c r="B480" t="s">
        <v>48</v>
      </c>
      <c r="C480">
        <v>374.15</v>
      </c>
      <c r="D480">
        <v>289.78949999999998</v>
      </c>
      <c r="E480">
        <v>1.0123180057696113</v>
      </c>
      <c r="G480">
        <v>1.47E-2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>
      <c r="A481">
        <f t="shared" si="7"/>
        <v>480</v>
      </c>
      <c r="B481" t="s">
        <v>48</v>
      </c>
      <c r="C481">
        <v>374.15</v>
      </c>
      <c r="D481">
        <v>215.82225</v>
      </c>
      <c r="E481">
        <v>1.0123180057696113</v>
      </c>
      <c r="G481">
        <v>1.4E-2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>
      <c r="A482">
        <f t="shared" si="7"/>
        <v>481</v>
      </c>
      <c r="B482" t="s">
        <v>48</v>
      </c>
      <c r="C482">
        <v>374.15</v>
      </c>
      <c r="D482">
        <v>215.82225</v>
      </c>
      <c r="E482">
        <v>1.0123180057696113</v>
      </c>
      <c r="G482">
        <v>1.35E-2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>
      <c r="A483">
        <f t="shared" si="7"/>
        <v>482</v>
      </c>
      <c r="B483" t="s">
        <v>48</v>
      </c>
      <c r="C483">
        <v>374.15</v>
      </c>
      <c r="D483">
        <v>121.59</v>
      </c>
      <c r="E483">
        <v>1.0123180057696113</v>
      </c>
      <c r="G483">
        <v>1.1299999999999999E-2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>
      <c r="A484">
        <f t="shared" si="7"/>
        <v>483</v>
      </c>
      <c r="B484" t="s">
        <v>48</v>
      </c>
      <c r="C484">
        <v>374.15</v>
      </c>
      <c r="D484">
        <v>121.59</v>
      </c>
      <c r="E484">
        <v>1.0123180057696113</v>
      </c>
      <c r="G484">
        <v>1.12E-2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>
      <c r="A485">
        <f t="shared" si="7"/>
        <v>484</v>
      </c>
      <c r="B485" t="s">
        <v>48</v>
      </c>
      <c r="C485">
        <v>374.15</v>
      </c>
      <c r="D485">
        <v>56.741999999999997</v>
      </c>
      <c r="E485">
        <v>1.0123180057696113</v>
      </c>
      <c r="G485">
        <v>8.0999999999999996E-3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>
      <c r="A486">
        <f t="shared" si="7"/>
        <v>485</v>
      </c>
      <c r="B486" t="s">
        <v>48</v>
      </c>
      <c r="C486">
        <v>374.15</v>
      </c>
      <c r="D486">
        <v>17.225249999999999</v>
      </c>
      <c r="E486">
        <v>1.0123180057696113</v>
      </c>
      <c r="G486">
        <v>2.2000000000000001E-3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>
      <c r="A487">
        <f t="shared" si="7"/>
        <v>486</v>
      </c>
      <c r="B487" t="s">
        <v>48</v>
      </c>
      <c r="C487">
        <v>374.15</v>
      </c>
      <c r="D487">
        <v>17.225249999999999</v>
      </c>
      <c r="E487">
        <v>1.0123180057696113</v>
      </c>
      <c r="G487">
        <v>2.0999999999999999E-3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>
      <c r="A488">
        <f t="shared" si="7"/>
        <v>487</v>
      </c>
      <c r="B488" t="s">
        <v>48</v>
      </c>
      <c r="C488">
        <v>394.15</v>
      </c>
      <c r="D488">
        <v>712.31475</v>
      </c>
      <c r="E488">
        <v>1.0123180057696113</v>
      </c>
      <c r="G488">
        <v>1.9300000000000001E-2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>
      <c r="A489">
        <f t="shared" si="7"/>
        <v>488</v>
      </c>
      <c r="B489" t="s">
        <v>48</v>
      </c>
      <c r="C489">
        <v>394.15</v>
      </c>
      <c r="D489">
        <v>629.22825</v>
      </c>
      <c r="E489">
        <v>1.0123180057696113</v>
      </c>
      <c r="G489">
        <v>1.8100000000000002E-2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>
      <c r="A490">
        <f t="shared" si="7"/>
        <v>489</v>
      </c>
      <c r="B490" t="s">
        <v>48</v>
      </c>
      <c r="C490">
        <v>394.15</v>
      </c>
      <c r="D490">
        <v>592.75125000000003</v>
      </c>
      <c r="E490">
        <v>1.0123180057696113</v>
      </c>
      <c r="G490">
        <v>1.84E-2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>
      <c r="A491">
        <f t="shared" si="7"/>
        <v>490</v>
      </c>
      <c r="B491" t="s">
        <v>48</v>
      </c>
      <c r="C491">
        <v>394.15</v>
      </c>
      <c r="D491">
        <v>466.09499999999997</v>
      </c>
      <c r="E491">
        <v>1.0123180057696113</v>
      </c>
      <c r="G491">
        <v>1.67E-2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>
      <c r="A492">
        <f t="shared" si="7"/>
        <v>491</v>
      </c>
      <c r="B492" t="s">
        <v>48</v>
      </c>
      <c r="C492">
        <v>394.15</v>
      </c>
      <c r="D492">
        <v>442.79025000000001</v>
      </c>
      <c r="E492">
        <v>1.0123180057696113</v>
      </c>
      <c r="G492">
        <v>1.6799999999999999E-2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>
      <c r="A493">
        <f t="shared" si="7"/>
        <v>492</v>
      </c>
      <c r="B493" t="s">
        <v>48</v>
      </c>
      <c r="C493">
        <v>394.15</v>
      </c>
      <c r="D493">
        <v>303.97500000000002</v>
      </c>
      <c r="E493">
        <v>1.0123180057696113</v>
      </c>
      <c r="G493">
        <v>1.4800000000000001E-2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>
      <c r="A494">
        <f t="shared" si="7"/>
        <v>493</v>
      </c>
      <c r="B494" t="s">
        <v>48</v>
      </c>
      <c r="C494">
        <v>394.15</v>
      </c>
      <c r="D494">
        <v>300.93525</v>
      </c>
      <c r="E494">
        <v>1.0123180057696113</v>
      </c>
      <c r="G494">
        <v>1.4800000000000001E-2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>
      <c r="A495">
        <f t="shared" si="7"/>
        <v>494</v>
      </c>
      <c r="B495" t="s">
        <v>48</v>
      </c>
      <c r="C495">
        <v>394.15</v>
      </c>
      <c r="D495">
        <v>155.02725000000001</v>
      </c>
      <c r="E495">
        <v>1.0123180057696113</v>
      </c>
      <c r="G495">
        <v>1.11E-2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>
      <c r="A496">
        <f t="shared" si="7"/>
        <v>495</v>
      </c>
      <c r="B496" t="s">
        <v>48</v>
      </c>
      <c r="C496">
        <v>394.15</v>
      </c>
      <c r="D496">
        <v>141.85499999999999</v>
      </c>
      <c r="E496">
        <v>1.0123180057696113</v>
      </c>
      <c r="G496">
        <v>1.1299999999999999E-2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>
      <c r="A497">
        <f t="shared" si="7"/>
        <v>496</v>
      </c>
      <c r="B497" t="s">
        <v>48</v>
      </c>
      <c r="C497">
        <v>394.15</v>
      </c>
      <c r="D497">
        <v>78.020250000000004</v>
      </c>
      <c r="E497">
        <v>1.0123180057696113</v>
      </c>
      <c r="G497">
        <v>6.8999999999999999E-3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>
      <c r="A498">
        <f t="shared" si="7"/>
        <v>497</v>
      </c>
      <c r="B498" t="s">
        <v>48</v>
      </c>
      <c r="C498">
        <v>394.15</v>
      </c>
      <c r="D498">
        <v>77.007000000000005</v>
      </c>
      <c r="E498">
        <v>1.0123180057696113</v>
      </c>
      <c r="G498">
        <v>6.1000000000000004E-3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>
      <c r="A499">
        <f t="shared" si="7"/>
        <v>498</v>
      </c>
      <c r="B499" t="s">
        <v>48</v>
      </c>
      <c r="C499">
        <v>394.15</v>
      </c>
      <c r="D499">
        <v>21.27825</v>
      </c>
      <c r="E499">
        <v>1.0123180057696113</v>
      </c>
      <c r="G499">
        <v>2.7000000000000001E-3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>
      <c r="A500">
        <f t="shared" si="7"/>
        <v>499</v>
      </c>
      <c r="B500" t="s">
        <v>48</v>
      </c>
      <c r="C500">
        <v>348.15</v>
      </c>
      <c r="D500">
        <v>607.95000000000005</v>
      </c>
      <c r="E500">
        <v>2.2808869353054648</v>
      </c>
      <c r="G500">
        <v>1.18E-2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>
      <c r="A501">
        <f t="shared" si="7"/>
        <v>500</v>
      </c>
      <c r="B501" t="s">
        <v>48</v>
      </c>
      <c r="C501">
        <v>348.15</v>
      </c>
      <c r="D501">
        <v>579.57899999999995</v>
      </c>
      <c r="E501">
        <v>2.2808869353054648</v>
      </c>
      <c r="G501">
        <v>1.17E-2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>
      <c r="A502">
        <f t="shared" si="7"/>
        <v>501</v>
      </c>
      <c r="B502" t="s">
        <v>48</v>
      </c>
      <c r="C502">
        <v>348.15</v>
      </c>
      <c r="D502">
        <v>466.09499999999997</v>
      </c>
      <c r="E502">
        <v>2.2808869353054648</v>
      </c>
      <c r="G502">
        <v>1.0800000000000001E-2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>
      <c r="A503">
        <f t="shared" si="7"/>
        <v>502</v>
      </c>
      <c r="B503" t="s">
        <v>48</v>
      </c>
      <c r="C503">
        <v>348.15</v>
      </c>
      <c r="D503">
        <v>460.01549999999997</v>
      </c>
      <c r="E503">
        <v>2.2808869353054648</v>
      </c>
      <c r="G503">
        <v>1.0699999999999999E-2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>
      <c r="A504">
        <f t="shared" si="7"/>
        <v>503</v>
      </c>
      <c r="B504" t="s">
        <v>48</v>
      </c>
      <c r="C504">
        <v>348.15</v>
      </c>
      <c r="D504">
        <v>293.84249999999997</v>
      </c>
      <c r="E504">
        <v>2.2808869353054648</v>
      </c>
      <c r="G504">
        <v>9.7999999999999997E-3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>
      <c r="A505">
        <f t="shared" si="7"/>
        <v>504</v>
      </c>
      <c r="B505" t="s">
        <v>48</v>
      </c>
      <c r="C505">
        <v>348.15</v>
      </c>
      <c r="D505">
        <v>285.73649999999998</v>
      </c>
      <c r="E505">
        <v>2.2808869353054648</v>
      </c>
      <c r="G505">
        <v>9.7000000000000003E-3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>
      <c r="A506">
        <f t="shared" si="7"/>
        <v>505</v>
      </c>
      <c r="B506" t="s">
        <v>48</v>
      </c>
      <c r="C506">
        <v>348.15</v>
      </c>
      <c r="D506">
        <v>168.1995</v>
      </c>
      <c r="E506">
        <v>2.2808869353054648</v>
      </c>
      <c r="G506">
        <v>8.6E-3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>
      <c r="A507">
        <f t="shared" si="7"/>
        <v>506</v>
      </c>
      <c r="B507" t="s">
        <v>48</v>
      </c>
      <c r="C507">
        <v>348.15</v>
      </c>
      <c r="D507">
        <v>167.18625</v>
      </c>
      <c r="E507">
        <v>2.2808869353054648</v>
      </c>
      <c r="G507">
        <v>8.8000000000000005E-3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>
      <c r="A508">
        <f t="shared" si="7"/>
        <v>507</v>
      </c>
      <c r="B508" t="s">
        <v>48</v>
      </c>
      <c r="C508">
        <v>348.15</v>
      </c>
      <c r="D508">
        <v>73.967249999999993</v>
      </c>
      <c r="E508">
        <v>2.2808869353054648</v>
      </c>
      <c r="G508">
        <v>6.0000000000000001E-3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>
      <c r="A509">
        <f t="shared" si="7"/>
        <v>508</v>
      </c>
      <c r="B509" t="s">
        <v>48</v>
      </c>
      <c r="C509">
        <v>348.15</v>
      </c>
      <c r="D509">
        <v>73.967249999999993</v>
      </c>
      <c r="E509">
        <v>2.2808869353054648</v>
      </c>
      <c r="G509">
        <v>5.7999999999999996E-3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>
      <c r="A510">
        <f t="shared" si="7"/>
        <v>509</v>
      </c>
      <c r="B510" t="s">
        <v>48</v>
      </c>
      <c r="C510">
        <v>348.15</v>
      </c>
      <c r="D510">
        <v>23.304749999999999</v>
      </c>
      <c r="E510">
        <v>2.2808869353054648</v>
      </c>
      <c r="G510">
        <v>2.2000000000000001E-3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>
      <c r="A511">
        <f t="shared" si="7"/>
        <v>510</v>
      </c>
      <c r="B511" t="s">
        <v>48</v>
      </c>
      <c r="C511">
        <v>348.15</v>
      </c>
      <c r="D511">
        <v>22.291499999999999</v>
      </c>
      <c r="E511">
        <v>2.2808869353054648</v>
      </c>
      <c r="G511">
        <v>2.2000000000000001E-3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>
      <c r="A512">
        <f t="shared" si="7"/>
        <v>511</v>
      </c>
      <c r="B512" t="s">
        <v>48</v>
      </c>
      <c r="C512">
        <v>374.15</v>
      </c>
      <c r="D512">
        <v>656.58600000000001</v>
      </c>
      <c r="E512">
        <v>2.2808869353054648</v>
      </c>
      <c r="G512">
        <v>1.23E-2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>
      <c r="A513">
        <f t="shared" si="7"/>
        <v>512</v>
      </c>
      <c r="B513" t="s">
        <v>48</v>
      </c>
      <c r="C513">
        <v>374.15</v>
      </c>
      <c r="D513">
        <v>581.60550000000001</v>
      </c>
      <c r="E513">
        <v>2.2808869353054648</v>
      </c>
      <c r="G513">
        <v>1.18E-2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>
      <c r="A514">
        <f t="shared" si="7"/>
        <v>513</v>
      </c>
      <c r="B514" t="s">
        <v>48</v>
      </c>
      <c r="C514">
        <v>374.15</v>
      </c>
      <c r="D514">
        <v>573.49950000000001</v>
      </c>
      <c r="E514">
        <v>2.2808869353054648</v>
      </c>
      <c r="G514">
        <v>1.1599999999999999E-2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>
      <c r="A515">
        <f t="shared" si="7"/>
        <v>514</v>
      </c>
      <c r="B515" t="s">
        <v>48</v>
      </c>
      <c r="C515">
        <v>374.15</v>
      </c>
      <c r="D515">
        <v>295.86899999999997</v>
      </c>
      <c r="E515">
        <v>2.2808869353054648</v>
      </c>
      <c r="G515">
        <v>9.9000000000000008E-3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>
      <c r="A516">
        <f t="shared" ref="A516:A579" si="8">A515+1</f>
        <v>515</v>
      </c>
      <c r="B516" t="s">
        <v>48</v>
      </c>
      <c r="C516">
        <v>374.15</v>
      </c>
      <c r="D516">
        <v>293.84249999999997</v>
      </c>
      <c r="E516">
        <v>2.2808869353054648</v>
      </c>
      <c r="G516">
        <v>9.7000000000000003E-3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>
      <c r="A517">
        <f t="shared" si="8"/>
        <v>516</v>
      </c>
      <c r="B517" t="s">
        <v>48</v>
      </c>
      <c r="C517">
        <v>374.15</v>
      </c>
      <c r="D517">
        <v>172.2525</v>
      </c>
      <c r="E517">
        <v>2.2808869353054648</v>
      </c>
      <c r="G517">
        <v>8.3000000000000001E-3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>
      <c r="A518">
        <f t="shared" si="8"/>
        <v>517</v>
      </c>
      <c r="B518" t="s">
        <v>48</v>
      </c>
      <c r="C518">
        <v>374.15</v>
      </c>
      <c r="D518">
        <v>171.23925</v>
      </c>
      <c r="E518">
        <v>2.2808869353054648</v>
      </c>
      <c r="G518">
        <v>8.3999999999999995E-3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>
      <c r="A519">
        <f t="shared" si="8"/>
        <v>518</v>
      </c>
      <c r="B519" t="s">
        <v>48</v>
      </c>
      <c r="C519">
        <v>374.15</v>
      </c>
      <c r="D519">
        <v>143.88149999999999</v>
      </c>
      <c r="E519">
        <v>2.2808869353054648</v>
      </c>
      <c r="G519">
        <v>7.4000000000000003E-3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>
      <c r="A520">
        <f t="shared" si="8"/>
        <v>519</v>
      </c>
      <c r="B520" t="s">
        <v>48</v>
      </c>
      <c r="C520">
        <v>374.15</v>
      </c>
      <c r="D520">
        <v>143.88149999999999</v>
      </c>
      <c r="E520">
        <v>2.2808869353054648</v>
      </c>
      <c r="G520">
        <v>7.4000000000000003E-3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>
      <c r="A521">
        <f t="shared" si="8"/>
        <v>520</v>
      </c>
      <c r="B521" t="s">
        <v>48</v>
      </c>
      <c r="C521">
        <v>374.15</v>
      </c>
      <c r="D521">
        <v>92.205749999999995</v>
      </c>
      <c r="E521">
        <v>2.2808869353054648</v>
      </c>
      <c r="G521">
        <v>5.7999999999999996E-3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>
      <c r="A522">
        <f t="shared" si="8"/>
        <v>521</v>
      </c>
      <c r="B522" t="s">
        <v>48</v>
      </c>
      <c r="C522">
        <v>374.15</v>
      </c>
      <c r="D522">
        <v>89.165999999999997</v>
      </c>
      <c r="E522">
        <v>2.2808869353054648</v>
      </c>
      <c r="G522">
        <v>5.8999999999999999E-3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>
      <c r="A523">
        <f t="shared" si="8"/>
        <v>522</v>
      </c>
      <c r="B523" t="s">
        <v>48</v>
      </c>
      <c r="C523">
        <v>374.15</v>
      </c>
      <c r="D523">
        <v>23.304749999999999</v>
      </c>
      <c r="E523">
        <v>2.2808869353054648</v>
      </c>
      <c r="G523">
        <v>1.8E-3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>
      <c r="A524">
        <f t="shared" si="8"/>
        <v>523</v>
      </c>
      <c r="B524" t="s">
        <v>48</v>
      </c>
      <c r="C524">
        <v>374.15</v>
      </c>
      <c r="D524">
        <v>23.304749999999999</v>
      </c>
      <c r="E524">
        <v>2.2808869353054648</v>
      </c>
      <c r="G524">
        <v>1.6999999999999999E-3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>
      <c r="A525">
        <f t="shared" si="8"/>
        <v>524</v>
      </c>
      <c r="B525" t="s">
        <v>48</v>
      </c>
      <c r="C525">
        <v>394.15</v>
      </c>
      <c r="D525">
        <v>667.73175000000003</v>
      </c>
      <c r="E525">
        <v>2.2808869353054648</v>
      </c>
      <c r="G525">
        <v>1.15E-2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>
      <c r="A526">
        <f t="shared" si="8"/>
        <v>525</v>
      </c>
      <c r="B526" t="s">
        <v>48</v>
      </c>
      <c r="C526">
        <v>394.15</v>
      </c>
      <c r="D526">
        <v>644.42700000000002</v>
      </c>
      <c r="E526">
        <v>2.2808869353054648</v>
      </c>
      <c r="G526">
        <v>1.15E-2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>
      <c r="A527">
        <f t="shared" si="8"/>
        <v>526</v>
      </c>
      <c r="B527" t="s">
        <v>48</v>
      </c>
      <c r="C527">
        <v>394.15</v>
      </c>
      <c r="D527">
        <v>609.97649999999999</v>
      </c>
      <c r="E527">
        <v>2.2808869353054648</v>
      </c>
      <c r="G527">
        <v>1.17E-2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>
      <c r="A528">
        <f t="shared" si="8"/>
        <v>527</v>
      </c>
      <c r="B528" t="s">
        <v>48</v>
      </c>
      <c r="C528">
        <v>394.15</v>
      </c>
      <c r="D528">
        <v>512.70449999999994</v>
      </c>
      <c r="E528">
        <v>2.2808869353054648</v>
      </c>
      <c r="G528">
        <v>1.1299999999999999E-2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>
      <c r="A529">
        <f t="shared" si="8"/>
        <v>528</v>
      </c>
      <c r="B529" t="s">
        <v>48</v>
      </c>
      <c r="C529">
        <v>394.15</v>
      </c>
      <c r="D529">
        <v>497.50574999999998</v>
      </c>
      <c r="E529">
        <v>2.2808869353054648</v>
      </c>
      <c r="G529">
        <v>1.0999999999999999E-2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>
      <c r="A530">
        <f t="shared" si="8"/>
        <v>529</v>
      </c>
      <c r="B530" t="s">
        <v>48</v>
      </c>
      <c r="C530">
        <v>394.15</v>
      </c>
      <c r="D530">
        <v>470.14799999999997</v>
      </c>
      <c r="E530">
        <v>2.2808869353054648</v>
      </c>
      <c r="G530">
        <v>1.0999999999999999E-2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>
      <c r="A531">
        <f t="shared" si="8"/>
        <v>530</v>
      </c>
      <c r="B531" t="s">
        <v>48</v>
      </c>
      <c r="C531">
        <v>394.15</v>
      </c>
      <c r="D531">
        <v>285.73649999999998</v>
      </c>
      <c r="E531">
        <v>2.2808869353054648</v>
      </c>
      <c r="G531">
        <v>9.4000000000000004E-3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>
      <c r="A532">
        <f t="shared" si="8"/>
        <v>531</v>
      </c>
      <c r="B532" t="s">
        <v>48</v>
      </c>
      <c r="C532">
        <v>394.15</v>
      </c>
      <c r="D532">
        <v>283.70999999999998</v>
      </c>
      <c r="E532">
        <v>2.2808869353054648</v>
      </c>
      <c r="G532">
        <v>9.4000000000000004E-3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>
      <c r="A533">
        <f t="shared" si="8"/>
        <v>532</v>
      </c>
      <c r="B533" t="s">
        <v>48</v>
      </c>
      <c r="C533">
        <v>394.15</v>
      </c>
      <c r="D533">
        <v>151.98750000000001</v>
      </c>
      <c r="E533">
        <v>2.2808869353054648</v>
      </c>
      <c r="G533">
        <v>7.3000000000000001E-3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>
      <c r="A534">
        <f t="shared" si="8"/>
        <v>533</v>
      </c>
      <c r="B534" t="s">
        <v>48</v>
      </c>
      <c r="C534">
        <v>394.15</v>
      </c>
      <c r="D534">
        <v>151.98750000000001</v>
      </c>
      <c r="E534">
        <v>2.2808869353054648</v>
      </c>
      <c r="G534">
        <v>7.3000000000000001E-3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>
      <c r="A535">
        <f t="shared" si="8"/>
        <v>534</v>
      </c>
      <c r="B535" t="s">
        <v>48</v>
      </c>
      <c r="C535">
        <v>394.15</v>
      </c>
      <c r="D535">
        <v>63.83475</v>
      </c>
      <c r="E535">
        <v>2.2808869353054648</v>
      </c>
      <c r="G535">
        <v>3.8999999999999998E-3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>
      <c r="A536">
        <f t="shared" si="8"/>
        <v>535</v>
      </c>
      <c r="B536" t="s">
        <v>48</v>
      </c>
      <c r="C536">
        <v>394.15</v>
      </c>
      <c r="D536">
        <v>63.83475</v>
      </c>
      <c r="E536">
        <v>2.2808869353054648</v>
      </c>
      <c r="G536">
        <v>3.8999999999999998E-3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>
      <c r="A537">
        <f t="shared" si="8"/>
        <v>536</v>
      </c>
      <c r="B537" t="s">
        <v>48</v>
      </c>
      <c r="C537">
        <v>394.15</v>
      </c>
      <c r="D537">
        <v>25.331250000000001</v>
      </c>
      <c r="E537">
        <v>2.2808869353054648</v>
      </c>
      <c r="G537">
        <v>1.9E-3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>
      <c r="A538">
        <f t="shared" si="8"/>
        <v>537</v>
      </c>
      <c r="B538" t="s">
        <v>48</v>
      </c>
      <c r="C538">
        <v>394.15</v>
      </c>
      <c r="D538">
        <v>25.331250000000001</v>
      </c>
      <c r="E538">
        <v>2.2808869353054648</v>
      </c>
      <c r="G538">
        <v>1.6999999999999999E-3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>
      <c r="A539">
        <f t="shared" si="8"/>
        <v>538</v>
      </c>
      <c r="B539" t="s">
        <v>48</v>
      </c>
      <c r="C539">
        <v>349.15</v>
      </c>
      <c r="D539">
        <v>633.28125</v>
      </c>
      <c r="E539">
        <v>3.8985831361235488</v>
      </c>
      <c r="G539">
        <v>6.8999999999999999E-3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>
      <c r="A540">
        <f t="shared" si="8"/>
        <v>539</v>
      </c>
      <c r="B540" t="s">
        <v>48</v>
      </c>
      <c r="C540">
        <v>349.15</v>
      </c>
      <c r="D540">
        <v>561.34050000000002</v>
      </c>
      <c r="E540">
        <v>3.8985831361235488</v>
      </c>
      <c r="G540">
        <v>7.0000000000000001E-3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>
      <c r="A541">
        <f t="shared" si="8"/>
        <v>540</v>
      </c>
      <c r="B541" t="s">
        <v>48</v>
      </c>
      <c r="C541">
        <v>349.15</v>
      </c>
      <c r="D541">
        <v>531.95624999999995</v>
      </c>
      <c r="E541">
        <v>3.8985831361235488</v>
      </c>
      <c r="G541">
        <v>7.0000000000000001E-3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>
      <c r="A542">
        <f t="shared" si="8"/>
        <v>541</v>
      </c>
      <c r="B542" t="s">
        <v>48</v>
      </c>
      <c r="C542">
        <v>349.15</v>
      </c>
      <c r="D542">
        <v>461.02875</v>
      </c>
      <c r="E542">
        <v>3.8985831361235488</v>
      </c>
      <c r="G542">
        <v>6.6E-3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>
      <c r="A543">
        <f t="shared" si="8"/>
        <v>542</v>
      </c>
      <c r="B543" t="s">
        <v>48</v>
      </c>
      <c r="C543">
        <v>349.15</v>
      </c>
      <c r="D543">
        <v>436.71075000000002</v>
      </c>
      <c r="E543">
        <v>3.8985831361235488</v>
      </c>
      <c r="G543">
        <v>6.7000000000000002E-3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>
      <c r="A544">
        <f t="shared" si="8"/>
        <v>543</v>
      </c>
      <c r="B544" t="s">
        <v>48</v>
      </c>
      <c r="C544">
        <v>349.15</v>
      </c>
      <c r="D544">
        <v>323.22674999999998</v>
      </c>
      <c r="E544">
        <v>3.8985831361235488</v>
      </c>
      <c r="G544">
        <v>6.1000000000000004E-3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>
      <c r="A545">
        <f t="shared" si="8"/>
        <v>544</v>
      </c>
      <c r="B545" t="s">
        <v>48</v>
      </c>
      <c r="C545">
        <v>349.15</v>
      </c>
      <c r="D545">
        <v>318.16050000000001</v>
      </c>
      <c r="E545">
        <v>3.8985831361235488</v>
      </c>
      <c r="G545">
        <v>6.0000000000000001E-3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>
      <c r="A546">
        <f t="shared" si="8"/>
        <v>545</v>
      </c>
      <c r="B546" t="s">
        <v>48</v>
      </c>
      <c r="C546">
        <v>349.15</v>
      </c>
      <c r="D546">
        <v>165.15975</v>
      </c>
      <c r="E546">
        <v>3.8985831361235488</v>
      </c>
      <c r="G546">
        <v>5.1000000000000004E-3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>
      <c r="A547">
        <f t="shared" si="8"/>
        <v>546</v>
      </c>
      <c r="B547" t="s">
        <v>48</v>
      </c>
      <c r="C547">
        <v>349.15</v>
      </c>
      <c r="D547">
        <v>163.13325</v>
      </c>
      <c r="E547">
        <v>3.8985831361235488</v>
      </c>
      <c r="G547">
        <v>5.1999999999999998E-3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>
      <c r="A548">
        <f t="shared" si="8"/>
        <v>547</v>
      </c>
      <c r="B548" t="s">
        <v>48</v>
      </c>
      <c r="C548">
        <v>349.15</v>
      </c>
      <c r="D548">
        <v>74.980499999999992</v>
      </c>
      <c r="E548">
        <v>3.8985831361235488</v>
      </c>
      <c r="G548">
        <v>3.7000000000000002E-3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>
      <c r="A549">
        <f t="shared" si="8"/>
        <v>548</v>
      </c>
      <c r="B549" t="s">
        <v>48</v>
      </c>
      <c r="C549">
        <v>349.15</v>
      </c>
      <c r="D549">
        <v>73.967249999999993</v>
      </c>
      <c r="E549">
        <v>3.8985831361235488</v>
      </c>
      <c r="G549">
        <v>3.5999999999999999E-3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>
      <c r="A550">
        <f t="shared" si="8"/>
        <v>549</v>
      </c>
      <c r="B550" t="s">
        <v>48</v>
      </c>
      <c r="C550">
        <v>349.15</v>
      </c>
      <c r="D550">
        <v>15.19875</v>
      </c>
      <c r="E550">
        <v>3.8985831361235488</v>
      </c>
      <c r="G550">
        <v>8.9999999999999998E-4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>
      <c r="A551">
        <f t="shared" si="8"/>
        <v>550</v>
      </c>
      <c r="B551" t="s">
        <v>48</v>
      </c>
      <c r="C551">
        <v>349.15</v>
      </c>
      <c r="D551">
        <v>15.19875</v>
      </c>
      <c r="E551">
        <v>3.8985831361235488</v>
      </c>
      <c r="G551">
        <v>8.9999999999999998E-4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>
      <c r="A552">
        <f t="shared" si="8"/>
        <v>551</v>
      </c>
      <c r="B552" t="s">
        <v>48</v>
      </c>
      <c r="C552">
        <v>374.15</v>
      </c>
      <c r="D552">
        <v>638.34749999999997</v>
      </c>
      <c r="E552">
        <v>3.8985831361235488</v>
      </c>
      <c r="G552">
        <v>7.1000000000000004E-3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>
      <c r="A553">
        <f t="shared" si="8"/>
        <v>552</v>
      </c>
      <c r="B553" t="s">
        <v>48</v>
      </c>
      <c r="C553">
        <v>374.15</v>
      </c>
      <c r="D553">
        <v>531.95624999999995</v>
      </c>
      <c r="E553">
        <v>3.8985831361235488</v>
      </c>
      <c r="G553">
        <v>7.0000000000000001E-3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>
      <c r="A554">
        <f t="shared" si="8"/>
        <v>553</v>
      </c>
      <c r="B554" t="s">
        <v>48</v>
      </c>
      <c r="C554">
        <v>374.15</v>
      </c>
      <c r="D554">
        <v>407.32650000000001</v>
      </c>
      <c r="E554">
        <v>3.8985831361235488</v>
      </c>
      <c r="G554">
        <v>6.3E-3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>
      <c r="A555">
        <f t="shared" si="8"/>
        <v>554</v>
      </c>
      <c r="B555" t="s">
        <v>48</v>
      </c>
      <c r="C555">
        <v>374.15</v>
      </c>
      <c r="D555">
        <v>394.15424999999999</v>
      </c>
      <c r="E555">
        <v>3.8985831361235488</v>
      </c>
      <c r="G555">
        <v>6.4000000000000003E-3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>
      <c r="A556">
        <f t="shared" si="8"/>
        <v>555</v>
      </c>
      <c r="B556" t="s">
        <v>48</v>
      </c>
      <c r="C556">
        <v>374.15</v>
      </c>
      <c r="D556">
        <v>393.14100000000002</v>
      </c>
      <c r="E556">
        <v>3.8985831361235488</v>
      </c>
      <c r="G556">
        <v>6.4000000000000003E-3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>
      <c r="A557">
        <f t="shared" si="8"/>
        <v>556</v>
      </c>
      <c r="B557" t="s">
        <v>48</v>
      </c>
      <c r="C557">
        <v>374.15</v>
      </c>
      <c r="D557">
        <v>264.45825000000002</v>
      </c>
      <c r="E557">
        <v>3.8985831361235488</v>
      </c>
      <c r="G557">
        <v>5.7999999999999996E-3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>
      <c r="A558">
        <f t="shared" si="8"/>
        <v>557</v>
      </c>
      <c r="B558" t="s">
        <v>48</v>
      </c>
      <c r="C558">
        <v>374.15</v>
      </c>
      <c r="D558">
        <v>241.15350000000001</v>
      </c>
      <c r="E558">
        <v>3.8985831361235488</v>
      </c>
      <c r="G558">
        <v>5.1999999999999998E-3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>
      <c r="A559">
        <f t="shared" si="8"/>
        <v>558</v>
      </c>
      <c r="B559" t="s">
        <v>48</v>
      </c>
      <c r="C559">
        <v>374.15</v>
      </c>
      <c r="D559">
        <v>237.10049999999998</v>
      </c>
      <c r="E559">
        <v>3.8985831361235488</v>
      </c>
      <c r="G559">
        <v>5.4000000000000003E-3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>
      <c r="A560">
        <f t="shared" si="8"/>
        <v>559</v>
      </c>
      <c r="B560" t="s">
        <v>48</v>
      </c>
      <c r="C560">
        <v>374.15</v>
      </c>
      <c r="D560">
        <v>156.04050000000001</v>
      </c>
      <c r="E560">
        <v>3.8985831361235488</v>
      </c>
      <c r="G560">
        <v>4.8999999999999998E-3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>
      <c r="A561">
        <f t="shared" si="8"/>
        <v>560</v>
      </c>
      <c r="B561" t="s">
        <v>48</v>
      </c>
      <c r="C561">
        <v>374.15</v>
      </c>
      <c r="D561">
        <v>153.00075000000001</v>
      </c>
      <c r="E561">
        <v>3.8985831361235488</v>
      </c>
      <c r="G561">
        <v>4.7000000000000002E-3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>
      <c r="A562">
        <f t="shared" si="8"/>
        <v>561</v>
      </c>
      <c r="B562" t="s">
        <v>48</v>
      </c>
      <c r="C562">
        <v>374.15</v>
      </c>
      <c r="D562">
        <v>77.007000000000005</v>
      </c>
      <c r="E562">
        <v>3.8985831361235488</v>
      </c>
      <c r="G562">
        <v>3.3E-3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>
      <c r="A563">
        <f t="shared" si="8"/>
        <v>562</v>
      </c>
      <c r="B563" t="s">
        <v>48</v>
      </c>
      <c r="C563">
        <v>374.15</v>
      </c>
      <c r="D563">
        <v>74.980499999999992</v>
      </c>
      <c r="E563">
        <v>3.8985831361235488</v>
      </c>
      <c r="G563">
        <v>3.0999999999999999E-3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>
      <c r="A564">
        <f t="shared" si="8"/>
        <v>563</v>
      </c>
      <c r="B564" t="s">
        <v>48</v>
      </c>
      <c r="C564">
        <v>394.15</v>
      </c>
      <c r="D564">
        <v>885.58050000000003</v>
      </c>
      <c r="E564">
        <v>3.8985831361235488</v>
      </c>
      <c r="G564">
        <v>2.12E-2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>
      <c r="A565">
        <f t="shared" si="8"/>
        <v>564</v>
      </c>
      <c r="B565" t="s">
        <v>48</v>
      </c>
      <c r="C565">
        <v>394.15</v>
      </c>
      <c r="D565">
        <v>840.99749999999995</v>
      </c>
      <c r="E565">
        <v>3.8985831361235488</v>
      </c>
      <c r="G565">
        <v>2.1999999999999999E-2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>
      <c r="A566">
        <f t="shared" si="8"/>
        <v>565</v>
      </c>
      <c r="B566" t="s">
        <v>48</v>
      </c>
      <c r="C566">
        <v>394.15</v>
      </c>
      <c r="D566">
        <v>663.67875000000004</v>
      </c>
      <c r="E566">
        <v>3.8985831361235488</v>
      </c>
      <c r="G566">
        <v>1.9800000000000002E-2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>
      <c r="A567">
        <f t="shared" si="8"/>
        <v>566</v>
      </c>
      <c r="B567" t="s">
        <v>48</v>
      </c>
      <c r="C567">
        <v>394.15</v>
      </c>
      <c r="D567">
        <v>651.51975000000004</v>
      </c>
      <c r="E567">
        <v>3.8985831361235488</v>
      </c>
      <c r="G567">
        <v>1.95E-2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>
      <c r="A568">
        <f t="shared" si="8"/>
        <v>567</v>
      </c>
      <c r="B568" t="s">
        <v>48</v>
      </c>
      <c r="C568">
        <v>394.15</v>
      </c>
      <c r="D568">
        <v>498.51900000000001</v>
      </c>
      <c r="E568">
        <v>3.8985831361235488</v>
      </c>
      <c r="G568">
        <v>1.84E-2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>
      <c r="A569">
        <f t="shared" si="8"/>
        <v>568</v>
      </c>
      <c r="B569" t="s">
        <v>48</v>
      </c>
      <c r="C569">
        <v>394.15</v>
      </c>
      <c r="D569">
        <v>486.36</v>
      </c>
      <c r="E569">
        <v>3.8985831361235488</v>
      </c>
      <c r="G569">
        <v>1.7899999999999999E-2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>
      <c r="A570">
        <f t="shared" si="8"/>
        <v>569</v>
      </c>
      <c r="B570" t="s">
        <v>48</v>
      </c>
      <c r="C570">
        <v>394.15</v>
      </c>
      <c r="D570">
        <v>322.21350000000001</v>
      </c>
      <c r="E570">
        <v>3.8985831361235488</v>
      </c>
      <c r="G570">
        <v>1.5900000000000001E-2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>
      <c r="A571">
        <f t="shared" si="8"/>
        <v>570</v>
      </c>
      <c r="B571" t="s">
        <v>48</v>
      </c>
      <c r="C571">
        <v>394.15</v>
      </c>
      <c r="D571">
        <v>313.09424999999999</v>
      </c>
      <c r="E571">
        <v>3.8985831361235488</v>
      </c>
      <c r="G571">
        <v>1.5299999999999999E-2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>
      <c r="A572">
        <f t="shared" si="8"/>
        <v>571</v>
      </c>
      <c r="B572" t="s">
        <v>48</v>
      </c>
      <c r="C572">
        <v>394.15</v>
      </c>
      <c r="D572">
        <v>158.06700000000001</v>
      </c>
      <c r="E572">
        <v>3.8985831361235488</v>
      </c>
      <c r="G572">
        <v>1.24E-2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>
      <c r="A573">
        <f t="shared" si="8"/>
        <v>572</v>
      </c>
      <c r="B573" t="s">
        <v>48</v>
      </c>
      <c r="C573">
        <v>394.15</v>
      </c>
      <c r="D573">
        <v>157.05375000000001</v>
      </c>
      <c r="E573">
        <v>3.8985831361235488</v>
      </c>
      <c r="G573">
        <v>1.1599999999999999E-2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>
      <c r="A574">
        <f t="shared" si="8"/>
        <v>573</v>
      </c>
      <c r="B574" t="s">
        <v>48</v>
      </c>
      <c r="C574">
        <v>394.15</v>
      </c>
      <c r="D574">
        <v>74.980499999999992</v>
      </c>
      <c r="E574">
        <v>3.8985831361235488</v>
      </c>
      <c r="G574">
        <v>8.2000000000000007E-3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>
      <c r="A575">
        <f t="shared" si="8"/>
        <v>574</v>
      </c>
      <c r="B575" t="s">
        <v>48</v>
      </c>
      <c r="C575">
        <v>394.15</v>
      </c>
      <c r="D575">
        <v>73.967249999999993</v>
      </c>
      <c r="E575">
        <v>3.8985831361235488</v>
      </c>
      <c r="G575">
        <v>7.1000000000000004E-3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>
      <c r="A576">
        <f t="shared" si="8"/>
        <v>575</v>
      </c>
      <c r="B576" t="s">
        <v>48</v>
      </c>
      <c r="C576">
        <v>394.15</v>
      </c>
      <c r="D576">
        <v>28.370999999999999</v>
      </c>
      <c r="E576">
        <v>3.8985831361235488</v>
      </c>
      <c r="G576">
        <v>3.0000000000000001E-3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>
      <c r="A577">
        <f t="shared" si="8"/>
        <v>576</v>
      </c>
      <c r="B577" t="s">
        <v>48</v>
      </c>
      <c r="C577">
        <v>394.15</v>
      </c>
      <c r="D577">
        <v>28.370999999999999</v>
      </c>
      <c r="E577">
        <v>3.8985831361235488</v>
      </c>
      <c r="G577">
        <v>3.0000000000000001E-3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>
      <c r="A578">
        <f t="shared" si="8"/>
        <v>577</v>
      </c>
      <c r="B578" t="s">
        <v>54</v>
      </c>
      <c r="C578">
        <v>543.15</v>
      </c>
      <c r="D578">
        <v>200</v>
      </c>
      <c r="E578">
        <v>0</v>
      </c>
      <c r="F578">
        <v>0.47</v>
      </c>
      <c r="G578">
        <v>2.7E-2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>
      <c r="A579">
        <f t="shared" si="8"/>
        <v>578</v>
      </c>
      <c r="B579" t="s">
        <v>54</v>
      </c>
      <c r="C579">
        <v>543.15</v>
      </c>
      <c r="D579">
        <v>250</v>
      </c>
      <c r="E579">
        <v>0</v>
      </c>
      <c r="F579">
        <v>0.43000000000000005</v>
      </c>
      <c r="G579">
        <v>3.5999999999999997E-2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>
      <c r="A580">
        <f t="shared" ref="A580:A643" si="9">A579+1</f>
        <v>579</v>
      </c>
      <c r="B580" t="s">
        <v>54</v>
      </c>
      <c r="C580">
        <v>543.15</v>
      </c>
      <c r="D580">
        <v>300</v>
      </c>
      <c r="E580">
        <v>0</v>
      </c>
      <c r="F580">
        <v>0.41000000000000003</v>
      </c>
      <c r="G580">
        <v>4.5999999999999999E-2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>
      <c r="A581">
        <f t="shared" si="9"/>
        <v>580</v>
      </c>
      <c r="B581" t="s">
        <v>54</v>
      </c>
      <c r="C581">
        <v>543.15</v>
      </c>
      <c r="D581">
        <v>400</v>
      </c>
      <c r="E581">
        <v>0</v>
      </c>
      <c r="F581">
        <v>0.41000000000000003</v>
      </c>
      <c r="G581">
        <v>6.7000000000000004E-2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>
      <c r="A582">
        <f t="shared" si="9"/>
        <v>581</v>
      </c>
      <c r="B582" t="s">
        <v>54</v>
      </c>
      <c r="C582">
        <v>543.15</v>
      </c>
      <c r="D582">
        <v>500</v>
      </c>
      <c r="E582">
        <v>0</v>
      </c>
      <c r="F582">
        <v>0.43000000000000005</v>
      </c>
      <c r="G582">
        <v>8.6999999999999994E-2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>
      <c r="A583">
        <f t="shared" si="9"/>
        <v>582</v>
      </c>
      <c r="B583" t="s">
        <v>54</v>
      </c>
      <c r="C583">
        <v>543.15</v>
      </c>
      <c r="D583">
        <v>600</v>
      </c>
      <c r="E583">
        <v>0</v>
      </c>
      <c r="F583">
        <v>0.45399999999999996</v>
      </c>
      <c r="G583">
        <v>0.106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>
      <c r="A584">
        <f t="shared" si="9"/>
        <v>583</v>
      </c>
      <c r="B584" t="s">
        <v>54</v>
      </c>
      <c r="C584">
        <v>543.15</v>
      </c>
      <c r="D584">
        <v>700</v>
      </c>
      <c r="E584">
        <v>0</v>
      </c>
      <c r="F584">
        <v>0.48</v>
      </c>
      <c r="G584">
        <v>0.125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>
      <c r="A585">
        <f t="shared" si="9"/>
        <v>584</v>
      </c>
      <c r="B585" t="s">
        <v>54</v>
      </c>
      <c r="C585">
        <v>543.15</v>
      </c>
      <c r="D585">
        <v>800</v>
      </c>
      <c r="E585">
        <v>0</v>
      </c>
      <c r="F585">
        <v>0.504</v>
      </c>
      <c r="G585">
        <v>0.14499999999999999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>
      <c r="A586">
        <f t="shared" si="9"/>
        <v>585</v>
      </c>
      <c r="B586" t="s">
        <v>54</v>
      </c>
      <c r="C586">
        <v>543.15</v>
      </c>
      <c r="D586">
        <v>900</v>
      </c>
      <c r="E586">
        <v>0</v>
      </c>
      <c r="F586">
        <v>0.53800000000000003</v>
      </c>
      <c r="G586">
        <v>0.16600000000000001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>
      <c r="A587">
        <f t="shared" si="9"/>
        <v>586</v>
      </c>
      <c r="B587" t="s">
        <v>54</v>
      </c>
      <c r="C587">
        <v>543.15</v>
      </c>
      <c r="D587">
        <v>1000</v>
      </c>
      <c r="E587">
        <v>0</v>
      </c>
      <c r="F587">
        <v>0.57600000000000007</v>
      </c>
      <c r="G587">
        <v>0.19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>
      <c r="A588">
        <f t="shared" si="9"/>
        <v>587</v>
      </c>
      <c r="B588" t="s">
        <v>54</v>
      </c>
      <c r="C588">
        <v>543.15</v>
      </c>
      <c r="D588">
        <v>1100</v>
      </c>
      <c r="E588">
        <v>0</v>
      </c>
      <c r="F588">
        <v>0.61799999999999999</v>
      </c>
      <c r="G588">
        <v>0.215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>
      <c r="A589">
        <f t="shared" si="9"/>
        <v>588</v>
      </c>
      <c r="B589" t="s">
        <v>54</v>
      </c>
      <c r="C589">
        <v>543.15</v>
      </c>
      <c r="D589">
        <v>1200</v>
      </c>
      <c r="E589">
        <v>0</v>
      </c>
      <c r="F589">
        <v>0.65999999999999992</v>
      </c>
      <c r="G589">
        <v>0.25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>
      <c r="A590">
        <f t="shared" si="9"/>
        <v>589</v>
      </c>
      <c r="B590" t="s">
        <v>54</v>
      </c>
      <c r="C590">
        <v>533.15</v>
      </c>
      <c r="D590">
        <v>200</v>
      </c>
      <c r="E590">
        <v>0</v>
      </c>
      <c r="F590">
        <v>0.42800000000000005</v>
      </c>
      <c r="G590">
        <v>2.7E-2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>
      <c r="A591">
        <f t="shared" si="9"/>
        <v>590</v>
      </c>
      <c r="B591" t="s">
        <v>54</v>
      </c>
      <c r="C591">
        <v>533.15</v>
      </c>
      <c r="D591">
        <v>250</v>
      </c>
      <c r="E591">
        <v>0</v>
      </c>
      <c r="F591">
        <v>0.38</v>
      </c>
      <c r="G591">
        <v>3.5000000000000003E-2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>
      <c r="A592">
        <f t="shared" si="9"/>
        <v>591</v>
      </c>
      <c r="B592" t="s">
        <v>54</v>
      </c>
      <c r="C592">
        <v>533.15</v>
      </c>
      <c r="D592">
        <v>300</v>
      </c>
      <c r="E592">
        <v>0</v>
      </c>
      <c r="F592">
        <v>0.36</v>
      </c>
      <c r="G592">
        <v>4.3999999999999997E-2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>
      <c r="A593">
        <f t="shared" si="9"/>
        <v>592</v>
      </c>
      <c r="B593" t="s">
        <v>54</v>
      </c>
      <c r="C593">
        <v>533.15</v>
      </c>
      <c r="D593">
        <v>400</v>
      </c>
      <c r="E593">
        <v>0</v>
      </c>
      <c r="F593">
        <v>0.35799999999999998</v>
      </c>
      <c r="G593">
        <v>5.8999999999999997E-2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>
      <c r="A594">
        <f t="shared" si="9"/>
        <v>593</v>
      </c>
      <c r="B594" t="s">
        <v>54</v>
      </c>
      <c r="C594">
        <v>533.15</v>
      </c>
      <c r="D594">
        <v>500</v>
      </c>
      <c r="E594">
        <v>0</v>
      </c>
      <c r="F594">
        <v>0.376</v>
      </c>
      <c r="G594">
        <v>7.2999999999999995E-2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>
      <c r="A595">
        <f t="shared" si="9"/>
        <v>594</v>
      </c>
      <c r="B595" t="s">
        <v>54</v>
      </c>
      <c r="C595">
        <v>533.15</v>
      </c>
      <c r="D595">
        <v>600</v>
      </c>
      <c r="E595">
        <v>0</v>
      </c>
      <c r="F595">
        <v>0.39600000000000002</v>
      </c>
      <c r="G595">
        <v>8.6999999999999994E-2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>
      <c r="A596">
        <f t="shared" si="9"/>
        <v>595</v>
      </c>
      <c r="B596" t="s">
        <v>54</v>
      </c>
      <c r="C596">
        <v>533.15</v>
      </c>
      <c r="D596">
        <v>700</v>
      </c>
      <c r="E596">
        <v>0</v>
      </c>
      <c r="F596">
        <v>0.42000000000000004</v>
      </c>
      <c r="G596">
        <v>0.1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>
      <c r="A597">
        <f t="shared" si="9"/>
        <v>596</v>
      </c>
      <c r="B597" t="s">
        <v>54</v>
      </c>
      <c r="C597">
        <v>533.15</v>
      </c>
      <c r="D597">
        <v>800</v>
      </c>
      <c r="E597">
        <v>0</v>
      </c>
      <c r="F597">
        <v>0.43999999999999995</v>
      </c>
      <c r="G597">
        <v>0.113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>
      <c r="A598">
        <f t="shared" si="9"/>
        <v>597</v>
      </c>
      <c r="B598" t="s">
        <v>54</v>
      </c>
      <c r="C598">
        <v>533.15</v>
      </c>
      <c r="D598">
        <v>900</v>
      </c>
      <c r="E598">
        <v>0</v>
      </c>
      <c r="F598">
        <v>0.45199999999999996</v>
      </c>
      <c r="G598">
        <v>0.125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>
      <c r="A599">
        <f t="shared" si="9"/>
        <v>598</v>
      </c>
      <c r="B599" t="s">
        <v>54</v>
      </c>
      <c r="C599">
        <v>533.15</v>
      </c>
      <c r="D599">
        <v>1000</v>
      </c>
      <c r="E599">
        <v>0</v>
      </c>
      <c r="F599">
        <v>0.46399999999999997</v>
      </c>
      <c r="G599">
        <v>0.13500000000000001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>
      <c r="A600">
        <f t="shared" si="9"/>
        <v>599</v>
      </c>
      <c r="B600" t="s">
        <v>54</v>
      </c>
      <c r="C600">
        <v>533.15</v>
      </c>
      <c r="D600">
        <v>1100</v>
      </c>
      <c r="E600">
        <v>0</v>
      </c>
      <c r="F600">
        <v>0.47599999999999998</v>
      </c>
      <c r="G600">
        <v>0.14499999999999999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>
      <c r="A601">
        <f t="shared" si="9"/>
        <v>600</v>
      </c>
      <c r="B601" t="s">
        <v>54</v>
      </c>
      <c r="C601">
        <v>533.15</v>
      </c>
      <c r="D601">
        <v>1200</v>
      </c>
      <c r="E601">
        <v>0</v>
      </c>
      <c r="F601">
        <v>0.49</v>
      </c>
      <c r="G601">
        <v>0.155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>
      <c r="A602">
        <f t="shared" si="9"/>
        <v>601</v>
      </c>
      <c r="B602" t="s">
        <v>54</v>
      </c>
      <c r="C602">
        <v>533.15</v>
      </c>
      <c r="D602">
        <v>1300</v>
      </c>
      <c r="E602">
        <v>0</v>
      </c>
      <c r="F602">
        <v>0.496</v>
      </c>
      <c r="G602">
        <v>0.16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>
      <c r="A603">
        <f t="shared" si="9"/>
        <v>602</v>
      </c>
      <c r="B603" t="s">
        <v>54</v>
      </c>
      <c r="C603">
        <v>533.15</v>
      </c>
      <c r="D603">
        <v>1400</v>
      </c>
      <c r="E603">
        <v>0</v>
      </c>
      <c r="F603">
        <v>0.498</v>
      </c>
      <c r="G603">
        <v>0.16500000000000001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>
      <c r="A604">
        <f t="shared" si="9"/>
        <v>603</v>
      </c>
      <c r="B604" t="s">
        <v>54</v>
      </c>
      <c r="C604">
        <v>533.15</v>
      </c>
      <c r="D604">
        <v>1500</v>
      </c>
      <c r="E604">
        <v>0</v>
      </c>
      <c r="F604">
        <v>0.5</v>
      </c>
      <c r="G604">
        <v>0.17499999999999999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>
      <c r="A605">
        <f t="shared" si="9"/>
        <v>604</v>
      </c>
      <c r="B605" t="s">
        <v>54</v>
      </c>
      <c r="C605">
        <v>523.15</v>
      </c>
      <c r="D605">
        <v>100</v>
      </c>
      <c r="E605">
        <v>0</v>
      </c>
      <c r="F605">
        <v>0.59000000000000008</v>
      </c>
      <c r="G605">
        <v>1.2E-2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>
      <c r="A606">
        <f t="shared" si="9"/>
        <v>605</v>
      </c>
      <c r="B606" t="s">
        <v>54</v>
      </c>
      <c r="C606">
        <v>523.15</v>
      </c>
      <c r="D606">
        <v>200</v>
      </c>
      <c r="E606">
        <v>0</v>
      </c>
      <c r="F606">
        <v>0.36399999999999999</v>
      </c>
      <c r="G606">
        <v>2.7E-2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>
      <c r="A607">
        <f t="shared" si="9"/>
        <v>606</v>
      </c>
      <c r="B607" t="s">
        <v>54</v>
      </c>
      <c r="C607">
        <v>523.15</v>
      </c>
      <c r="D607">
        <v>300</v>
      </c>
      <c r="E607">
        <v>0</v>
      </c>
      <c r="F607">
        <v>0.31999999999999995</v>
      </c>
      <c r="G607">
        <v>4.2000000000000003E-2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>
      <c r="A608">
        <f t="shared" si="9"/>
        <v>607</v>
      </c>
      <c r="B608" t="s">
        <v>54</v>
      </c>
      <c r="C608">
        <v>523.15</v>
      </c>
      <c r="D608">
        <v>400</v>
      </c>
      <c r="E608">
        <v>0</v>
      </c>
      <c r="F608">
        <v>0.32399999999999995</v>
      </c>
      <c r="G608">
        <v>5.5E-2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>
      <c r="A609">
        <f t="shared" si="9"/>
        <v>608</v>
      </c>
      <c r="B609" t="s">
        <v>54</v>
      </c>
      <c r="C609">
        <v>523.15</v>
      </c>
      <c r="D609">
        <v>500</v>
      </c>
      <c r="E609">
        <v>0</v>
      </c>
      <c r="F609">
        <v>0.33999999999999997</v>
      </c>
      <c r="G609">
        <v>6.4000000000000001E-2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>
      <c r="A610">
        <f t="shared" si="9"/>
        <v>609</v>
      </c>
      <c r="B610" t="s">
        <v>54</v>
      </c>
      <c r="C610">
        <v>523.15</v>
      </c>
      <c r="D610">
        <v>600</v>
      </c>
      <c r="E610">
        <v>0</v>
      </c>
      <c r="F610">
        <v>0.36399999999999999</v>
      </c>
      <c r="G610">
        <v>7.3999999999999996E-2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>
      <c r="A611">
        <f t="shared" si="9"/>
        <v>610</v>
      </c>
      <c r="B611" t="s">
        <v>54</v>
      </c>
      <c r="C611">
        <v>523.15</v>
      </c>
      <c r="D611">
        <v>700</v>
      </c>
      <c r="E611">
        <v>0</v>
      </c>
      <c r="F611">
        <v>0.38700000000000001</v>
      </c>
      <c r="G611">
        <v>8.4000000000000005E-2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>
      <c r="A612">
        <f t="shared" si="9"/>
        <v>611</v>
      </c>
      <c r="B612" t="s">
        <v>54</v>
      </c>
      <c r="C612">
        <v>523.15</v>
      </c>
      <c r="D612">
        <v>800</v>
      </c>
      <c r="E612">
        <v>0</v>
      </c>
      <c r="F612">
        <v>0.40700000000000003</v>
      </c>
      <c r="G612">
        <v>9.4E-2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>
      <c r="A613">
        <f t="shared" si="9"/>
        <v>612</v>
      </c>
      <c r="B613" t="s">
        <v>54</v>
      </c>
      <c r="C613">
        <v>523.15</v>
      </c>
      <c r="D613">
        <v>900</v>
      </c>
      <c r="E613">
        <v>0</v>
      </c>
      <c r="F613">
        <v>0.42000000000000004</v>
      </c>
      <c r="G613">
        <v>0.104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>
      <c r="A614">
        <f t="shared" si="9"/>
        <v>613</v>
      </c>
      <c r="B614" t="s">
        <v>54</v>
      </c>
      <c r="C614">
        <v>523.15</v>
      </c>
      <c r="D614">
        <v>1000</v>
      </c>
      <c r="E614">
        <v>0</v>
      </c>
      <c r="F614">
        <v>0.43300000000000005</v>
      </c>
      <c r="G614">
        <v>0.115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>
      <c r="A615">
        <f t="shared" si="9"/>
        <v>614</v>
      </c>
      <c r="B615" t="s">
        <v>54</v>
      </c>
      <c r="C615">
        <v>523.15</v>
      </c>
      <c r="D615">
        <v>1100</v>
      </c>
      <c r="E615">
        <v>0</v>
      </c>
      <c r="F615">
        <v>0.44499999999999995</v>
      </c>
      <c r="G615">
        <v>0.125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>
      <c r="A616">
        <f t="shared" si="9"/>
        <v>615</v>
      </c>
      <c r="B616" t="s">
        <v>54</v>
      </c>
      <c r="C616">
        <v>523.15</v>
      </c>
      <c r="D616">
        <v>1200</v>
      </c>
      <c r="E616">
        <v>0</v>
      </c>
      <c r="F616">
        <v>0.45199999999999996</v>
      </c>
      <c r="G616">
        <v>0.13200000000000001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>
      <c r="A617">
        <f t="shared" si="9"/>
        <v>616</v>
      </c>
      <c r="B617" t="s">
        <v>54</v>
      </c>
      <c r="C617">
        <v>523.15</v>
      </c>
      <c r="D617">
        <v>1300</v>
      </c>
      <c r="E617">
        <v>0</v>
      </c>
      <c r="F617">
        <v>0.45799999999999996</v>
      </c>
      <c r="G617">
        <v>0.13600000000000001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>
      <c r="A618">
        <f t="shared" si="9"/>
        <v>617</v>
      </c>
      <c r="B618" t="s">
        <v>54</v>
      </c>
      <c r="C618">
        <v>523.15</v>
      </c>
      <c r="D618">
        <v>1400</v>
      </c>
      <c r="E618">
        <v>0</v>
      </c>
      <c r="F618">
        <v>0.45999999999999996</v>
      </c>
      <c r="G618">
        <v>0.14000000000000001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>
      <c r="A619">
        <f t="shared" si="9"/>
        <v>618</v>
      </c>
      <c r="B619" t="s">
        <v>54</v>
      </c>
      <c r="C619">
        <v>523.15</v>
      </c>
      <c r="D619">
        <v>1500</v>
      </c>
      <c r="E619">
        <v>0</v>
      </c>
      <c r="F619">
        <v>0.45999999999999996</v>
      </c>
      <c r="G619">
        <v>0.14399999999999999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>
      <c r="A620">
        <f t="shared" si="9"/>
        <v>619</v>
      </c>
      <c r="B620" t="s">
        <v>54</v>
      </c>
      <c r="C620">
        <v>473.15</v>
      </c>
      <c r="D620">
        <v>100</v>
      </c>
      <c r="E620">
        <v>0</v>
      </c>
      <c r="F620">
        <v>0.28500000000000003</v>
      </c>
      <c r="G620">
        <v>1.2999999999999999E-2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>
      <c r="A621">
        <f t="shared" si="9"/>
        <v>620</v>
      </c>
      <c r="B621" t="s">
        <v>54</v>
      </c>
      <c r="C621">
        <v>473.15</v>
      </c>
      <c r="D621">
        <v>200</v>
      </c>
      <c r="E621">
        <v>0</v>
      </c>
      <c r="F621">
        <v>0.18000000000000005</v>
      </c>
      <c r="G621">
        <v>2.5999999999999999E-2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>
      <c r="A622">
        <f t="shared" si="9"/>
        <v>621</v>
      </c>
      <c r="B622" t="s">
        <v>54</v>
      </c>
      <c r="C622">
        <v>473.15</v>
      </c>
      <c r="D622">
        <v>300</v>
      </c>
      <c r="E622">
        <v>0</v>
      </c>
      <c r="F622">
        <v>0.17500000000000004</v>
      </c>
      <c r="G622">
        <v>3.4000000000000002E-2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>
      <c r="A623">
        <f t="shared" si="9"/>
        <v>622</v>
      </c>
      <c r="B623" t="s">
        <v>54</v>
      </c>
      <c r="C623">
        <v>473.15</v>
      </c>
      <c r="D623">
        <v>400</v>
      </c>
      <c r="E623">
        <v>0</v>
      </c>
      <c r="F623">
        <v>0.18400000000000005</v>
      </c>
      <c r="G623">
        <v>4.1000000000000002E-2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>
      <c r="A624">
        <f t="shared" si="9"/>
        <v>623</v>
      </c>
      <c r="B624" t="s">
        <v>54</v>
      </c>
      <c r="C624">
        <v>473.15</v>
      </c>
      <c r="D624">
        <v>500</v>
      </c>
      <c r="E624">
        <v>0</v>
      </c>
      <c r="F624">
        <v>0.19999999999999996</v>
      </c>
      <c r="G624">
        <v>4.7E-2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>
      <c r="A625">
        <f t="shared" si="9"/>
        <v>624</v>
      </c>
      <c r="B625" t="s">
        <v>54</v>
      </c>
      <c r="C625">
        <v>473.15</v>
      </c>
      <c r="D625">
        <v>600</v>
      </c>
      <c r="E625">
        <v>0</v>
      </c>
      <c r="F625">
        <v>0.21999999999999997</v>
      </c>
      <c r="G625">
        <v>5.1999999999999998E-2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>
      <c r="A626">
        <f t="shared" si="9"/>
        <v>625</v>
      </c>
      <c r="B626" t="s">
        <v>54</v>
      </c>
      <c r="C626">
        <v>473.15</v>
      </c>
      <c r="D626">
        <v>700</v>
      </c>
      <c r="E626">
        <v>0</v>
      </c>
      <c r="F626">
        <v>0.24</v>
      </c>
      <c r="G626">
        <v>5.6000000000000001E-2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>
      <c r="A627">
        <f t="shared" si="9"/>
        <v>626</v>
      </c>
      <c r="B627" t="s">
        <v>54</v>
      </c>
      <c r="C627">
        <v>473.15</v>
      </c>
      <c r="D627">
        <v>800</v>
      </c>
      <c r="E627">
        <v>0</v>
      </c>
      <c r="F627">
        <v>0.255</v>
      </c>
      <c r="G627">
        <v>5.8000000000000003E-2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>
      <c r="A628">
        <f t="shared" si="9"/>
        <v>627</v>
      </c>
      <c r="B628" t="s">
        <v>54</v>
      </c>
      <c r="C628">
        <v>473.15</v>
      </c>
      <c r="D628">
        <v>900</v>
      </c>
      <c r="E628">
        <v>0</v>
      </c>
      <c r="F628">
        <v>0.26800000000000002</v>
      </c>
      <c r="G628">
        <v>6.0999999999999999E-2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>
      <c r="A629">
        <f t="shared" si="9"/>
        <v>628</v>
      </c>
      <c r="B629" t="s">
        <v>54</v>
      </c>
      <c r="C629">
        <v>473.15</v>
      </c>
      <c r="D629">
        <v>1000</v>
      </c>
      <c r="E629">
        <v>0</v>
      </c>
      <c r="F629">
        <v>0.28000000000000003</v>
      </c>
      <c r="G629">
        <v>6.3E-2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>
      <c r="A630">
        <f t="shared" si="9"/>
        <v>629</v>
      </c>
      <c r="B630" t="s">
        <v>54</v>
      </c>
      <c r="C630">
        <v>473.15</v>
      </c>
      <c r="D630">
        <v>1100</v>
      </c>
      <c r="E630">
        <v>0</v>
      </c>
      <c r="F630">
        <v>0.28400000000000003</v>
      </c>
      <c r="G630">
        <v>6.5000000000000002E-2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>
      <c r="A631">
        <f t="shared" si="9"/>
        <v>630</v>
      </c>
      <c r="B631" t="s">
        <v>54</v>
      </c>
      <c r="C631">
        <v>473.15</v>
      </c>
      <c r="D631">
        <v>1200</v>
      </c>
      <c r="E631">
        <v>0</v>
      </c>
      <c r="F631">
        <v>0.29400000000000004</v>
      </c>
      <c r="G631">
        <v>6.7000000000000004E-2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>
      <c r="A632">
        <f t="shared" si="9"/>
        <v>631</v>
      </c>
      <c r="B632" t="s">
        <v>54</v>
      </c>
      <c r="C632">
        <v>473.15</v>
      </c>
      <c r="D632">
        <v>1300</v>
      </c>
      <c r="E632">
        <v>0</v>
      </c>
      <c r="F632">
        <v>0.30000000000000004</v>
      </c>
      <c r="G632">
        <v>6.9000000000000006E-2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>
      <c r="A633">
        <f t="shared" si="9"/>
        <v>632</v>
      </c>
      <c r="B633" t="s">
        <v>54</v>
      </c>
      <c r="C633">
        <v>473.15</v>
      </c>
      <c r="D633">
        <v>1400</v>
      </c>
      <c r="E633">
        <v>0</v>
      </c>
      <c r="F633">
        <v>0.30600000000000005</v>
      </c>
      <c r="G633">
        <v>7.0000000000000007E-2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>
      <c r="A634">
        <f t="shared" si="9"/>
        <v>633</v>
      </c>
      <c r="B634" t="s">
        <v>54</v>
      </c>
      <c r="C634">
        <v>473.15</v>
      </c>
      <c r="D634">
        <v>1500</v>
      </c>
      <c r="E634">
        <v>0</v>
      </c>
      <c r="F634">
        <v>0.31000000000000005</v>
      </c>
      <c r="G634">
        <v>7.1999999999999995E-2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>
      <c r="A635">
        <f t="shared" si="9"/>
        <v>634</v>
      </c>
      <c r="B635" t="s">
        <v>54</v>
      </c>
      <c r="C635">
        <v>423.15</v>
      </c>
      <c r="D635">
        <v>100</v>
      </c>
      <c r="E635">
        <v>0</v>
      </c>
      <c r="F635">
        <v>0.12</v>
      </c>
      <c r="G635">
        <v>1.35E-2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>
      <c r="A636">
        <f t="shared" si="9"/>
        <v>635</v>
      </c>
      <c r="B636" t="s">
        <v>54</v>
      </c>
      <c r="C636">
        <v>423.15</v>
      </c>
      <c r="D636">
        <v>200</v>
      </c>
      <c r="E636">
        <v>0</v>
      </c>
      <c r="F636">
        <v>8.9999999999999969E-2</v>
      </c>
      <c r="G636">
        <v>2.1499999999999998E-2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>
      <c r="A637">
        <f t="shared" si="9"/>
        <v>636</v>
      </c>
      <c r="B637" t="s">
        <v>54</v>
      </c>
      <c r="C637">
        <v>423.15</v>
      </c>
      <c r="D637">
        <v>300</v>
      </c>
      <c r="E637">
        <v>0</v>
      </c>
      <c r="F637">
        <v>9.9999999999999978E-2</v>
      </c>
      <c r="G637">
        <v>2.5999999999999999E-2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>
      <c r="A638">
        <f t="shared" si="9"/>
        <v>637</v>
      </c>
      <c r="B638" t="s">
        <v>54</v>
      </c>
      <c r="C638">
        <v>423.15</v>
      </c>
      <c r="D638">
        <v>400</v>
      </c>
      <c r="E638">
        <v>0</v>
      </c>
      <c r="F638">
        <v>0.11799999999999999</v>
      </c>
      <c r="G638">
        <v>2.9000000000000001E-2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>
      <c r="A639">
        <f t="shared" si="9"/>
        <v>638</v>
      </c>
      <c r="B639" t="s">
        <v>54</v>
      </c>
      <c r="C639">
        <v>423.15</v>
      </c>
      <c r="D639">
        <v>500</v>
      </c>
      <c r="E639">
        <v>0</v>
      </c>
      <c r="F639">
        <v>0.13800000000000001</v>
      </c>
      <c r="G639">
        <v>3.2000000000000001E-2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>
      <c r="A640">
        <f t="shared" si="9"/>
        <v>639</v>
      </c>
      <c r="B640" t="s">
        <v>54</v>
      </c>
      <c r="C640">
        <v>423.15</v>
      </c>
      <c r="D640">
        <v>600</v>
      </c>
      <c r="E640">
        <v>0</v>
      </c>
      <c r="F640">
        <v>0.16000000000000003</v>
      </c>
      <c r="G640">
        <v>3.4500000000000003E-2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>
      <c r="A641">
        <f t="shared" si="9"/>
        <v>640</v>
      </c>
      <c r="B641" t="s">
        <v>54</v>
      </c>
      <c r="C641">
        <v>423.15</v>
      </c>
      <c r="D641">
        <v>700</v>
      </c>
      <c r="E641">
        <v>0</v>
      </c>
      <c r="F641">
        <v>0.17600000000000005</v>
      </c>
      <c r="G641">
        <v>3.6999999999999998E-2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>
      <c r="A642">
        <f t="shared" si="9"/>
        <v>641</v>
      </c>
      <c r="B642" t="s">
        <v>54</v>
      </c>
      <c r="C642">
        <v>423.15</v>
      </c>
      <c r="D642">
        <v>800</v>
      </c>
      <c r="E642">
        <v>0</v>
      </c>
      <c r="F642">
        <v>0.19199999999999995</v>
      </c>
      <c r="G642">
        <v>3.9E-2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>
      <c r="A643">
        <f t="shared" si="9"/>
        <v>642</v>
      </c>
      <c r="B643" t="s">
        <v>54</v>
      </c>
      <c r="C643">
        <v>423.15</v>
      </c>
      <c r="D643">
        <v>900</v>
      </c>
      <c r="E643">
        <v>0</v>
      </c>
      <c r="F643">
        <v>0.20599999999999996</v>
      </c>
      <c r="G643">
        <v>4.0500000000000001E-2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>
      <c r="A644">
        <f t="shared" ref="A644:A707" si="10">A643+1</f>
        <v>643</v>
      </c>
      <c r="B644" t="s">
        <v>54</v>
      </c>
      <c r="C644">
        <v>423.15</v>
      </c>
      <c r="D644">
        <v>1000</v>
      </c>
      <c r="E644">
        <v>0</v>
      </c>
      <c r="F644">
        <v>0.21999999999999997</v>
      </c>
      <c r="G644">
        <v>4.2000000000000003E-2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>
      <c r="A645">
        <f t="shared" si="10"/>
        <v>644</v>
      </c>
      <c r="B645" t="s">
        <v>54</v>
      </c>
      <c r="C645">
        <v>423.15</v>
      </c>
      <c r="D645">
        <v>1100</v>
      </c>
      <c r="E645">
        <v>0</v>
      </c>
      <c r="F645">
        <v>0.22999999999999998</v>
      </c>
      <c r="G645">
        <v>4.3999999999999997E-2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>
      <c r="A646">
        <f t="shared" si="10"/>
        <v>645</v>
      </c>
      <c r="B646" t="s">
        <v>54</v>
      </c>
      <c r="C646">
        <v>423.15</v>
      </c>
      <c r="D646">
        <v>1200</v>
      </c>
      <c r="E646">
        <v>0</v>
      </c>
      <c r="F646">
        <v>0.23599999999999999</v>
      </c>
      <c r="G646">
        <v>4.4999999999999998E-2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>
      <c r="A647">
        <f t="shared" si="10"/>
        <v>646</v>
      </c>
      <c r="B647" t="s">
        <v>54</v>
      </c>
      <c r="C647">
        <v>423.15</v>
      </c>
      <c r="D647">
        <v>1300</v>
      </c>
      <c r="E647">
        <v>0</v>
      </c>
      <c r="F647">
        <v>0.24199999999999999</v>
      </c>
      <c r="G647">
        <v>4.5999999999999999E-2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>
      <c r="A648">
        <f t="shared" si="10"/>
        <v>647</v>
      </c>
      <c r="B648" t="s">
        <v>54</v>
      </c>
      <c r="C648">
        <v>423.15</v>
      </c>
      <c r="D648">
        <v>1400</v>
      </c>
      <c r="E648">
        <v>0</v>
      </c>
      <c r="F648">
        <v>0.246</v>
      </c>
      <c r="G648">
        <v>4.7E-2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>
      <c r="A649">
        <f t="shared" si="10"/>
        <v>648</v>
      </c>
      <c r="B649" t="s">
        <v>54</v>
      </c>
      <c r="C649">
        <v>423.15</v>
      </c>
      <c r="D649">
        <v>1500</v>
      </c>
      <c r="E649">
        <v>0</v>
      </c>
      <c r="F649">
        <v>0.248</v>
      </c>
      <c r="G649">
        <v>4.8000000000000001E-2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>
      <c r="A650">
        <f t="shared" si="10"/>
        <v>649</v>
      </c>
      <c r="B650" t="s">
        <v>54</v>
      </c>
      <c r="C650">
        <v>383.15</v>
      </c>
      <c r="D650">
        <v>100</v>
      </c>
      <c r="E650">
        <v>0</v>
      </c>
      <c r="F650">
        <v>4.4000000000000039E-2</v>
      </c>
      <c r="G650">
        <v>1.4E-2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>
      <c r="A651">
        <f t="shared" si="10"/>
        <v>650</v>
      </c>
      <c r="B651" t="s">
        <v>54</v>
      </c>
      <c r="C651">
        <v>383.15</v>
      </c>
      <c r="D651">
        <v>200</v>
      </c>
      <c r="E651">
        <v>0</v>
      </c>
      <c r="F651">
        <v>4.2000000000000037E-2</v>
      </c>
      <c r="G651">
        <v>2.1000000000000001E-2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>
      <c r="A652">
        <f t="shared" si="10"/>
        <v>651</v>
      </c>
      <c r="B652" t="s">
        <v>54</v>
      </c>
      <c r="C652">
        <v>383.15</v>
      </c>
      <c r="D652">
        <v>300</v>
      </c>
      <c r="E652">
        <v>0</v>
      </c>
      <c r="F652">
        <v>5.2000000000000046E-2</v>
      </c>
      <c r="G652">
        <v>2.4E-2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>
      <c r="A653">
        <f t="shared" si="10"/>
        <v>652</v>
      </c>
      <c r="B653" t="s">
        <v>54</v>
      </c>
      <c r="C653">
        <v>383.15</v>
      </c>
      <c r="D653">
        <v>400</v>
      </c>
      <c r="E653">
        <v>0</v>
      </c>
      <c r="F653">
        <v>6.7999999999999949E-2</v>
      </c>
      <c r="G653">
        <v>2.5999999999999999E-2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>
      <c r="A654">
        <f t="shared" si="10"/>
        <v>653</v>
      </c>
      <c r="B654" t="s">
        <v>54</v>
      </c>
      <c r="C654">
        <v>383.15</v>
      </c>
      <c r="D654">
        <v>500</v>
      </c>
      <c r="E654">
        <v>0</v>
      </c>
      <c r="F654">
        <v>8.5999999999999965E-2</v>
      </c>
      <c r="G654">
        <v>2.8000000000000001E-2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>
      <c r="A655">
        <f t="shared" si="10"/>
        <v>654</v>
      </c>
      <c r="B655" t="s">
        <v>54</v>
      </c>
      <c r="C655">
        <v>383.15</v>
      </c>
      <c r="D655">
        <v>600</v>
      </c>
      <c r="E655">
        <v>0</v>
      </c>
      <c r="F655">
        <v>0.10699999999999998</v>
      </c>
      <c r="G655">
        <v>0.03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>
      <c r="A656">
        <f t="shared" si="10"/>
        <v>655</v>
      </c>
      <c r="B656" t="s">
        <v>54</v>
      </c>
      <c r="C656">
        <v>383.15</v>
      </c>
      <c r="D656">
        <v>700</v>
      </c>
      <c r="E656">
        <v>0</v>
      </c>
      <c r="F656">
        <v>0.128</v>
      </c>
      <c r="G656">
        <v>3.15E-2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>
      <c r="A657">
        <f t="shared" si="10"/>
        <v>656</v>
      </c>
      <c r="B657" t="s">
        <v>54</v>
      </c>
      <c r="C657">
        <v>383.15</v>
      </c>
      <c r="D657">
        <v>800</v>
      </c>
      <c r="E657">
        <v>0</v>
      </c>
      <c r="F657">
        <v>0.14600000000000002</v>
      </c>
      <c r="G657">
        <v>3.3000000000000002E-2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>
      <c r="A658">
        <f t="shared" si="10"/>
        <v>657</v>
      </c>
      <c r="B658" t="s">
        <v>54</v>
      </c>
      <c r="C658">
        <v>383.15</v>
      </c>
      <c r="D658">
        <v>900</v>
      </c>
      <c r="E658">
        <v>0</v>
      </c>
      <c r="F658">
        <v>0.16000000000000003</v>
      </c>
      <c r="G658">
        <v>3.4500000000000003E-2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>
      <c r="A659">
        <f t="shared" si="10"/>
        <v>658</v>
      </c>
      <c r="B659" t="s">
        <v>54</v>
      </c>
      <c r="C659">
        <v>383.15</v>
      </c>
      <c r="D659">
        <v>1000</v>
      </c>
      <c r="E659">
        <v>0</v>
      </c>
      <c r="F659">
        <v>0.17000000000000004</v>
      </c>
      <c r="G659">
        <v>3.5999999999999997E-2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>
      <c r="A660">
        <f t="shared" si="10"/>
        <v>659</v>
      </c>
      <c r="B660" t="s">
        <v>54</v>
      </c>
      <c r="C660">
        <v>383.15</v>
      </c>
      <c r="D660">
        <v>1100</v>
      </c>
      <c r="E660">
        <v>0</v>
      </c>
      <c r="F660">
        <v>0.17800000000000005</v>
      </c>
      <c r="G660">
        <v>3.6999999999999998E-2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>
      <c r="A661">
        <f t="shared" si="10"/>
        <v>660</v>
      </c>
      <c r="B661" t="s">
        <v>54</v>
      </c>
      <c r="C661">
        <v>383.15</v>
      </c>
      <c r="D661">
        <v>1200</v>
      </c>
      <c r="E661">
        <v>0</v>
      </c>
      <c r="F661">
        <v>0.18400000000000005</v>
      </c>
      <c r="G661">
        <v>3.7499999999999999E-2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>
      <c r="A662">
        <f t="shared" si="10"/>
        <v>661</v>
      </c>
      <c r="B662" t="s">
        <v>54</v>
      </c>
      <c r="C662">
        <v>383.15</v>
      </c>
      <c r="D662">
        <v>1300</v>
      </c>
      <c r="E662">
        <v>0</v>
      </c>
      <c r="F662">
        <v>0.18999999999999995</v>
      </c>
      <c r="G662">
        <v>3.85E-2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>
      <c r="A663">
        <f t="shared" si="10"/>
        <v>662</v>
      </c>
      <c r="B663" t="s">
        <v>54</v>
      </c>
      <c r="C663">
        <v>383.15</v>
      </c>
      <c r="D663">
        <v>1400</v>
      </c>
      <c r="E663">
        <v>0</v>
      </c>
      <c r="F663">
        <v>0.19599999999999995</v>
      </c>
      <c r="G663">
        <v>3.9E-2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>
      <c r="A664">
        <f t="shared" si="10"/>
        <v>663</v>
      </c>
      <c r="B664" t="s">
        <v>54</v>
      </c>
      <c r="C664">
        <v>383.15</v>
      </c>
      <c r="D664">
        <v>1500</v>
      </c>
      <c r="E664">
        <v>0</v>
      </c>
      <c r="F664">
        <v>0.19999999999999996</v>
      </c>
      <c r="G664">
        <v>0.04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>
      <c r="A665">
        <f t="shared" si="10"/>
        <v>664</v>
      </c>
      <c r="B665" t="s">
        <v>65</v>
      </c>
      <c r="C665">
        <v>473.15</v>
      </c>
      <c r="D665">
        <v>98</v>
      </c>
      <c r="E665">
        <v>0</v>
      </c>
      <c r="G665">
        <v>1.2199999999999999E-2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>
      <c r="A666">
        <f t="shared" si="10"/>
        <v>665</v>
      </c>
      <c r="B666" t="s">
        <v>65</v>
      </c>
      <c r="C666">
        <v>473.15</v>
      </c>
      <c r="D666">
        <v>98</v>
      </c>
      <c r="E666">
        <v>0</v>
      </c>
      <c r="G666">
        <v>1.21E-2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>
      <c r="A667">
        <f t="shared" si="10"/>
        <v>666</v>
      </c>
      <c r="B667" t="s">
        <v>65</v>
      </c>
      <c r="C667">
        <v>473.15</v>
      </c>
      <c r="D667">
        <v>98</v>
      </c>
      <c r="E667">
        <v>0</v>
      </c>
      <c r="G667">
        <v>1.2199999999999999E-2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>
      <c r="A668">
        <f t="shared" si="10"/>
        <v>667</v>
      </c>
      <c r="B668" t="s">
        <v>65</v>
      </c>
      <c r="C668">
        <v>473.15</v>
      </c>
      <c r="D668">
        <v>196</v>
      </c>
      <c r="E668">
        <v>0</v>
      </c>
      <c r="G668">
        <v>2.4700000000000003E-2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>
      <c r="A669">
        <f t="shared" si="10"/>
        <v>668</v>
      </c>
      <c r="B669" t="s">
        <v>65</v>
      </c>
      <c r="C669">
        <v>473.15</v>
      </c>
      <c r="D669">
        <v>196</v>
      </c>
      <c r="E669">
        <v>0</v>
      </c>
      <c r="G669">
        <v>2.4399999999999998E-2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>
      <c r="A670">
        <f t="shared" si="10"/>
        <v>669</v>
      </c>
      <c r="B670" t="s">
        <v>65</v>
      </c>
      <c r="C670">
        <v>473.15</v>
      </c>
      <c r="D670">
        <v>196</v>
      </c>
      <c r="E670">
        <v>0</v>
      </c>
      <c r="G670">
        <v>2.35E-2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>
      <c r="A671">
        <f t="shared" si="10"/>
        <v>670</v>
      </c>
      <c r="B671" t="s">
        <v>65</v>
      </c>
      <c r="C671">
        <v>473.15</v>
      </c>
      <c r="D671">
        <v>196</v>
      </c>
      <c r="E671">
        <v>0</v>
      </c>
      <c r="G671">
        <v>2.3799999999999998E-2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>
      <c r="A672">
        <f t="shared" si="10"/>
        <v>671</v>
      </c>
      <c r="B672" t="s">
        <v>65</v>
      </c>
      <c r="C672">
        <v>473.15</v>
      </c>
      <c r="D672">
        <v>196</v>
      </c>
      <c r="E672">
        <v>0</v>
      </c>
      <c r="G672">
        <v>2.4E-2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>
      <c r="A673">
        <f t="shared" si="10"/>
        <v>672</v>
      </c>
      <c r="B673" t="s">
        <v>65</v>
      </c>
      <c r="C673">
        <v>473.15</v>
      </c>
      <c r="D673">
        <v>196</v>
      </c>
      <c r="E673">
        <v>0</v>
      </c>
      <c r="G673">
        <v>2.41E-2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>
      <c r="A674">
        <f t="shared" si="10"/>
        <v>673</v>
      </c>
      <c r="B674" t="s">
        <v>65</v>
      </c>
      <c r="C674">
        <v>473.15</v>
      </c>
      <c r="D674">
        <v>294</v>
      </c>
      <c r="E674">
        <v>0</v>
      </c>
      <c r="G674">
        <v>3.2799999999999996E-2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>
      <c r="A675">
        <f t="shared" si="10"/>
        <v>674</v>
      </c>
      <c r="B675" t="s">
        <v>65</v>
      </c>
      <c r="C675">
        <v>473.15</v>
      </c>
      <c r="D675">
        <v>294</v>
      </c>
      <c r="E675">
        <v>0</v>
      </c>
      <c r="G675">
        <v>3.2400000000000005E-2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>
      <c r="A676">
        <f t="shared" si="10"/>
        <v>675</v>
      </c>
      <c r="B676" t="s">
        <v>65</v>
      </c>
      <c r="C676">
        <v>473.15</v>
      </c>
      <c r="D676">
        <v>294</v>
      </c>
      <c r="E676">
        <v>0</v>
      </c>
      <c r="G676">
        <v>3.1699999999999999E-2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>
      <c r="A677">
        <f t="shared" si="10"/>
        <v>676</v>
      </c>
      <c r="B677" t="s">
        <v>65</v>
      </c>
      <c r="C677">
        <v>473.15</v>
      </c>
      <c r="D677">
        <v>294</v>
      </c>
      <c r="E677">
        <v>0</v>
      </c>
      <c r="G677">
        <v>3.2899999999999999E-2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>
      <c r="A678">
        <f t="shared" si="10"/>
        <v>677</v>
      </c>
      <c r="B678" t="s">
        <v>65</v>
      </c>
      <c r="C678">
        <v>473.15</v>
      </c>
      <c r="D678">
        <v>294</v>
      </c>
      <c r="E678">
        <v>0</v>
      </c>
      <c r="G678">
        <v>3.2599999999999997E-2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>
      <c r="A679">
        <f t="shared" si="10"/>
        <v>678</v>
      </c>
      <c r="B679" t="s">
        <v>65</v>
      </c>
      <c r="C679">
        <v>473.15</v>
      </c>
      <c r="D679">
        <v>294</v>
      </c>
      <c r="E679">
        <v>0</v>
      </c>
      <c r="G679">
        <v>3.2599999999999997E-2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>
      <c r="A680">
        <f t="shared" si="10"/>
        <v>679</v>
      </c>
      <c r="B680" t="s">
        <v>65</v>
      </c>
      <c r="C680">
        <v>473.15</v>
      </c>
      <c r="D680">
        <v>392</v>
      </c>
      <c r="E680">
        <v>0</v>
      </c>
      <c r="G680">
        <v>3.8399999999999997E-2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>
      <c r="A681">
        <f t="shared" si="10"/>
        <v>680</v>
      </c>
      <c r="B681" t="s">
        <v>65</v>
      </c>
      <c r="C681">
        <v>473.15</v>
      </c>
      <c r="D681">
        <v>392</v>
      </c>
      <c r="E681">
        <v>0</v>
      </c>
      <c r="G681">
        <v>3.9300000000000002E-2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>
      <c r="A682">
        <f t="shared" si="10"/>
        <v>681</v>
      </c>
      <c r="B682" t="s">
        <v>65</v>
      </c>
      <c r="C682">
        <v>473.15</v>
      </c>
      <c r="D682">
        <v>392</v>
      </c>
      <c r="E682">
        <v>0</v>
      </c>
      <c r="G682">
        <v>0.04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>
      <c r="A683">
        <f t="shared" si="10"/>
        <v>682</v>
      </c>
      <c r="B683" t="s">
        <v>65</v>
      </c>
      <c r="C683">
        <v>473.15</v>
      </c>
      <c r="D683">
        <v>392</v>
      </c>
      <c r="E683">
        <v>0</v>
      </c>
      <c r="G683">
        <v>4.0500000000000001E-2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>
      <c r="A684">
        <f t="shared" si="10"/>
        <v>683</v>
      </c>
      <c r="B684" t="s">
        <v>65</v>
      </c>
      <c r="C684">
        <v>473.15</v>
      </c>
      <c r="D684">
        <v>392</v>
      </c>
      <c r="E684">
        <v>0</v>
      </c>
      <c r="G684">
        <v>3.7599999999999995E-2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>
      <c r="A685">
        <f t="shared" si="10"/>
        <v>684</v>
      </c>
      <c r="B685" t="s">
        <v>65</v>
      </c>
      <c r="C685">
        <v>473.15</v>
      </c>
      <c r="D685">
        <v>392</v>
      </c>
      <c r="E685">
        <v>0</v>
      </c>
      <c r="G685">
        <v>3.7599999999999995E-2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>
      <c r="A686">
        <f t="shared" si="10"/>
        <v>685</v>
      </c>
      <c r="B686" t="s">
        <v>65</v>
      </c>
      <c r="C686">
        <v>473.15</v>
      </c>
      <c r="D686">
        <v>490</v>
      </c>
      <c r="E686">
        <v>0</v>
      </c>
      <c r="G686">
        <v>4.4400000000000002E-2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>
      <c r="A687">
        <f t="shared" si="10"/>
        <v>686</v>
      </c>
      <c r="B687" t="s">
        <v>65</v>
      </c>
      <c r="C687">
        <v>473.15</v>
      </c>
      <c r="D687">
        <v>490</v>
      </c>
      <c r="E687">
        <v>0</v>
      </c>
      <c r="G687">
        <v>4.3899999999999995E-2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>
      <c r="A688">
        <f t="shared" si="10"/>
        <v>687</v>
      </c>
      <c r="B688" t="s">
        <v>65</v>
      </c>
      <c r="C688">
        <v>473.15</v>
      </c>
      <c r="D688">
        <v>490</v>
      </c>
      <c r="E688">
        <v>0</v>
      </c>
      <c r="G688">
        <v>4.5599999999999995E-2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>
      <c r="A689">
        <f t="shared" si="10"/>
        <v>688</v>
      </c>
      <c r="B689" t="s">
        <v>65</v>
      </c>
      <c r="C689">
        <v>473.15</v>
      </c>
      <c r="D689">
        <v>490</v>
      </c>
      <c r="E689">
        <v>0</v>
      </c>
      <c r="G689">
        <v>4.36E-2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>
      <c r="A690">
        <f t="shared" si="10"/>
        <v>689</v>
      </c>
      <c r="B690" t="s">
        <v>65</v>
      </c>
      <c r="C690">
        <v>473.15</v>
      </c>
      <c r="D690">
        <v>490</v>
      </c>
      <c r="E690">
        <v>0</v>
      </c>
      <c r="G690">
        <v>4.3799999999999999E-2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>
      <c r="A691">
        <f t="shared" si="10"/>
        <v>690</v>
      </c>
      <c r="B691" t="s">
        <v>65</v>
      </c>
      <c r="C691">
        <v>473.15</v>
      </c>
      <c r="D691">
        <v>490</v>
      </c>
      <c r="E691">
        <v>0</v>
      </c>
      <c r="G691">
        <v>4.5599999999999995E-2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>
      <c r="A692">
        <f t="shared" si="10"/>
        <v>691</v>
      </c>
      <c r="B692" t="s">
        <v>65</v>
      </c>
      <c r="C692">
        <v>473.15</v>
      </c>
      <c r="D692">
        <v>490</v>
      </c>
      <c r="E692">
        <v>0</v>
      </c>
      <c r="G692">
        <v>4.36E-2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>
      <c r="A693">
        <f t="shared" si="10"/>
        <v>692</v>
      </c>
      <c r="B693" t="s">
        <v>65</v>
      </c>
      <c r="C693">
        <v>473.15</v>
      </c>
      <c r="D693">
        <v>490</v>
      </c>
      <c r="E693">
        <v>0</v>
      </c>
      <c r="G693">
        <v>4.3799999999999999E-2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>
      <c r="A694">
        <f t="shared" si="10"/>
        <v>693</v>
      </c>
      <c r="B694" t="s">
        <v>65</v>
      </c>
      <c r="C694">
        <v>473.15</v>
      </c>
      <c r="D694">
        <v>490</v>
      </c>
      <c r="E694">
        <v>0</v>
      </c>
      <c r="G694">
        <v>4.4500000000000005E-2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>
      <c r="A695">
        <f t="shared" si="10"/>
        <v>694</v>
      </c>
      <c r="B695" t="s">
        <v>65</v>
      </c>
      <c r="C695">
        <v>473.15</v>
      </c>
      <c r="D695">
        <v>490</v>
      </c>
      <c r="E695">
        <v>0</v>
      </c>
      <c r="G695">
        <v>4.3200000000000002E-2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>
      <c r="A696">
        <f t="shared" si="10"/>
        <v>695</v>
      </c>
      <c r="B696" t="s">
        <v>65</v>
      </c>
      <c r="C696">
        <v>473.15</v>
      </c>
      <c r="D696">
        <v>490</v>
      </c>
      <c r="E696">
        <v>0</v>
      </c>
      <c r="G696">
        <v>4.2800000000000005E-2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>
      <c r="A697">
        <f t="shared" si="10"/>
        <v>696</v>
      </c>
      <c r="B697" t="s">
        <v>65</v>
      </c>
      <c r="C697">
        <v>523.15</v>
      </c>
      <c r="D697">
        <v>98</v>
      </c>
      <c r="E697">
        <v>0</v>
      </c>
      <c r="G697">
        <v>1.0700000000000001E-2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>
      <c r="A698">
        <f t="shared" si="10"/>
        <v>697</v>
      </c>
      <c r="B698" t="s">
        <v>65</v>
      </c>
      <c r="C698">
        <v>523.15</v>
      </c>
      <c r="D698">
        <v>98</v>
      </c>
      <c r="E698">
        <v>0</v>
      </c>
      <c r="G698">
        <v>1.0700000000000001E-2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>
      <c r="A699">
        <f t="shared" si="10"/>
        <v>698</v>
      </c>
      <c r="B699" t="s">
        <v>65</v>
      </c>
      <c r="C699">
        <v>523.15</v>
      </c>
      <c r="D699">
        <v>98</v>
      </c>
      <c r="E699">
        <v>0</v>
      </c>
      <c r="G699">
        <v>1.0800000000000001E-2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>
      <c r="A700">
        <f t="shared" si="10"/>
        <v>699</v>
      </c>
      <c r="B700" t="s">
        <v>65</v>
      </c>
      <c r="C700">
        <v>523.15</v>
      </c>
      <c r="D700">
        <v>196</v>
      </c>
      <c r="E700">
        <v>0</v>
      </c>
      <c r="G700">
        <v>2.7699999999999999E-2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>
      <c r="A701">
        <f t="shared" si="10"/>
        <v>700</v>
      </c>
      <c r="B701" t="s">
        <v>65</v>
      </c>
      <c r="C701">
        <v>523.15</v>
      </c>
      <c r="D701">
        <v>196</v>
      </c>
      <c r="E701">
        <v>0</v>
      </c>
      <c r="G701">
        <v>2.7400000000000001E-2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>
      <c r="A702">
        <f t="shared" si="10"/>
        <v>701</v>
      </c>
      <c r="B702" t="s">
        <v>65</v>
      </c>
      <c r="C702">
        <v>523.15</v>
      </c>
      <c r="D702">
        <v>196</v>
      </c>
      <c r="E702">
        <v>0</v>
      </c>
      <c r="G702">
        <v>2.5600000000000001E-2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>
      <c r="A703">
        <f t="shared" si="10"/>
        <v>702</v>
      </c>
      <c r="B703" t="s">
        <v>65</v>
      </c>
      <c r="C703">
        <v>523.15</v>
      </c>
      <c r="D703">
        <v>196</v>
      </c>
      <c r="E703">
        <v>0</v>
      </c>
      <c r="G703">
        <v>2.7400000000000001E-2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>
      <c r="A704">
        <f t="shared" si="10"/>
        <v>703</v>
      </c>
      <c r="B704" t="s">
        <v>65</v>
      </c>
      <c r="C704">
        <v>523.15</v>
      </c>
      <c r="D704">
        <v>196</v>
      </c>
      <c r="E704">
        <v>0</v>
      </c>
      <c r="G704">
        <v>2.7099999999999999E-2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>
      <c r="A705">
        <f t="shared" si="10"/>
        <v>704</v>
      </c>
      <c r="B705" t="s">
        <v>65</v>
      </c>
      <c r="C705">
        <v>523.15</v>
      </c>
      <c r="D705">
        <v>196</v>
      </c>
      <c r="E705">
        <v>0</v>
      </c>
      <c r="G705">
        <v>2.7900000000000001E-2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>
      <c r="A706">
        <f t="shared" si="10"/>
        <v>705</v>
      </c>
      <c r="B706" t="s">
        <v>65</v>
      </c>
      <c r="C706">
        <v>523.15</v>
      </c>
      <c r="D706">
        <v>294</v>
      </c>
      <c r="E706">
        <v>0</v>
      </c>
      <c r="G706">
        <v>4.3400000000000001E-2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>
      <c r="A707">
        <f t="shared" si="10"/>
        <v>706</v>
      </c>
      <c r="B707" t="s">
        <v>65</v>
      </c>
      <c r="C707">
        <v>523.15</v>
      </c>
      <c r="D707">
        <v>294</v>
      </c>
      <c r="E707">
        <v>0</v>
      </c>
      <c r="G707">
        <v>4.3400000000000001E-2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>
      <c r="A708">
        <f t="shared" ref="A708:A771" si="11">A707+1</f>
        <v>707</v>
      </c>
      <c r="B708" t="s">
        <v>65</v>
      </c>
      <c r="C708">
        <v>523.15</v>
      </c>
      <c r="D708">
        <v>294</v>
      </c>
      <c r="E708">
        <v>0</v>
      </c>
      <c r="G708">
        <v>4.1700000000000001E-2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>
      <c r="A709">
        <f t="shared" si="11"/>
        <v>708</v>
      </c>
      <c r="B709" t="s">
        <v>65</v>
      </c>
      <c r="C709">
        <v>523.15</v>
      </c>
      <c r="D709">
        <v>294</v>
      </c>
      <c r="E709">
        <v>0</v>
      </c>
      <c r="G709">
        <v>4.2999999999999997E-2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>
      <c r="A710">
        <f t="shared" si="11"/>
        <v>709</v>
      </c>
      <c r="B710" t="s">
        <v>65</v>
      </c>
      <c r="C710">
        <v>523.15</v>
      </c>
      <c r="D710">
        <v>294</v>
      </c>
      <c r="E710">
        <v>0</v>
      </c>
      <c r="G710">
        <v>4.4000000000000004E-2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>
      <c r="A711">
        <f t="shared" si="11"/>
        <v>710</v>
      </c>
      <c r="B711" t="s">
        <v>65</v>
      </c>
      <c r="C711">
        <v>523.15</v>
      </c>
      <c r="D711">
        <v>392</v>
      </c>
      <c r="E711">
        <v>0</v>
      </c>
      <c r="G711">
        <v>5.6900000000000006E-2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>
      <c r="A712">
        <f t="shared" si="11"/>
        <v>711</v>
      </c>
      <c r="B712" t="s">
        <v>65</v>
      </c>
      <c r="C712">
        <v>523.15</v>
      </c>
      <c r="D712">
        <v>392</v>
      </c>
      <c r="E712">
        <v>0</v>
      </c>
      <c r="G712">
        <v>5.6100000000000004E-2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>
      <c r="A713">
        <f t="shared" si="11"/>
        <v>712</v>
      </c>
      <c r="B713" t="s">
        <v>65</v>
      </c>
      <c r="C713">
        <v>523.15</v>
      </c>
      <c r="D713">
        <v>392</v>
      </c>
      <c r="E713">
        <v>0</v>
      </c>
      <c r="G713">
        <v>5.5300000000000002E-2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>
      <c r="A714">
        <f t="shared" si="11"/>
        <v>713</v>
      </c>
      <c r="B714" t="s">
        <v>65</v>
      </c>
      <c r="C714">
        <v>523.15</v>
      </c>
      <c r="D714">
        <v>392</v>
      </c>
      <c r="E714">
        <v>0</v>
      </c>
      <c r="G714">
        <v>5.5999999999999994E-2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>
      <c r="A715">
        <f t="shared" si="11"/>
        <v>714</v>
      </c>
      <c r="B715" t="s">
        <v>65</v>
      </c>
      <c r="C715">
        <v>523.15</v>
      </c>
      <c r="D715">
        <v>392</v>
      </c>
      <c r="E715">
        <v>0</v>
      </c>
      <c r="G715">
        <v>5.5300000000000002E-2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>
      <c r="A716">
        <f t="shared" si="11"/>
        <v>715</v>
      </c>
      <c r="B716" t="s">
        <v>65</v>
      </c>
      <c r="C716">
        <v>523.15</v>
      </c>
      <c r="D716">
        <v>392</v>
      </c>
      <c r="E716">
        <v>0</v>
      </c>
      <c r="G716">
        <v>5.5800000000000002E-2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>
      <c r="A717">
        <f t="shared" si="11"/>
        <v>716</v>
      </c>
      <c r="B717" t="s">
        <v>65</v>
      </c>
      <c r="C717">
        <v>523.15</v>
      </c>
      <c r="D717">
        <v>392</v>
      </c>
      <c r="E717">
        <v>0</v>
      </c>
      <c r="G717">
        <v>5.5399999999999998E-2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>
      <c r="A718">
        <f t="shared" si="11"/>
        <v>717</v>
      </c>
      <c r="B718" t="s">
        <v>65</v>
      </c>
      <c r="C718">
        <v>523.15</v>
      </c>
      <c r="D718">
        <v>490</v>
      </c>
      <c r="E718">
        <v>0</v>
      </c>
      <c r="G718">
        <v>6.5000000000000002E-2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>
      <c r="A719">
        <f t="shared" si="11"/>
        <v>718</v>
      </c>
      <c r="B719" t="s">
        <v>65</v>
      </c>
      <c r="C719">
        <v>523.15</v>
      </c>
      <c r="D719">
        <v>490</v>
      </c>
      <c r="E719">
        <v>0</v>
      </c>
      <c r="G719">
        <v>6.6000000000000003E-2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>
      <c r="A720">
        <f t="shared" si="11"/>
        <v>719</v>
      </c>
      <c r="B720" t="s">
        <v>65</v>
      </c>
      <c r="C720">
        <v>473.15</v>
      </c>
      <c r="D720">
        <v>196</v>
      </c>
      <c r="E720">
        <v>0</v>
      </c>
      <c r="F720">
        <v>0.15100000000000002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>
      <c r="A721">
        <f t="shared" si="11"/>
        <v>720</v>
      </c>
      <c r="B721" t="s">
        <v>65</v>
      </c>
      <c r="C721">
        <v>473.15</v>
      </c>
      <c r="D721">
        <v>196</v>
      </c>
      <c r="E721">
        <v>0</v>
      </c>
      <c r="F721">
        <v>0.14900000000000002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>
      <c r="A722">
        <f t="shared" si="11"/>
        <v>721</v>
      </c>
      <c r="B722" t="s">
        <v>65</v>
      </c>
      <c r="C722">
        <v>473.15</v>
      </c>
      <c r="D722">
        <v>196</v>
      </c>
      <c r="E722">
        <v>0</v>
      </c>
      <c r="F722">
        <v>0.15300000000000002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>
      <c r="A723">
        <f t="shared" si="11"/>
        <v>722</v>
      </c>
      <c r="B723" t="s">
        <v>65</v>
      </c>
      <c r="C723">
        <v>473.15</v>
      </c>
      <c r="D723">
        <v>196</v>
      </c>
      <c r="E723">
        <v>0</v>
      </c>
      <c r="F723">
        <v>0.16600000000000004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>
      <c r="A724">
        <f t="shared" si="11"/>
        <v>723</v>
      </c>
      <c r="B724" t="s">
        <v>65</v>
      </c>
      <c r="C724">
        <v>473.15</v>
      </c>
      <c r="D724">
        <v>196</v>
      </c>
      <c r="E724">
        <v>0</v>
      </c>
      <c r="F724">
        <v>0.15000000000000002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>
      <c r="A725">
        <f t="shared" si="11"/>
        <v>724</v>
      </c>
      <c r="B725" t="s">
        <v>65</v>
      </c>
      <c r="C725">
        <v>473.15</v>
      </c>
      <c r="D725">
        <v>196</v>
      </c>
      <c r="E725">
        <v>0</v>
      </c>
      <c r="F725">
        <v>0.15800000000000003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>
      <c r="A726">
        <f t="shared" si="11"/>
        <v>725</v>
      </c>
      <c r="B726" t="s">
        <v>65</v>
      </c>
      <c r="C726">
        <v>473.15</v>
      </c>
      <c r="D726">
        <v>588</v>
      </c>
      <c r="E726">
        <v>0</v>
      </c>
      <c r="F726">
        <v>0.18200000000000005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>
      <c r="A727">
        <f t="shared" si="11"/>
        <v>726</v>
      </c>
      <c r="B727" t="s">
        <v>65</v>
      </c>
      <c r="C727">
        <v>523.15</v>
      </c>
      <c r="D727">
        <v>196</v>
      </c>
      <c r="E727">
        <v>0</v>
      </c>
      <c r="F727">
        <v>0.35599999999999998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>
      <c r="A728">
        <f t="shared" si="11"/>
        <v>727</v>
      </c>
      <c r="B728" t="s">
        <v>65</v>
      </c>
      <c r="C728">
        <v>523.15</v>
      </c>
      <c r="D728">
        <v>196</v>
      </c>
      <c r="E728">
        <v>0</v>
      </c>
      <c r="F728">
        <v>0.37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>
      <c r="A729">
        <f t="shared" si="11"/>
        <v>728</v>
      </c>
      <c r="B729" t="s">
        <v>65</v>
      </c>
      <c r="C729">
        <v>523.15</v>
      </c>
      <c r="D729">
        <v>196</v>
      </c>
      <c r="E729">
        <v>0</v>
      </c>
      <c r="F729">
        <v>0.34399999999999997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>
      <c r="A730">
        <f t="shared" si="11"/>
        <v>729</v>
      </c>
      <c r="B730" t="s">
        <v>65</v>
      </c>
      <c r="C730">
        <v>523.15</v>
      </c>
      <c r="D730">
        <v>196</v>
      </c>
      <c r="E730">
        <v>0</v>
      </c>
      <c r="F730">
        <v>0.38500000000000001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>
      <c r="A731">
        <f t="shared" si="11"/>
        <v>730</v>
      </c>
      <c r="B731" t="s">
        <v>65</v>
      </c>
      <c r="C731">
        <v>523.15</v>
      </c>
      <c r="D731">
        <v>490</v>
      </c>
      <c r="E731">
        <v>0</v>
      </c>
      <c r="F731">
        <v>0.32699999999999996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>
      <c r="A732">
        <f t="shared" si="11"/>
        <v>731</v>
      </c>
      <c r="B732" t="s">
        <v>65</v>
      </c>
      <c r="C732">
        <v>523.15</v>
      </c>
      <c r="D732">
        <v>490</v>
      </c>
      <c r="E732">
        <v>0</v>
      </c>
      <c r="F732">
        <v>0.32599999999999996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>
      <c r="A733">
        <f t="shared" si="11"/>
        <v>732</v>
      </c>
      <c r="B733" t="s">
        <v>65</v>
      </c>
      <c r="C733">
        <v>523.15</v>
      </c>
      <c r="D733">
        <v>490</v>
      </c>
      <c r="E733">
        <v>0</v>
      </c>
      <c r="F733">
        <v>0.33099999999999996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>
      <c r="A734">
        <f t="shared" si="11"/>
        <v>733</v>
      </c>
      <c r="B734" t="s">
        <v>65</v>
      </c>
      <c r="C734">
        <v>523.15</v>
      </c>
      <c r="D734">
        <v>490</v>
      </c>
      <c r="E734">
        <v>0</v>
      </c>
      <c r="F734">
        <v>0.33599999999999997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>
      <c r="A735">
        <f t="shared" si="11"/>
        <v>734</v>
      </c>
      <c r="B735" t="s">
        <v>66</v>
      </c>
      <c r="C735">
        <v>450.15</v>
      </c>
      <c r="D735">
        <v>25.254000000000001</v>
      </c>
      <c r="E735">
        <v>0</v>
      </c>
      <c r="G735">
        <v>2.235E-3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>
      <c r="A736">
        <f t="shared" si="11"/>
        <v>735</v>
      </c>
      <c r="B736" t="s">
        <v>66</v>
      </c>
      <c r="C736">
        <v>474.15</v>
      </c>
      <c r="D736">
        <v>34.131999999999998</v>
      </c>
      <c r="E736">
        <v>0</v>
      </c>
      <c r="G736">
        <v>2.8319999999999999E-3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>
      <c r="A737">
        <f t="shared" si="11"/>
        <v>736</v>
      </c>
      <c r="B737" t="s">
        <v>66</v>
      </c>
      <c r="C737">
        <v>477.15</v>
      </c>
      <c r="D737">
        <v>53.457999999999998</v>
      </c>
      <c r="E737">
        <v>0</v>
      </c>
      <c r="G737">
        <v>5.816E-3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>
      <c r="A738">
        <f t="shared" si="11"/>
        <v>737</v>
      </c>
      <c r="B738" t="s">
        <v>66</v>
      </c>
      <c r="C738">
        <v>502.15</v>
      </c>
      <c r="D738">
        <v>74.355000000000004</v>
      </c>
      <c r="E738">
        <v>0</v>
      </c>
      <c r="G738">
        <v>7.6709999999999999E-3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>
      <c r="A739">
        <f t="shared" si="11"/>
        <v>738</v>
      </c>
      <c r="B739" t="s">
        <v>66</v>
      </c>
      <c r="C739">
        <v>502.15</v>
      </c>
      <c r="D739">
        <v>71.518000000000001</v>
      </c>
      <c r="E739">
        <v>0</v>
      </c>
      <c r="G739">
        <v>7.5430000000000002E-3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>
      <c r="A740">
        <f t="shared" si="11"/>
        <v>739</v>
      </c>
      <c r="B740" t="s">
        <v>66</v>
      </c>
      <c r="C740">
        <v>508.15</v>
      </c>
      <c r="D740">
        <v>60.697000000000003</v>
      </c>
      <c r="E740">
        <v>0</v>
      </c>
      <c r="G740">
        <v>4.7280000000000004E-3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>
      <c r="A741">
        <f t="shared" si="11"/>
        <v>740</v>
      </c>
      <c r="B741" t="s">
        <v>66</v>
      </c>
      <c r="C741">
        <v>534.15</v>
      </c>
      <c r="D741">
        <v>101.46299999999999</v>
      </c>
      <c r="E741">
        <v>0</v>
      </c>
      <c r="G741">
        <v>1.078E-2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>
      <c r="A742">
        <f t="shared" si="11"/>
        <v>741</v>
      </c>
      <c r="B742" t="s">
        <v>66</v>
      </c>
      <c r="C742">
        <v>534.15</v>
      </c>
      <c r="D742">
        <v>97.917000000000002</v>
      </c>
      <c r="E742">
        <v>0</v>
      </c>
      <c r="G742">
        <v>1.01E-2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>
      <c r="A743">
        <f t="shared" si="11"/>
        <v>742</v>
      </c>
      <c r="B743" t="s">
        <v>66</v>
      </c>
      <c r="C743">
        <v>538.15</v>
      </c>
      <c r="D743">
        <v>74.227000000000004</v>
      </c>
      <c r="E743">
        <v>0</v>
      </c>
      <c r="G743">
        <v>4.718E-3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>
      <c r="A744">
        <f t="shared" si="11"/>
        <v>743</v>
      </c>
      <c r="B744" t="s">
        <v>67</v>
      </c>
      <c r="C744">
        <v>323.14999999999998</v>
      </c>
      <c r="D744">
        <v>100</v>
      </c>
      <c r="E744">
        <v>0</v>
      </c>
      <c r="G744">
        <v>1.9990000000000001E-2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>
      <c r="A745">
        <f t="shared" si="11"/>
        <v>744</v>
      </c>
      <c r="B745" t="s">
        <v>67</v>
      </c>
      <c r="C745">
        <v>323.14999999999998</v>
      </c>
      <c r="D745">
        <v>200</v>
      </c>
      <c r="E745">
        <v>0</v>
      </c>
      <c r="G745">
        <v>2.2929999999999999E-2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>
      <c r="A746">
        <f t="shared" si="11"/>
        <v>745</v>
      </c>
      <c r="B746" t="s">
        <v>67</v>
      </c>
      <c r="C746">
        <v>323.14999999999998</v>
      </c>
      <c r="D746">
        <v>400</v>
      </c>
      <c r="E746">
        <v>0</v>
      </c>
      <c r="G746">
        <v>2.6550000000000001E-2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>
      <c r="A747">
        <f t="shared" si="11"/>
        <v>746</v>
      </c>
      <c r="B747" t="s">
        <v>67</v>
      </c>
      <c r="C747">
        <v>323.14999999999998</v>
      </c>
      <c r="D747">
        <v>600</v>
      </c>
      <c r="E747">
        <v>0</v>
      </c>
      <c r="G747">
        <v>2.8539999999999999E-2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>
      <c r="A748">
        <f t="shared" si="11"/>
        <v>747</v>
      </c>
      <c r="B748" t="s">
        <v>67</v>
      </c>
      <c r="C748">
        <v>373.15</v>
      </c>
      <c r="D748">
        <v>100</v>
      </c>
      <c r="E748">
        <v>0</v>
      </c>
      <c r="G748">
        <v>1.444E-2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>
      <c r="A749">
        <f t="shared" si="11"/>
        <v>748</v>
      </c>
      <c r="B749" t="s">
        <v>67</v>
      </c>
      <c r="C749">
        <v>373.15</v>
      </c>
      <c r="D749">
        <v>200</v>
      </c>
      <c r="E749">
        <v>0</v>
      </c>
      <c r="G749">
        <v>2.0299999999999999E-2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>
      <c r="A750">
        <f t="shared" si="11"/>
        <v>749</v>
      </c>
      <c r="B750" t="s">
        <v>67</v>
      </c>
      <c r="C750">
        <v>373.15</v>
      </c>
      <c r="D750">
        <v>400</v>
      </c>
      <c r="E750">
        <v>0</v>
      </c>
      <c r="G750">
        <v>2.5090000000000001E-2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>
      <c r="A751">
        <f t="shared" si="11"/>
        <v>750</v>
      </c>
      <c r="B751" t="s">
        <v>67</v>
      </c>
      <c r="C751">
        <v>373.15</v>
      </c>
      <c r="D751">
        <v>600</v>
      </c>
      <c r="E751">
        <v>0</v>
      </c>
      <c r="G751">
        <v>2.9069999999999999E-2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>
      <c r="A752">
        <f t="shared" si="11"/>
        <v>751</v>
      </c>
      <c r="B752" t="s">
        <v>67</v>
      </c>
      <c r="C752">
        <v>373.15</v>
      </c>
      <c r="D752">
        <v>800</v>
      </c>
      <c r="E752">
        <v>0</v>
      </c>
      <c r="G752">
        <v>3.5209999999999998E-2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>
      <c r="A753">
        <f t="shared" si="11"/>
        <v>752</v>
      </c>
      <c r="B753" t="s">
        <v>67</v>
      </c>
      <c r="C753">
        <v>423.15</v>
      </c>
      <c r="D753">
        <v>100</v>
      </c>
      <c r="E753">
        <v>0</v>
      </c>
      <c r="G753">
        <v>1.1599999999999999E-2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>
      <c r="A754">
        <f t="shared" si="11"/>
        <v>753</v>
      </c>
      <c r="B754" t="s">
        <v>67</v>
      </c>
      <c r="C754">
        <v>423.15</v>
      </c>
      <c r="D754">
        <v>200</v>
      </c>
      <c r="E754">
        <v>0</v>
      </c>
      <c r="G754">
        <v>2.0920000000000001E-2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>
      <c r="A755">
        <f t="shared" si="11"/>
        <v>754</v>
      </c>
      <c r="B755" t="s">
        <v>67</v>
      </c>
      <c r="C755">
        <v>423.15</v>
      </c>
      <c r="D755">
        <v>400</v>
      </c>
      <c r="E755">
        <v>0</v>
      </c>
      <c r="G755">
        <v>3.0370000000000001E-2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>
      <c r="A756">
        <f t="shared" si="11"/>
        <v>755</v>
      </c>
      <c r="B756" t="s">
        <v>67</v>
      </c>
      <c r="C756">
        <v>423.15</v>
      </c>
      <c r="D756">
        <v>600</v>
      </c>
      <c r="E756">
        <v>0</v>
      </c>
      <c r="G756">
        <v>4.2909999999999997E-2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>
      <c r="A757">
        <f t="shared" si="11"/>
        <v>756</v>
      </c>
      <c r="B757" t="s">
        <v>67</v>
      </c>
      <c r="C757">
        <v>423.15</v>
      </c>
      <c r="D757">
        <v>800</v>
      </c>
      <c r="E757">
        <v>0</v>
      </c>
      <c r="G757">
        <v>5.8229999999999997E-2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>
      <c r="A758">
        <f t="shared" si="11"/>
        <v>757</v>
      </c>
      <c r="B758" t="s">
        <v>68</v>
      </c>
      <c r="C758">
        <v>306.14999999999998</v>
      </c>
      <c r="D758">
        <v>8</v>
      </c>
      <c r="E758">
        <v>0</v>
      </c>
      <c r="G758">
        <v>3.7600000000000003E-3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>
      <c r="A759">
        <f t="shared" si="11"/>
        <v>758</v>
      </c>
      <c r="B759" t="s">
        <v>68</v>
      </c>
      <c r="C759">
        <v>399.45</v>
      </c>
      <c r="D759">
        <v>20</v>
      </c>
      <c r="E759">
        <v>0</v>
      </c>
      <c r="G759">
        <v>2.8649999999999999E-3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>
      <c r="A760">
        <f t="shared" si="11"/>
        <v>759</v>
      </c>
      <c r="B760" t="s">
        <v>68</v>
      </c>
      <c r="C760">
        <v>405.65</v>
      </c>
      <c r="D760">
        <v>20</v>
      </c>
      <c r="E760">
        <v>0</v>
      </c>
      <c r="G760">
        <v>2.7160000000000001E-3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>
      <c r="A761">
        <f t="shared" si="11"/>
        <v>760</v>
      </c>
      <c r="B761" t="s">
        <v>68</v>
      </c>
      <c r="C761">
        <v>419.15</v>
      </c>
      <c r="D761">
        <v>28</v>
      </c>
      <c r="E761">
        <v>0</v>
      </c>
      <c r="G761">
        <v>4.1580000000000002E-3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>
      <c r="A762">
        <f t="shared" si="11"/>
        <v>761</v>
      </c>
      <c r="B762" t="s">
        <v>68</v>
      </c>
      <c r="C762">
        <v>426.65</v>
      </c>
      <c r="D762">
        <v>31</v>
      </c>
      <c r="E762">
        <v>0</v>
      </c>
      <c r="G762">
        <v>4.3560000000000005E-3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>
      <c r="A763">
        <f t="shared" si="11"/>
        <v>762</v>
      </c>
      <c r="B763" t="s">
        <v>68</v>
      </c>
      <c r="C763">
        <v>471.25</v>
      </c>
      <c r="D763">
        <v>41</v>
      </c>
      <c r="E763">
        <v>0</v>
      </c>
      <c r="G763">
        <v>4.7580000000000001E-3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>
      <c r="A764">
        <f t="shared" si="11"/>
        <v>763</v>
      </c>
      <c r="B764" t="s">
        <v>68</v>
      </c>
      <c r="C764">
        <v>486.25</v>
      </c>
      <c r="D764">
        <v>58</v>
      </c>
      <c r="E764">
        <v>0</v>
      </c>
      <c r="G764">
        <v>7.1720000000000004E-3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>
      <c r="A765">
        <f t="shared" si="11"/>
        <v>764</v>
      </c>
      <c r="B765" t="s">
        <v>69</v>
      </c>
      <c r="C765">
        <v>373.15</v>
      </c>
      <c r="D765">
        <v>3.25</v>
      </c>
      <c r="E765">
        <v>0</v>
      </c>
      <c r="F765">
        <v>0.28799999999999992</v>
      </c>
      <c r="G765">
        <v>4.4999999999999999E-4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>
      <c r="A766">
        <f t="shared" si="11"/>
        <v>765</v>
      </c>
      <c r="B766" t="s">
        <v>69</v>
      </c>
      <c r="C766">
        <v>373.15</v>
      </c>
      <c r="D766">
        <v>6</v>
      </c>
      <c r="E766">
        <v>0</v>
      </c>
      <c r="F766">
        <v>0.15500000000000003</v>
      </c>
      <c r="G766">
        <v>9.7999999999999997E-4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>
      <c r="A767">
        <f t="shared" si="11"/>
        <v>766</v>
      </c>
      <c r="B767" t="s">
        <v>69</v>
      </c>
      <c r="C767">
        <v>373.15</v>
      </c>
      <c r="D767">
        <v>9.2000000000000011</v>
      </c>
      <c r="E767">
        <v>0</v>
      </c>
      <c r="F767">
        <v>0.10699999999999998</v>
      </c>
      <c r="G767">
        <v>1.5900000000000001E-3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>
      <c r="A768">
        <f t="shared" si="11"/>
        <v>767</v>
      </c>
      <c r="B768" t="s">
        <v>69</v>
      </c>
      <c r="C768">
        <v>373.15</v>
      </c>
      <c r="D768">
        <v>11.91</v>
      </c>
      <c r="E768">
        <v>0</v>
      </c>
      <c r="F768">
        <v>7.7000000000000068E-2</v>
      </c>
      <c r="G768">
        <v>2.0799999999999998E-3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>
      <c r="A769">
        <f t="shared" si="11"/>
        <v>768</v>
      </c>
      <c r="B769" t="s">
        <v>69</v>
      </c>
      <c r="C769">
        <v>373.15</v>
      </c>
      <c r="D769">
        <v>14.52</v>
      </c>
      <c r="E769">
        <v>0</v>
      </c>
      <c r="F769">
        <v>6.9000000000000061E-2</v>
      </c>
      <c r="G769">
        <v>2.6099999999999999E-3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>
      <c r="A770">
        <f t="shared" si="11"/>
        <v>769</v>
      </c>
      <c r="B770" t="s">
        <v>69</v>
      </c>
      <c r="C770">
        <v>373.15</v>
      </c>
      <c r="D770">
        <v>18.16</v>
      </c>
      <c r="E770">
        <v>0</v>
      </c>
      <c r="F770">
        <v>5.4000000000000048E-2</v>
      </c>
      <c r="G770">
        <v>3.2799999999999999E-3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>
      <c r="A771">
        <f t="shared" si="11"/>
        <v>770</v>
      </c>
      <c r="B771" t="s">
        <v>69</v>
      </c>
      <c r="C771">
        <v>373.15</v>
      </c>
      <c r="D771">
        <v>23.07</v>
      </c>
      <c r="E771">
        <v>0</v>
      </c>
      <c r="F771">
        <v>4.500000000000004E-2</v>
      </c>
      <c r="G771">
        <v>4.1399999999999996E-3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>
      <c r="A772">
        <f t="shared" ref="A772:A835" si="12">A771+1</f>
        <v>771</v>
      </c>
      <c r="B772" t="s">
        <v>69</v>
      </c>
      <c r="C772">
        <v>393.15</v>
      </c>
      <c r="D772">
        <v>5.99</v>
      </c>
      <c r="E772">
        <v>0</v>
      </c>
      <c r="F772">
        <v>0.33700000000000008</v>
      </c>
      <c r="G772">
        <v>7.0999999999999991E-4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>
      <c r="A773">
        <f t="shared" si="12"/>
        <v>772</v>
      </c>
      <c r="B773" t="s">
        <v>69</v>
      </c>
      <c r="C773">
        <v>393.15</v>
      </c>
      <c r="D773">
        <v>9.3899999999999988</v>
      </c>
      <c r="E773">
        <v>0</v>
      </c>
      <c r="F773">
        <v>0.20499999999999996</v>
      </c>
      <c r="G773">
        <v>1.2700000000000001E-3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>
      <c r="A774">
        <f t="shared" si="12"/>
        <v>773</v>
      </c>
      <c r="B774" t="s">
        <v>69</v>
      </c>
      <c r="C774">
        <v>393.15</v>
      </c>
      <c r="D774">
        <v>12.649999999999999</v>
      </c>
      <c r="E774">
        <v>0</v>
      </c>
      <c r="F774">
        <v>0.16000000000000003</v>
      </c>
      <c r="G774">
        <v>1.81E-3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>
      <c r="A775">
        <f t="shared" si="12"/>
        <v>774</v>
      </c>
      <c r="B775" t="s">
        <v>69</v>
      </c>
      <c r="C775">
        <v>393.15</v>
      </c>
      <c r="D775">
        <v>16.309999999999999</v>
      </c>
      <c r="E775">
        <v>0</v>
      </c>
      <c r="F775">
        <v>0.122</v>
      </c>
      <c r="G775">
        <v>2.3899999999999998E-3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>
      <c r="A776">
        <f t="shared" si="12"/>
        <v>775</v>
      </c>
      <c r="B776" t="s">
        <v>69</v>
      </c>
      <c r="C776">
        <v>393.15</v>
      </c>
      <c r="D776">
        <v>19.950000000000003</v>
      </c>
      <c r="E776">
        <v>0</v>
      </c>
      <c r="F776">
        <v>0.10199999999999998</v>
      </c>
      <c r="G776">
        <v>2.98E-3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>
      <c r="A777">
        <f t="shared" si="12"/>
        <v>776</v>
      </c>
      <c r="B777" t="s">
        <v>69</v>
      </c>
      <c r="C777">
        <v>393.15</v>
      </c>
      <c r="D777">
        <v>24.119999999999997</v>
      </c>
      <c r="E777">
        <v>0</v>
      </c>
      <c r="F777">
        <v>8.2999999999999963E-2</v>
      </c>
      <c r="G777">
        <v>3.63E-3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>
      <c r="A778">
        <f t="shared" si="12"/>
        <v>777</v>
      </c>
      <c r="B778" t="s">
        <v>69</v>
      </c>
      <c r="C778">
        <v>393.15</v>
      </c>
      <c r="D778">
        <v>28.479999999999997</v>
      </c>
      <c r="E778">
        <v>0</v>
      </c>
      <c r="F778">
        <v>7.4000000000000066E-2</v>
      </c>
      <c r="G778">
        <v>4.28E-3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>
      <c r="A779">
        <f t="shared" si="12"/>
        <v>778</v>
      </c>
      <c r="B779" t="s">
        <v>69</v>
      </c>
      <c r="C779">
        <v>413.15</v>
      </c>
      <c r="D779">
        <v>6.5</v>
      </c>
      <c r="E779">
        <v>0</v>
      </c>
      <c r="F779">
        <v>0.56899999999999995</v>
      </c>
      <c r="G779">
        <v>4.6999999999999999E-4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>
      <c r="A780">
        <f t="shared" si="12"/>
        <v>779</v>
      </c>
      <c r="B780" t="s">
        <v>69</v>
      </c>
      <c r="C780">
        <v>413.15</v>
      </c>
      <c r="D780">
        <v>9.26</v>
      </c>
      <c r="E780">
        <v>0</v>
      </c>
      <c r="F780">
        <v>0.40600000000000003</v>
      </c>
      <c r="G780">
        <v>9.2000000000000003E-4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>
      <c r="A781">
        <f t="shared" si="12"/>
        <v>780</v>
      </c>
      <c r="B781" t="s">
        <v>69</v>
      </c>
      <c r="C781">
        <v>413.15</v>
      </c>
      <c r="D781">
        <v>11.93</v>
      </c>
      <c r="E781">
        <v>0</v>
      </c>
      <c r="F781">
        <v>0.31700000000000006</v>
      </c>
      <c r="G781">
        <v>1.33E-3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>
      <c r="A782">
        <f t="shared" si="12"/>
        <v>781</v>
      </c>
      <c r="B782" t="s">
        <v>69</v>
      </c>
      <c r="C782">
        <v>413.15</v>
      </c>
      <c r="D782">
        <v>16.03</v>
      </c>
      <c r="E782">
        <v>0</v>
      </c>
      <c r="F782">
        <v>0.24199999999999999</v>
      </c>
      <c r="G782">
        <v>1.97E-3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>
      <c r="A783">
        <f t="shared" si="12"/>
        <v>782</v>
      </c>
      <c r="B783" t="s">
        <v>69</v>
      </c>
      <c r="C783">
        <v>413.15</v>
      </c>
      <c r="D783">
        <v>20.099999999999998</v>
      </c>
      <c r="E783">
        <v>0</v>
      </c>
      <c r="F783">
        <v>0.19999999999999996</v>
      </c>
      <c r="G783">
        <v>2.5800000000000003E-3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>
      <c r="A784">
        <f t="shared" si="12"/>
        <v>783</v>
      </c>
      <c r="B784" t="s">
        <v>69</v>
      </c>
      <c r="C784">
        <v>413.15</v>
      </c>
      <c r="D784">
        <v>24.89</v>
      </c>
      <c r="E784">
        <v>0</v>
      </c>
      <c r="F784">
        <v>0.16099999999999992</v>
      </c>
      <c r="G784">
        <v>3.2500000000000003E-3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>
      <c r="A785">
        <f t="shared" si="12"/>
        <v>784</v>
      </c>
      <c r="B785" t="s">
        <v>69</v>
      </c>
      <c r="C785">
        <v>413.15</v>
      </c>
      <c r="D785">
        <v>32.47</v>
      </c>
      <c r="E785">
        <v>0</v>
      </c>
      <c r="F785">
        <v>0.128</v>
      </c>
      <c r="G785">
        <v>4.3E-3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>
      <c r="A786">
        <f t="shared" si="12"/>
        <v>785</v>
      </c>
      <c r="B786" t="s">
        <v>69</v>
      </c>
      <c r="C786">
        <v>433.15</v>
      </c>
      <c r="D786">
        <v>8.7799999999999994</v>
      </c>
      <c r="E786">
        <v>0</v>
      </c>
      <c r="F786">
        <v>0.73199999999999998</v>
      </c>
      <c r="G786">
        <v>3.8999999999999999E-4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>
      <c r="A787">
        <f t="shared" si="12"/>
        <v>786</v>
      </c>
      <c r="B787" t="s">
        <v>69</v>
      </c>
      <c r="C787">
        <v>433.15</v>
      </c>
      <c r="D787">
        <v>11.44</v>
      </c>
      <c r="E787">
        <v>0</v>
      </c>
      <c r="F787">
        <v>0.57899999999999996</v>
      </c>
      <c r="G787">
        <v>8.4000000000000003E-4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>
      <c r="A788">
        <f t="shared" si="12"/>
        <v>787</v>
      </c>
      <c r="B788" t="s">
        <v>69</v>
      </c>
      <c r="C788">
        <v>433.15</v>
      </c>
      <c r="D788">
        <v>14.17</v>
      </c>
      <c r="E788">
        <v>0</v>
      </c>
      <c r="F788">
        <v>0.47599999999999998</v>
      </c>
      <c r="G788">
        <v>1.31E-3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>
      <c r="A789">
        <f t="shared" si="12"/>
        <v>788</v>
      </c>
      <c r="B789" t="s">
        <v>69</v>
      </c>
      <c r="C789">
        <v>433.15</v>
      </c>
      <c r="D789">
        <v>17.77</v>
      </c>
      <c r="E789">
        <v>0</v>
      </c>
      <c r="F789">
        <v>0.38800000000000001</v>
      </c>
      <c r="G789">
        <v>1.8599999999999999E-3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>
      <c r="A790">
        <f t="shared" si="12"/>
        <v>789</v>
      </c>
      <c r="B790" t="s">
        <v>69</v>
      </c>
      <c r="C790">
        <v>433.15</v>
      </c>
      <c r="D790">
        <v>21.83</v>
      </c>
      <c r="E790">
        <v>0</v>
      </c>
      <c r="F790">
        <v>0.32299999999999995</v>
      </c>
      <c r="G790">
        <v>2.49E-3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>
      <c r="A791">
        <f t="shared" si="12"/>
        <v>790</v>
      </c>
      <c r="B791" t="s">
        <v>69</v>
      </c>
      <c r="C791">
        <v>433.15</v>
      </c>
      <c r="D791">
        <v>25.880000000000003</v>
      </c>
      <c r="E791">
        <v>0</v>
      </c>
      <c r="F791">
        <v>0.27500000000000002</v>
      </c>
      <c r="G791">
        <v>3.0799999999999998E-3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>
      <c r="A792">
        <f t="shared" si="12"/>
        <v>791</v>
      </c>
      <c r="B792" t="s">
        <v>69</v>
      </c>
      <c r="C792">
        <v>433.15</v>
      </c>
      <c r="D792">
        <v>34.799999999999997</v>
      </c>
      <c r="E792">
        <v>0</v>
      </c>
      <c r="F792">
        <v>0.21099999999999997</v>
      </c>
      <c r="G792">
        <v>4.3400000000000001E-3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>
      <c r="A793">
        <f t="shared" si="12"/>
        <v>792</v>
      </c>
      <c r="B793" t="s">
        <v>69</v>
      </c>
      <c r="C793">
        <v>453.15</v>
      </c>
      <c r="D793">
        <v>14.39</v>
      </c>
      <c r="E793">
        <v>0</v>
      </c>
      <c r="F793">
        <v>0.72799999999999998</v>
      </c>
      <c r="G793">
        <v>8.1000000000000006E-4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>
      <c r="A794">
        <f t="shared" si="12"/>
        <v>793</v>
      </c>
      <c r="B794" t="s">
        <v>69</v>
      </c>
      <c r="C794">
        <v>453.15</v>
      </c>
      <c r="D794">
        <v>21.009999999999998</v>
      </c>
      <c r="E794">
        <v>0</v>
      </c>
      <c r="F794">
        <v>0.52200000000000002</v>
      </c>
      <c r="G794">
        <v>1.8599999999999999E-3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>
      <c r="A795">
        <f t="shared" si="12"/>
        <v>794</v>
      </c>
      <c r="B795" t="s">
        <v>69</v>
      </c>
      <c r="C795">
        <v>453.15</v>
      </c>
      <c r="D795">
        <v>26.150000000000002</v>
      </c>
      <c r="E795">
        <v>0</v>
      </c>
      <c r="F795">
        <v>0.43100000000000005</v>
      </c>
      <c r="G795">
        <v>2.7000000000000001E-3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>
      <c r="A796">
        <f t="shared" si="12"/>
        <v>795</v>
      </c>
      <c r="B796" t="s">
        <v>69</v>
      </c>
      <c r="C796">
        <v>453.15</v>
      </c>
      <c r="D796">
        <v>32.799999999999997</v>
      </c>
      <c r="E796">
        <v>0</v>
      </c>
      <c r="F796">
        <v>0.3590000000000001</v>
      </c>
      <c r="G796">
        <v>3.7399999999999998E-3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>
      <c r="A797">
        <f t="shared" si="12"/>
        <v>796</v>
      </c>
      <c r="B797" t="s">
        <v>69</v>
      </c>
      <c r="C797">
        <v>453.15</v>
      </c>
      <c r="D797">
        <v>40.700000000000003</v>
      </c>
      <c r="E797">
        <v>0</v>
      </c>
      <c r="F797">
        <v>0.30000000000000004</v>
      </c>
      <c r="G797">
        <v>4.9300000000000004E-3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>
      <c r="A798">
        <f t="shared" si="12"/>
        <v>797</v>
      </c>
      <c r="B798" t="s">
        <v>69</v>
      </c>
      <c r="C798">
        <v>453.15</v>
      </c>
      <c r="D798">
        <v>49.1</v>
      </c>
      <c r="E798">
        <v>0</v>
      </c>
      <c r="F798">
        <v>0.25700000000000001</v>
      </c>
      <c r="G798">
        <v>6.1500000000000001E-3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>
      <c r="A799">
        <f t="shared" si="12"/>
        <v>798</v>
      </c>
      <c r="B799" t="s">
        <v>69</v>
      </c>
      <c r="C799">
        <v>453.15</v>
      </c>
      <c r="D799">
        <v>62.699999999999996</v>
      </c>
      <c r="E799">
        <v>0</v>
      </c>
      <c r="F799">
        <v>0.20700000000000007</v>
      </c>
      <c r="G799">
        <v>7.8300000000000002E-3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>
      <c r="A800">
        <f t="shared" si="12"/>
        <v>799</v>
      </c>
      <c r="B800" t="s">
        <v>69</v>
      </c>
      <c r="C800">
        <v>473.15</v>
      </c>
      <c r="D800">
        <v>20</v>
      </c>
      <c r="E800">
        <v>0</v>
      </c>
      <c r="F800">
        <v>0.76700000000000002</v>
      </c>
      <c r="G800">
        <v>6.8000000000000005E-4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>
      <c r="A801">
        <f t="shared" si="12"/>
        <v>800</v>
      </c>
      <c r="B801" t="s">
        <v>69</v>
      </c>
      <c r="C801">
        <v>473.15</v>
      </c>
      <c r="D801">
        <v>24.94</v>
      </c>
      <c r="E801">
        <v>0</v>
      </c>
      <c r="F801">
        <v>0.629</v>
      </c>
      <c r="G801">
        <v>1.56E-3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>
      <c r="A802">
        <f t="shared" si="12"/>
        <v>801</v>
      </c>
      <c r="B802" t="s">
        <v>69</v>
      </c>
      <c r="C802">
        <v>473.15</v>
      </c>
      <c r="D802">
        <v>31</v>
      </c>
      <c r="E802">
        <v>0</v>
      </c>
      <c r="F802">
        <v>0.51400000000000001</v>
      </c>
      <c r="G802">
        <v>2.5700000000000002E-3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>
      <c r="A803">
        <f t="shared" si="12"/>
        <v>802</v>
      </c>
      <c r="B803" t="s">
        <v>69</v>
      </c>
      <c r="C803">
        <v>473.15</v>
      </c>
      <c r="D803">
        <v>37.599999999999994</v>
      </c>
      <c r="E803">
        <v>0</v>
      </c>
      <c r="F803">
        <v>0.42600000000000005</v>
      </c>
      <c r="G803">
        <v>3.7399999999999998E-3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>
      <c r="A804">
        <f t="shared" si="12"/>
        <v>803</v>
      </c>
      <c r="B804" t="s">
        <v>69</v>
      </c>
      <c r="C804">
        <v>473.15</v>
      </c>
      <c r="D804">
        <v>45.7</v>
      </c>
      <c r="E804">
        <v>0</v>
      </c>
      <c r="F804">
        <v>0.36499999999999999</v>
      </c>
      <c r="G804">
        <v>5.0000000000000001E-3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>
      <c r="A805">
        <f t="shared" si="12"/>
        <v>804</v>
      </c>
      <c r="B805" t="s">
        <v>69</v>
      </c>
      <c r="C805">
        <v>473.15</v>
      </c>
      <c r="D805">
        <v>60.4</v>
      </c>
      <c r="E805">
        <v>0</v>
      </c>
      <c r="F805">
        <v>0.29200000000000004</v>
      </c>
      <c r="G805">
        <v>7.1199999999999996E-3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>
      <c r="A806">
        <f t="shared" si="12"/>
        <v>805</v>
      </c>
      <c r="B806" t="s">
        <v>69</v>
      </c>
      <c r="C806">
        <v>473.15</v>
      </c>
      <c r="D806">
        <v>78</v>
      </c>
      <c r="E806">
        <v>0</v>
      </c>
      <c r="F806">
        <v>0.24400000000000011</v>
      </c>
      <c r="G806">
        <v>9.3200000000000002E-3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>
      <c r="A807">
        <f t="shared" si="12"/>
        <v>806</v>
      </c>
      <c r="B807" t="s">
        <v>69</v>
      </c>
      <c r="C807">
        <v>473.15</v>
      </c>
      <c r="D807">
        <v>20.270000000000003</v>
      </c>
      <c r="E807">
        <v>0</v>
      </c>
      <c r="F807">
        <v>0.755</v>
      </c>
      <c r="G807">
        <v>9.1E-4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>
      <c r="A808">
        <f t="shared" si="12"/>
        <v>807</v>
      </c>
      <c r="B808" t="s">
        <v>69</v>
      </c>
      <c r="C808">
        <v>473.15</v>
      </c>
      <c r="D808">
        <v>26.38</v>
      </c>
      <c r="E808">
        <v>0</v>
      </c>
      <c r="F808">
        <v>0.59200000000000008</v>
      </c>
      <c r="G808">
        <v>1.9599999999999999E-3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>
      <c r="A809">
        <f t="shared" si="12"/>
        <v>808</v>
      </c>
      <c r="B809" t="s">
        <v>69</v>
      </c>
      <c r="C809">
        <v>473.15</v>
      </c>
      <c r="D809">
        <v>34</v>
      </c>
      <c r="E809">
        <v>0</v>
      </c>
      <c r="F809">
        <v>0.47099999999999997</v>
      </c>
      <c r="G809">
        <v>3.2000000000000002E-3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>
      <c r="A810">
        <f t="shared" si="12"/>
        <v>809</v>
      </c>
      <c r="B810" t="s">
        <v>69</v>
      </c>
      <c r="C810">
        <v>473.15</v>
      </c>
      <c r="D810">
        <v>42</v>
      </c>
      <c r="E810">
        <v>0</v>
      </c>
      <c r="F810">
        <v>0.39200000000000002</v>
      </c>
      <c r="G810">
        <v>4.4800000000000005E-3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>
      <c r="A811">
        <f t="shared" si="12"/>
        <v>810</v>
      </c>
      <c r="B811" t="s">
        <v>69</v>
      </c>
      <c r="C811">
        <v>473.15</v>
      </c>
      <c r="D811">
        <v>51.2</v>
      </c>
      <c r="E811">
        <v>0</v>
      </c>
      <c r="F811">
        <v>0.33200000000000007</v>
      </c>
      <c r="G811">
        <v>5.8599999999999998E-3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>
      <c r="A812">
        <f t="shared" si="12"/>
        <v>811</v>
      </c>
      <c r="B812" t="s">
        <v>69</v>
      </c>
      <c r="C812">
        <v>473.15</v>
      </c>
      <c r="D812">
        <v>65.199999999999989</v>
      </c>
      <c r="E812">
        <v>0</v>
      </c>
      <c r="F812">
        <v>0.27599999999999991</v>
      </c>
      <c r="G812">
        <v>7.8900000000000012E-3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>
      <c r="A813">
        <f t="shared" si="12"/>
        <v>812</v>
      </c>
      <c r="B813" t="s">
        <v>69</v>
      </c>
      <c r="C813">
        <v>473.15</v>
      </c>
      <c r="D813">
        <v>81.099999999999994</v>
      </c>
      <c r="E813">
        <v>0</v>
      </c>
      <c r="F813">
        <v>0.23799999999999999</v>
      </c>
      <c r="G813">
        <v>1.0320000000000001E-2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>
      <c r="A814">
        <f t="shared" si="12"/>
        <v>813</v>
      </c>
      <c r="B814" t="s">
        <v>70</v>
      </c>
      <c r="C814">
        <v>268.14999999999998</v>
      </c>
      <c r="D814">
        <v>1.01</v>
      </c>
      <c r="E814">
        <v>0.54903839574461266</v>
      </c>
      <c r="G814">
        <v>1.2996234025323848E-3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>
      <c r="A815">
        <f t="shared" si="12"/>
        <v>814</v>
      </c>
      <c r="B815" t="s">
        <v>70</v>
      </c>
      <c r="C815">
        <v>268.14999999999998</v>
      </c>
      <c r="D815">
        <v>5.07</v>
      </c>
      <c r="E815">
        <v>0.54903839574461266</v>
      </c>
      <c r="G815">
        <v>6.0333804033905437E-3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>
      <c r="A816">
        <f t="shared" si="12"/>
        <v>815</v>
      </c>
      <c r="B816" t="s">
        <v>70</v>
      </c>
      <c r="C816">
        <v>268.14999999999998</v>
      </c>
      <c r="D816">
        <v>10.130000000000001</v>
      </c>
      <c r="E816">
        <v>0.54903839574461266</v>
      </c>
      <c r="G816">
        <v>1.1420383730151239E-2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>
      <c r="A817">
        <f t="shared" si="12"/>
        <v>816</v>
      </c>
      <c r="B817" t="s">
        <v>70</v>
      </c>
      <c r="C817">
        <v>268.14999999999998</v>
      </c>
      <c r="D817">
        <v>20.260000000000002</v>
      </c>
      <c r="E817">
        <v>0.54903839574461266</v>
      </c>
      <c r="G817">
        <v>1.967476445734356E-2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>
      <c r="A818">
        <f t="shared" si="12"/>
        <v>817</v>
      </c>
      <c r="B818" t="s">
        <v>70</v>
      </c>
      <c r="C818">
        <v>268.14999999999998</v>
      </c>
      <c r="D818">
        <v>30.4</v>
      </c>
      <c r="E818">
        <v>0.54903839574461266</v>
      </c>
      <c r="G818">
        <v>2.2983731401187941E-2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>
      <c r="A819">
        <f t="shared" si="12"/>
        <v>818</v>
      </c>
      <c r="B819" t="s">
        <v>70</v>
      </c>
      <c r="C819">
        <v>273.14999999999998</v>
      </c>
      <c r="D819">
        <v>1.01</v>
      </c>
      <c r="E819">
        <v>0.54903839574461266</v>
      </c>
      <c r="G819">
        <v>1.1111780217882236E-3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>
      <c r="A820">
        <f t="shared" si="12"/>
        <v>819</v>
      </c>
      <c r="B820" t="s">
        <v>70</v>
      </c>
      <c r="C820">
        <v>273.14999999999998</v>
      </c>
      <c r="D820">
        <v>5.07</v>
      </c>
      <c r="E820">
        <v>0.54903839574461266</v>
      </c>
      <c r="G820">
        <v>5.211538378803309E-3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>
      <c r="A821">
        <f t="shared" si="12"/>
        <v>820</v>
      </c>
      <c r="B821" t="s">
        <v>70</v>
      </c>
      <c r="C821">
        <v>273.14999999999998</v>
      </c>
      <c r="D821">
        <v>10.130000000000001</v>
      </c>
      <c r="E821">
        <v>0.54903839574461266</v>
      </c>
      <c r="G821">
        <v>9.8013689611831118E-3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>
      <c r="A822">
        <f t="shared" si="12"/>
        <v>821</v>
      </c>
      <c r="B822" t="s">
        <v>70</v>
      </c>
      <c r="C822">
        <v>273.14999999999998</v>
      </c>
      <c r="D822">
        <v>15.2</v>
      </c>
      <c r="E822">
        <v>0.54903839574461266</v>
      </c>
      <c r="G822">
        <v>1.3712432492491135E-2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>
      <c r="A823">
        <f t="shared" si="12"/>
        <v>822</v>
      </c>
      <c r="B823" t="s">
        <v>70</v>
      </c>
      <c r="C823">
        <v>273.14999999999998</v>
      </c>
      <c r="D823">
        <v>20.260000000000002</v>
      </c>
      <c r="E823">
        <v>0.54903839574461266</v>
      </c>
      <c r="G823">
        <v>1.7130646536265379E-2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>
      <c r="A824">
        <f t="shared" si="12"/>
        <v>823</v>
      </c>
      <c r="B824" t="s">
        <v>70</v>
      </c>
      <c r="C824">
        <v>273.14999999999998</v>
      </c>
      <c r="D824">
        <v>30.4</v>
      </c>
      <c r="E824">
        <v>0.54903839574461266</v>
      </c>
      <c r="G824">
        <v>2.2983731401187941E-2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>
      <c r="A825">
        <f t="shared" si="12"/>
        <v>824</v>
      </c>
      <c r="B825" t="s">
        <v>70</v>
      </c>
      <c r="C825">
        <v>273.14999999999998</v>
      </c>
      <c r="D825">
        <v>34.450000000000003</v>
      </c>
      <c r="E825">
        <v>0.54903839574461266</v>
      </c>
      <c r="G825">
        <v>2.4595905840915255E-2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>
      <c r="A826">
        <f t="shared" si="12"/>
        <v>825</v>
      </c>
      <c r="B826" t="s">
        <v>70</v>
      </c>
      <c r="C826">
        <v>278.14999999999998</v>
      </c>
      <c r="D826">
        <v>1.01</v>
      </c>
      <c r="E826">
        <v>0.54903839574461266</v>
      </c>
      <c r="G826">
        <v>9.2266151187591987E-4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>
      <c r="A827">
        <f t="shared" si="12"/>
        <v>826</v>
      </c>
      <c r="B827" t="s">
        <v>70</v>
      </c>
      <c r="C827">
        <v>278.14999999999998</v>
      </c>
      <c r="D827">
        <v>5.07</v>
      </c>
      <c r="E827">
        <v>0.54903839574461266</v>
      </c>
      <c r="G827">
        <v>4.3592081378980609E-3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>
      <c r="A828">
        <f t="shared" si="12"/>
        <v>827</v>
      </c>
      <c r="B828" t="s">
        <v>70</v>
      </c>
      <c r="C828">
        <v>278.14999999999998</v>
      </c>
      <c r="D828">
        <v>10.130000000000001</v>
      </c>
      <c r="E828">
        <v>0.54903839574461266</v>
      </c>
      <c r="G828">
        <v>8.3421917610673624E-3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>
      <c r="A829">
        <f t="shared" si="12"/>
        <v>828</v>
      </c>
      <c r="B829" t="s">
        <v>70</v>
      </c>
      <c r="C829">
        <v>278.14999999999998</v>
      </c>
      <c r="D829">
        <v>20.260000000000002</v>
      </c>
      <c r="E829">
        <v>0.54903839574461266</v>
      </c>
      <c r="G829">
        <v>1.4675187080461912E-2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>
      <c r="A830">
        <f t="shared" si="12"/>
        <v>829</v>
      </c>
      <c r="B830" t="s">
        <v>70</v>
      </c>
      <c r="C830">
        <v>278.14999999999998</v>
      </c>
      <c r="D830">
        <v>30.4</v>
      </c>
      <c r="E830">
        <v>0.54903839574461266</v>
      </c>
      <c r="G830">
        <v>1.9924823104460556E-2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>
      <c r="A831">
        <f t="shared" si="12"/>
        <v>830</v>
      </c>
      <c r="B831" t="s">
        <v>70</v>
      </c>
      <c r="C831">
        <v>278.14999999999998</v>
      </c>
      <c r="D831">
        <v>38.5</v>
      </c>
      <c r="E831">
        <v>0.54903839574461266</v>
      </c>
      <c r="G831">
        <v>2.2971710118647258E-2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>
      <c r="A832">
        <f t="shared" si="12"/>
        <v>831</v>
      </c>
      <c r="B832" t="s">
        <v>70</v>
      </c>
      <c r="C832">
        <v>283.14999999999998</v>
      </c>
      <c r="D832">
        <v>1.01</v>
      </c>
      <c r="E832">
        <v>0.54903839574461266</v>
      </c>
      <c r="G832">
        <v>8.011353858868416E-4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>
      <c r="A833">
        <f t="shared" si="12"/>
        <v>832</v>
      </c>
      <c r="B833" t="s">
        <v>70</v>
      </c>
      <c r="C833">
        <v>283.14999999999998</v>
      </c>
      <c r="D833">
        <v>5.07</v>
      </c>
      <c r="E833">
        <v>0.54903839574461266</v>
      </c>
      <c r="G833">
        <v>3.7179597009202388E-3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>
      <c r="A834">
        <f t="shared" si="12"/>
        <v>833</v>
      </c>
      <c r="B834" t="s">
        <v>70</v>
      </c>
      <c r="C834">
        <v>283.14999999999998</v>
      </c>
      <c r="D834">
        <v>10.130000000000001</v>
      </c>
      <c r="E834">
        <v>0.54903839574461266</v>
      </c>
      <c r="G834">
        <v>7.0898148692205617E-3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>
      <c r="A835">
        <f t="shared" si="12"/>
        <v>834</v>
      </c>
      <c r="B835" t="s">
        <v>70</v>
      </c>
      <c r="C835">
        <v>283.14999999999998</v>
      </c>
      <c r="D835">
        <v>20.260000000000002</v>
      </c>
      <c r="E835">
        <v>0.54903839574461266</v>
      </c>
      <c r="G835">
        <v>1.2608665888196662E-2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>
      <c r="A836">
        <f t="shared" ref="A836:A899" si="13">A835+1</f>
        <v>835</v>
      </c>
      <c r="B836" t="s">
        <v>70</v>
      </c>
      <c r="C836">
        <v>283.14999999999998</v>
      </c>
      <c r="D836">
        <v>30.4</v>
      </c>
      <c r="E836">
        <v>0.54903839574461266</v>
      </c>
      <c r="G836">
        <v>1.708198173526821E-2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>
      <c r="A837">
        <f t="shared" si="13"/>
        <v>836</v>
      </c>
      <c r="B837" t="s">
        <v>70</v>
      </c>
      <c r="C837">
        <v>283.14999999999998</v>
      </c>
      <c r="D837">
        <v>38.5</v>
      </c>
      <c r="E837">
        <v>0.54903839574461266</v>
      </c>
      <c r="G837">
        <v>1.9755442477757047E-2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>
      <c r="A838">
        <f t="shared" si="13"/>
        <v>837</v>
      </c>
      <c r="B838" t="s">
        <v>70</v>
      </c>
      <c r="C838">
        <v>285.55</v>
      </c>
      <c r="D838">
        <v>1.01</v>
      </c>
      <c r="E838">
        <v>0.54903839574461266</v>
      </c>
      <c r="G838">
        <v>7.2569050540627778E-4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>
      <c r="A839">
        <f t="shared" si="13"/>
        <v>838</v>
      </c>
      <c r="B839" t="s">
        <v>70</v>
      </c>
      <c r="C839">
        <v>285.55</v>
      </c>
      <c r="D839">
        <v>5.07</v>
      </c>
      <c r="E839">
        <v>0.54903839574461266</v>
      </c>
      <c r="G839">
        <v>3.3052922037177667E-3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>
      <c r="A840">
        <f t="shared" si="13"/>
        <v>839</v>
      </c>
      <c r="B840" t="s">
        <v>70</v>
      </c>
      <c r="C840">
        <v>285.55</v>
      </c>
      <c r="D840">
        <v>10.130000000000001</v>
      </c>
      <c r="E840">
        <v>0.54903839574461266</v>
      </c>
      <c r="G840">
        <v>6.497659715746347E-3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>
      <c r="A841">
        <f t="shared" si="13"/>
        <v>840</v>
      </c>
      <c r="B841" t="s">
        <v>70</v>
      </c>
      <c r="C841">
        <v>285.55</v>
      </c>
      <c r="D841">
        <v>20.260000000000002</v>
      </c>
      <c r="E841">
        <v>0.54903839574461266</v>
      </c>
      <c r="G841">
        <v>1.1637766079975033E-2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>
      <c r="A842">
        <f t="shared" si="13"/>
        <v>841</v>
      </c>
      <c r="B842" t="s">
        <v>70</v>
      </c>
      <c r="C842">
        <v>285.55</v>
      </c>
      <c r="D842">
        <v>30.4</v>
      </c>
      <c r="E842">
        <v>0.54903839574461266</v>
      </c>
      <c r="G842">
        <v>1.5721474897332496E-2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>
      <c r="A843">
        <f t="shared" si="13"/>
        <v>842</v>
      </c>
      <c r="B843" t="s">
        <v>70</v>
      </c>
      <c r="C843">
        <v>285.55</v>
      </c>
      <c r="D843">
        <v>45.6</v>
      </c>
      <c r="E843">
        <v>0.54903839574461266</v>
      </c>
      <c r="G843">
        <v>1.9961111337669066E-2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>
      <c r="A844">
        <f t="shared" si="13"/>
        <v>843</v>
      </c>
      <c r="B844" t="s">
        <v>70</v>
      </c>
      <c r="C844">
        <v>288.14999999999998</v>
      </c>
      <c r="D844">
        <v>1.01</v>
      </c>
      <c r="E844">
        <v>0.54903839574461266</v>
      </c>
      <c r="G844">
        <v>6.5023423107811082E-4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>
      <c r="A845">
        <f t="shared" si="13"/>
        <v>844</v>
      </c>
      <c r="B845" t="s">
        <v>70</v>
      </c>
      <c r="C845">
        <v>288.14999999999998</v>
      </c>
      <c r="D845">
        <v>5.07</v>
      </c>
      <c r="E845">
        <v>0.54903839574461266</v>
      </c>
      <c r="G845">
        <v>3.0967443202456683E-3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>
      <c r="A846">
        <f t="shared" si="13"/>
        <v>845</v>
      </c>
      <c r="B846" t="s">
        <v>70</v>
      </c>
      <c r="C846">
        <v>288.14999999999998</v>
      </c>
      <c r="D846">
        <v>10.130000000000001</v>
      </c>
      <c r="E846">
        <v>0.54903839574461266</v>
      </c>
      <c r="G846">
        <v>5.8882041157125578E-3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>
      <c r="A847">
        <f t="shared" si="13"/>
        <v>846</v>
      </c>
      <c r="B847" t="s">
        <v>70</v>
      </c>
      <c r="C847">
        <v>288.14999999999998</v>
      </c>
      <c r="D847">
        <v>20.260000000000002</v>
      </c>
      <c r="E847">
        <v>0.54903839574461266</v>
      </c>
      <c r="G847">
        <v>1.0512908721599953E-2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>
      <c r="A848">
        <f t="shared" si="13"/>
        <v>847</v>
      </c>
      <c r="B848" t="s">
        <v>70</v>
      </c>
      <c r="C848">
        <v>288.14999999999998</v>
      </c>
      <c r="D848">
        <v>30.4</v>
      </c>
      <c r="E848">
        <v>0.54903839574461266</v>
      </c>
      <c r="G848">
        <v>1.4287863672691879E-2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>
      <c r="A849">
        <f t="shared" si="13"/>
        <v>848</v>
      </c>
      <c r="B849" t="s">
        <v>70</v>
      </c>
      <c r="C849">
        <v>288.14999999999998</v>
      </c>
      <c r="D849">
        <v>45.6</v>
      </c>
      <c r="E849">
        <v>0.54903839574461266</v>
      </c>
      <c r="G849">
        <v>1.8050315438605066E-2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>
      <c r="A850">
        <f t="shared" si="13"/>
        <v>849</v>
      </c>
      <c r="B850" t="s">
        <v>70</v>
      </c>
      <c r="C850">
        <v>298.14999999999998</v>
      </c>
      <c r="D850">
        <v>1.01</v>
      </c>
      <c r="E850">
        <v>0.54903839574461266</v>
      </c>
      <c r="G850">
        <v>4.6154368023286013E-4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>
      <c r="A851">
        <f t="shared" si="13"/>
        <v>850</v>
      </c>
      <c r="B851" t="s">
        <v>70</v>
      </c>
      <c r="C851">
        <v>298.14999999999998</v>
      </c>
      <c r="D851">
        <v>5.07</v>
      </c>
      <c r="E851">
        <v>0.54903839574461266</v>
      </c>
      <c r="G851">
        <v>2.3076442557799265E-3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>
      <c r="A852">
        <f t="shared" si="13"/>
        <v>851</v>
      </c>
      <c r="B852" t="s">
        <v>70</v>
      </c>
      <c r="C852">
        <v>298.14999999999998</v>
      </c>
      <c r="D852">
        <v>10.130000000000001</v>
      </c>
      <c r="E852">
        <v>0.54903839574461266</v>
      </c>
      <c r="G852">
        <v>4.2759757645606158E-3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>
      <c r="A853">
        <f t="shared" si="13"/>
        <v>852</v>
      </c>
      <c r="B853" t="s">
        <v>70</v>
      </c>
      <c r="C853">
        <v>298.14999999999998</v>
      </c>
      <c r="D853">
        <v>20.260000000000002</v>
      </c>
      <c r="E853">
        <v>0.54903839574461266</v>
      </c>
      <c r="G853">
        <v>7.5903181679577523E-3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>
      <c r="A854">
        <f t="shared" si="13"/>
        <v>853</v>
      </c>
      <c r="B854" t="s">
        <v>70</v>
      </c>
      <c r="C854">
        <v>298.14999999999998</v>
      </c>
      <c r="D854">
        <v>30.4</v>
      </c>
      <c r="E854">
        <v>0.54903839574461266</v>
      </c>
      <c r="G854">
        <v>9.9618632077943768E-3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>
      <c r="A855">
        <f t="shared" si="13"/>
        <v>854</v>
      </c>
      <c r="B855" t="s">
        <v>70</v>
      </c>
      <c r="C855">
        <v>298.14999999999998</v>
      </c>
      <c r="D855">
        <v>45.6</v>
      </c>
      <c r="E855">
        <v>0.54903839574461266</v>
      </c>
      <c r="G855">
        <v>1.2805071584747514E-2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>
      <c r="A856">
        <f t="shared" si="13"/>
        <v>855</v>
      </c>
      <c r="B856" t="s">
        <v>70</v>
      </c>
      <c r="C856">
        <v>273.14999999999998</v>
      </c>
      <c r="D856">
        <v>10.130000000000001</v>
      </c>
      <c r="E856">
        <v>1.7735633027008608</v>
      </c>
      <c r="G856">
        <v>9.4164320203151807E-3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>
      <c r="A857">
        <f t="shared" si="13"/>
        <v>856</v>
      </c>
      <c r="B857" t="s">
        <v>70</v>
      </c>
      <c r="C857">
        <v>273.14999999999998</v>
      </c>
      <c r="D857">
        <v>20.260000000000002</v>
      </c>
      <c r="E857">
        <v>1.7735633027008608</v>
      </c>
      <c r="G857">
        <v>1.6924603349977814E-2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>
      <c r="A858">
        <f t="shared" si="13"/>
        <v>857</v>
      </c>
      <c r="B858" t="s">
        <v>70</v>
      </c>
      <c r="C858">
        <v>273.14999999999998</v>
      </c>
      <c r="D858">
        <v>34.450000000000003</v>
      </c>
      <c r="E858">
        <v>1.7735633027008608</v>
      </c>
      <c r="G858">
        <v>2.3544394466043048E-2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>
      <c r="A859">
        <f t="shared" si="13"/>
        <v>858</v>
      </c>
      <c r="B859" t="s">
        <v>70</v>
      </c>
      <c r="C859">
        <v>285.55</v>
      </c>
      <c r="D859">
        <v>10.130000000000001</v>
      </c>
      <c r="E859">
        <v>1.7735633027008608</v>
      </c>
      <c r="G859">
        <v>5.9405485337590339E-3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>
      <c r="A860">
        <f t="shared" si="13"/>
        <v>859</v>
      </c>
      <c r="B860" t="s">
        <v>70</v>
      </c>
      <c r="C860">
        <v>285.55</v>
      </c>
      <c r="D860">
        <v>20.260000000000002</v>
      </c>
      <c r="E860">
        <v>1.7735633027008608</v>
      </c>
      <c r="G860">
        <v>1.0552342420769708E-2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>
      <c r="A861">
        <f t="shared" si="13"/>
        <v>860</v>
      </c>
      <c r="B861" t="s">
        <v>70</v>
      </c>
      <c r="C861">
        <v>285.55</v>
      </c>
      <c r="D861">
        <v>45.6</v>
      </c>
      <c r="E861">
        <v>1.7735633027008608</v>
      </c>
      <c r="G861">
        <v>1.760812207015058E-2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>
      <c r="A862">
        <f t="shared" si="13"/>
        <v>861</v>
      </c>
      <c r="B862" t="s">
        <v>70</v>
      </c>
      <c r="C862">
        <v>298.14999999999998</v>
      </c>
      <c r="D862">
        <v>10.130000000000001</v>
      </c>
      <c r="E862">
        <v>1.7735633027008608</v>
      </c>
      <c r="G862">
        <v>3.9960158591646139E-3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>
      <c r="A863">
        <f t="shared" si="13"/>
        <v>862</v>
      </c>
      <c r="B863" t="s">
        <v>70</v>
      </c>
      <c r="C863">
        <v>298.14999999999998</v>
      </c>
      <c r="D863">
        <v>20.260000000000002</v>
      </c>
      <c r="E863">
        <v>1.7735633027008608</v>
      </c>
      <c r="G863">
        <v>7.0800789734626031E-3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>
      <c r="A864">
        <f t="shared" si="13"/>
        <v>863</v>
      </c>
      <c r="B864" t="s">
        <v>70</v>
      </c>
      <c r="C864">
        <v>298.14999999999998</v>
      </c>
      <c r="D864">
        <v>45.6</v>
      </c>
      <c r="E864">
        <v>1.7735633027008608</v>
      </c>
      <c r="G864">
        <v>1.2022546474616239E-2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>
      <c r="A865">
        <f t="shared" si="13"/>
        <v>864</v>
      </c>
      <c r="B865" t="s">
        <v>70</v>
      </c>
      <c r="C865">
        <v>273.14999999999998</v>
      </c>
      <c r="D865">
        <v>10.130000000000001</v>
      </c>
      <c r="E865">
        <v>3.2017341880593997</v>
      </c>
      <c r="G865">
        <v>9.4600626924073727E-3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>
      <c r="A866">
        <f t="shared" si="13"/>
        <v>865</v>
      </c>
      <c r="B866" t="s">
        <v>70</v>
      </c>
      <c r="C866">
        <v>273.14999999999998</v>
      </c>
      <c r="D866">
        <v>20.260000000000002</v>
      </c>
      <c r="E866">
        <v>3.2017341880593997</v>
      </c>
      <c r="G866">
        <v>1.6333323863648167E-2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>
      <c r="A867">
        <f t="shared" si="13"/>
        <v>866</v>
      </c>
      <c r="B867" t="s">
        <v>70</v>
      </c>
      <c r="C867">
        <v>273.14999999999998</v>
      </c>
      <c r="D867">
        <v>34.450000000000003</v>
      </c>
      <c r="E867">
        <v>3.2017341880593997</v>
      </c>
      <c r="G867">
        <v>2.3967640117239786E-2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>
      <c r="A868">
        <f t="shared" si="13"/>
        <v>867</v>
      </c>
      <c r="B868" t="s">
        <v>70</v>
      </c>
      <c r="C868">
        <v>285.55</v>
      </c>
      <c r="D868">
        <v>10.130000000000001</v>
      </c>
      <c r="E868">
        <v>3.2017341880593997</v>
      </c>
      <c r="G868">
        <v>5.6430598118200276E-3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>
      <c r="A869">
        <f t="shared" si="13"/>
        <v>868</v>
      </c>
      <c r="B869" t="s">
        <v>70</v>
      </c>
      <c r="C869">
        <v>285.55</v>
      </c>
      <c r="D869">
        <v>20.260000000000002</v>
      </c>
      <c r="E869">
        <v>3.2017341880593997</v>
      </c>
      <c r="G869">
        <v>1.0143005557981028E-2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>
      <c r="A870">
        <f t="shared" si="13"/>
        <v>869</v>
      </c>
      <c r="B870" t="s">
        <v>70</v>
      </c>
      <c r="C870">
        <v>285.55</v>
      </c>
      <c r="D870">
        <v>45.6</v>
      </c>
      <c r="E870">
        <v>3.2017341880593997</v>
      </c>
      <c r="G870">
        <v>1.6875813246770673E-2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>
      <c r="A871">
        <f t="shared" si="13"/>
        <v>870</v>
      </c>
      <c r="B871" t="s">
        <v>71</v>
      </c>
      <c r="C871">
        <v>298.14999999999998</v>
      </c>
      <c r="D871">
        <v>23.51</v>
      </c>
      <c r="E871">
        <v>0</v>
      </c>
      <c r="K871">
        <v>4.9700000000000005E-4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</row>
    <row r="872" spans="1:20">
      <c r="A872">
        <f t="shared" si="13"/>
        <v>871</v>
      </c>
      <c r="B872" t="s">
        <v>71</v>
      </c>
      <c r="C872">
        <v>298.14999999999998</v>
      </c>
      <c r="D872">
        <v>31.65</v>
      </c>
      <c r="E872">
        <v>0</v>
      </c>
      <c r="K872">
        <v>7.1699999999999997E-4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</row>
    <row r="873" spans="1:20">
      <c r="A873">
        <f t="shared" si="13"/>
        <v>872</v>
      </c>
      <c r="B873" t="s">
        <v>71</v>
      </c>
      <c r="C873">
        <v>298.14999999999998</v>
      </c>
      <c r="D873">
        <v>45.44</v>
      </c>
      <c r="E873">
        <v>0</v>
      </c>
      <c r="K873">
        <v>1E-3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</row>
    <row r="874" spans="1:20">
      <c r="A874">
        <f t="shared" si="13"/>
        <v>873</v>
      </c>
      <c r="B874" t="s">
        <v>71</v>
      </c>
      <c r="C874">
        <v>298.14999999999998</v>
      </c>
      <c r="D874">
        <v>64.400000000000006</v>
      </c>
      <c r="E874">
        <v>0</v>
      </c>
      <c r="K874">
        <v>1.317E-3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</row>
    <row r="875" spans="1:20">
      <c r="A875">
        <f t="shared" si="13"/>
        <v>874</v>
      </c>
      <c r="B875" t="s">
        <v>71</v>
      </c>
      <c r="C875">
        <v>298.14999999999998</v>
      </c>
      <c r="D875">
        <v>88.94</v>
      </c>
      <c r="E875">
        <v>0</v>
      </c>
      <c r="K875">
        <v>1.678E-3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</row>
    <row r="876" spans="1:20">
      <c r="A876">
        <f t="shared" si="13"/>
        <v>875</v>
      </c>
      <c r="B876" t="s">
        <v>71</v>
      </c>
      <c r="C876">
        <v>298.14999999999998</v>
      </c>
      <c r="D876">
        <v>133.07</v>
      </c>
      <c r="E876">
        <v>0</v>
      </c>
      <c r="K876">
        <v>2.235E-3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</row>
    <row r="877" spans="1:20">
      <c r="A877">
        <f t="shared" si="13"/>
        <v>876</v>
      </c>
      <c r="B877" t="s">
        <v>71</v>
      </c>
      <c r="C877">
        <v>298.14999999999998</v>
      </c>
      <c r="D877">
        <v>172.02</v>
      </c>
      <c r="E877">
        <v>0</v>
      </c>
      <c r="K877">
        <v>2.5850000000000001E-3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</row>
    <row r="878" spans="1:20">
      <c r="A878">
        <f t="shared" si="13"/>
        <v>877</v>
      </c>
      <c r="B878" t="s">
        <v>71</v>
      </c>
      <c r="C878">
        <v>298.14999999999998</v>
      </c>
      <c r="D878">
        <v>242.35</v>
      </c>
      <c r="E878">
        <v>0</v>
      </c>
      <c r="K878">
        <v>3.1099999999999999E-3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</row>
    <row r="879" spans="1:20">
      <c r="A879">
        <f t="shared" si="13"/>
        <v>878</v>
      </c>
      <c r="B879" t="s">
        <v>71</v>
      </c>
      <c r="C879">
        <v>298.14999999999998</v>
      </c>
      <c r="D879">
        <v>331.63</v>
      </c>
      <c r="E879">
        <v>0</v>
      </c>
      <c r="K879">
        <v>3.6600000000000001E-3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</row>
    <row r="880" spans="1:20">
      <c r="A880">
        <f t="shared" si="13"/>
        <v>879</v>
      </c>
      <c r="B880" t="s">
        <v>71</v>
      </c>
      <c r="C880">
        <v>298.14999999999998</v>
      </c>
      <c r="D880">
        <v>444.02</v>
      </c>
      <c r="E880">
        <v>0</v>
      </c>
      <c r="K880">
        <v>4.1700000000000001E-3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</row>
    <row r="881" spans="1:20">
      <c r="A881">
        <f t="shared" si="13"/>
        <v>880</v>
      </c>
      <c r="B881" t="s">
        <v>71</v>
      </c>
      <c r="C881">
        <v>298.14999999999998</v>
      </c>
      <c r="D881">
        <v>537.44000000000005</v>
      </c>
      <c r="E881">
        <v>0</v>
      </c>
      <c r="K881">
        <v>4.3699999999999998E-3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</row>
    <row r="882" spans="1:20">
      <c r="A882">
        <f t="shared" si="13"/>
        <v>881</v>
      </c>
      <c r="B882" t="s">
        <v>71</v>
      </c>
      <c r="C882">
        <v>298.14999999999998</v>
      </c>
      <c r="D882">
        <v>641.20000000000005</v>
      </c>
      <c r="E882">
        <v>0</v>
      </c>
      <c r="K882">
        <v>4.45E-3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</row>
    <row r="883" spans="1:20">
      <c r="A883">
        <f t="shared" si="13"/>
        <v>882</v>
      </c>
      <c r="B883" t="s">
        <v>71</v>
      </c>
      <c r="C883">
        <v>310.93</v>
      </c>
      <c r="D883">
        <v>22.75</v>
      </c>
      <c r="E883">
        <v>0</v>
      </c>
      <c r="K883">
        <v>4.4000000000000002E-4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</row>
    <row r="884" spans="1:20">
      <c r="A884">
        <f t="shared" si="13"/>
        <v>883</v>
      </c>
      <c r="B884" t="s">
        <v>71</v>
      </c>
      <c r="C884">
        <v>310.93</v>
      </c>
      <c r="D884">
        <v>32.89</v>
      </c>
      <c r="E884">
        <v>0</v>
      </c>
      <c r="K884">
        <v>6.1899999999999998E-4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</row>
    <row r="885" spans="1:20">
      <c r="A885">
        <f t="shared" si="13"/>
        <v>884</v>
      </c>
      <c r="B885" t="s">
        <v>71</v>
      </c>
      <c r="C885">
        <v>310.93</v>
      </c>
      <c r="D885">
        <v>45.78</v>
      </c>
      <c r="E885">
        <v>0</v>
      </c>
      <c r="K885">
        <v>8.3900000000000001E-4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</row>
    <row r="886" spans="1:20">
      <c r="A886">
        <f t="shared" si="13"/>
        <v>885</v>
      </c>
      <c r="B886" t="s">
        <v>71</v>
      </c>
      <c r="C886">
        <v>310.93</v>
      </c>
      <c r="D886">
        <v>65.5</v>
      </c>
      <c r="E886">
        <v>0</v>
      </c>
      <c r="K886">
        <v>1.1230000000000001E-3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</row>
    <row r="887" spans="1:20">
      <c r="A887">
        <f t="shared" si="13"/>
        <v>886</v>
      </c>
      <c r="B887" t="s">
        <v>71</v>
      </c>
      <c r="C887">
        <v>310.93</v>
      </c>
      <c r="D887">
        <v>87.56</v>
      </c>
      <c r="E887">
        <v>0</v>
      </c>
      <c r="K887">
        <v>1.4400000000000001E-3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</row>
    <row r="888" spans="1:20">
      <c r="A888">
        <f t="shared" si="13"/>
        <v>887</v>
      </c>
      <c r="B888" t="s">
        <v>71</v>
      </c>
      <c r="C888">
        <v>310.93</v>
      </c>
      <c r="D888">
        <v>131</v>
      </c>
      <c r="E888">
        <v>0</v>
      </c>
      <c r="K888">
        <v>1.89E-3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</row>
    <row r="889" spans="1:20">
      <c r="A889">
        <f t="shared" si="13"/>
        <v>888</v>
      </c>
      <c r="B889" t="s">
        <v>71</v>
      </c>
      <c r="C889">
        <v>310.93</v>
      </c>
      <c r="D889">
        <v>177.54</v>
      </c>
      <c r="E889">
        <v>0</v>
      </c>
      <c r="K889">
        <v>2.2899999999999999E-3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</row>
    <row r="890" spans="1:20">
      <c r="A890">
        <f t="shared" si="13"/>
        <v>889</v>
      </c>
      <c r="B890" t="s">
        <v>71</v>
      </c>
      <c r="C890">
        <v>310.93</v>
      </c>
      <c r="D890">
        <v>243.73</v>
      </c>
      <c r="E890">
        <v>0</v>
      </c>
      <c r="K890">
        <v>2.7599999999999999E-3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</row>
    <row r="891" spans="1:20">
      <c r="A891">
        <f t="shared" si="13"/>
        <v>890</v>
      </c>
      <c r="B891" t="s">
        <v>71</v>
      </c>
      <c r="C891">
        <v>310.93</v>
      </c>
      <c r="D891">
        <v>338.53</v>
      </c>
      <c r="E891">
        <v>0</v>
      </c>
      <c r="K891">
        <v>3.3300000000000001E-3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</row>
    <row r="892" spans="1:20">
      <c r="A892">
        <f t="shared" si="13"/>
        <v>891</v>
      </c>
      <c r="B892" t="s">
        <v>71</v>
      </c>
      <c r="C892">
        <v>310.93</v>
      </c>
      <c r="D892">
        <v>449.88</v>
      </c>
      <c r="E892">
        <v>0</v>
      </c>
      <c r="K892">
        <v>3.9100000000000003E-3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</row>
    <row r="893" spans="1:20">
      <c r="A893">
        <f t="shared" si="13"/>
        <v>892</v>
      </c>
      <c r="B893" t="s">
        <v>71</v>
      </c>
      <c r="C893">
        <v>310.93</v>
      </c>
      <c r="D893">
        <v>542.61</v>
      </c>
      <c r="E893">
        <v>0</v>
      </c>
      <c r="K893">
        <v>4.1700000000000001E-3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</row>
    <row r="894" spans="1:20">
      <c r="A894">
        <f t="shared" si="13"/>
        <v>893</v>
      </c>
      <c r="B894" t="s">
        <v>71</v>
      </c>
      <c r="C894">
        <v>310.93</v>
      </c>
      <c r="D894">
        <v>682.23</v>
      </c>
      <c r="E894">
        <v>0</v>
      </c>
      <c r="K894">
        <v>4.6499999999999996E-3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</row>
    <row r="895" spans="1:20">
      <c r="A895">
        <f t="shared" si="13"/>
        <v>894</v>
      </c>
      <c r="B895" t="s">
        <v>71</v>
      </c>
      <c r="C895">
        <v>344.26</v>
      </c>
      <c r="D895">
        <v>22.82</v>
      </c>
      <c r="E895">
        <v>0</v>
      </c>
      <c r="K895">
        <v>3.4000000000000002E-4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</row>
    <row r="896" spans="1:20">
      <c r="A896">
        <f t="shared" si="13"/>
        <v>895</v>
      </c>
      <c r="B896" t="s">
        <v>71</v>
      </c>
      <c r="C896">
        <v>344.26</v>
      </c>
      <c r="D896">
        <v>32.200000000000003</v>
      </c>
      <c r="E896">
        <v>0</v>
      </c>
      <c r="K896">
        <v>4.6999999999999999E-4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</row>
    <row r="897" spans="1:20">
      <c r="A897">
        <f t="shared" si="13"/>
        <v>896</v>
      </c>
      <c r="B897" t="s">
        <v>71</v>
      </c>
      <c r="C897">
        <v>344.26</v>
      </c>
      <c r="D897">
        <v>45.44</v>
      </c>
      <c r="E897">
        <v>0</v>
      </c>
      <c r="K897">
        <v>6.3199999999999997E-4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</row>
    <row r="898" spans="1:20">
      <c r="A898">
        <f t="shared" si="13"/>
        <v>897</v>
      </c>
      <c r="B898" t="s">
        <v>71</v>
      </c>
      <c r="C898">
        <v>344.26</v>
      </c>
      <c r="D898">
        <v>65.02</v>
      </c>
      <c r="E898">
        <v>0</v>
      </c>
      <c r="K898">
        <v>9.0899999999999998E-4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</row>
    <row r="899" spans="1:20">
      <c r="A899">
        <f t="shared" si="13"/>
        <v>898</v>
      </c>
      <c r="B899" t="s">
        <v>71</v>
      </c>
      <c r="C899">
        <v>344.26</v>
      </c>
      <c r="D899">
        <v>91.01</v>
      </c>
      <c r="E899">
        <v>0</v>
      </c>
      <c r="K899">
        <v>1.183E-3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</row>
    <row r="900" spans="1:20">
      <c r="A900">
        <f t="shared" ref="A900:A963" si="14">A899+1</f>
        <v>899</v>
      </c>
      <c r="B900" t="s">
        <v>71</v>
      </c>
      <c r="C900">
        <v>344.26</v>
      </c>
      <c r="D900">
        <v>129.62</v>
      </c>
      <c r="E900">
        <v>0</v>
      </c>
      <c r="K900">
        <v>1.5E-3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</row>
    <row r="901" spans="1:20">
      <c r="A901">
        <f t="shared" si="14"/>
        <v>900</v>
      </c>
      <c r="B901" t="s">
        <v>71</v>
      </c>
      <c r="C901">
        <v>344.26</v>
      </c>
      <c r="D901">
        <v>176.16</v>
      </c>
      <c r="E901">
        <v>0</v>
      </c>
      <c r="K901">
        <v>1.9239999999999999E-3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</row>
    <row r="902" spans="1:20">
      <c r="A902">
        <f t="shared" si="14"/>
        <v>901</v>
      </c>
      <c r="B902" t="s">
        <v>71</v>
      </c>
      <c r="C902">
        <v>344.26</v>
      </c>
      <c r="D902">
        <v>243.73</v>
      </c>
      <c r="E902">
        <v>0</v>
      </c>
      <c r="K902">
        <v>2.385E-3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</row>
    <row r="903" spans="1:20">
      <c r="A903">
        <f t="shared" si="14"/>
        <v>902</v>
      </c>
      <c r="B903" t="s">
        <v>71</v>
      </c>
      <c r="C903">
        <v>344.26</v>
      </c>
      <c r="D903">
        <v>339.56</v>
      </c>
      <c r="E903">
        <v>0</v>
      </c>
      <c r="K903">
        <v>2.7699999999999999E-3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</row>
    <row r="904" spans="1:20">
      <c r="A904">
        <f t="shared" si="14"/>
        <v>903</v>
      </c>
      <c r="B904" t="s">
        <v>71</v>
      </c>
      <c r="C904">
        <v>344.26</v>
      </c>
      <c r="D904">
        <v>449.88</v>
      </c>
      <c r="E904">
        <v>0</v>
      </c>
      <c r="K904">
        <v>3.4199999999999999E-3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</row>
    <row r="905" spans="1:20">
      <c r="A905">
        <f t="shared" si="14"/>
        <v>904</v>
      </c>
      <c r="B905" t="s">
        <v>71</v>
      </c>
      <c r="C905">
        <v>344.26</v>
      </c>
      <c r="D905">
        <v>566.74</v>
      </c>
      <c r="E905">
        <v>0</v>
      </c>
      <c r="K905">
        <v>3.7499999999999999E-3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</row>
    <row r="906" spans="1:20">
      <c r="A906">
        <f t="shared" si="14"/>
        <v>905</v>
      </c>
      <c r="B906" t="s">
        <v>71</v>
      </c>
      <c r="C906">
        <v>344.26</v>
      </c>
      <c r="D906">
        <v>680.16</v>
      </c>
      <c r="E906">
        <v>0</v>
      </c>
      <c r="K906">
        <v>4.2399999999999998E-3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</row>
    <row r="907" spans="1:20">
      <c r="A907">
        <f t="shared" si="14"/>
        <v>906</v>
      </c>
      <c r="B907" t="s">
        <v>71</v>
      </c>
      <c r="C907">
        <v>377.59</v>
      </c>
      <c r="D907">
        <v>22.96</v>
      </c>
      <c r="E907">
        <v>0</v>
      </c>
      <c r="K907">
        <v>3.2299999999999999E-4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</row>
    <row r="908" spans="1:20">
      <c r="A908">
        <f t="shared" si="14"/>
        <v>907</v>
      </c>
      <c r="B908" t="s">
        <v>71</v>
      </c>
      <c r="C908">
        <v>377.59</v>
      </c>
      <c r="D908">
        <v>32.130000000000003</v>
      </c>
      <c r="E908">
        <v>0</v>
      </c>
      <c r="K908">
        <v>4.3199999999999998E-4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</row>
    <row r="909" spans="1:20">
      <c r="A909">
        <f t="shared" si="14"/>
        <v>908</v>
      </c>
      <c r="B909" t="s">
        <v>71</v>
      </c>
      <c r="C909">
        <v>377.59</v>
      </c>
      <c r="D909">
        <v>32.270000000000003</v>
      </c>
      <c r="E909">
        <v>0</v>
      </c>
      <c r="K909">
        <v>4.7199999999999998E-4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</row>
    <row r="910" spans="1:20">
      <c r="A910">
        <f t="shared" si="14"/>
        <v>909</v>
      </c>
      <c r="B910" t="s">
        <v>71</v>
      </c>
      <c r="C910">
        <v>377.59</v>
      </c>
      <c r="D910">
        <v>44.95</v>
      </c>
      <c r="E910">
        <v>0</v>
      </c>
      <c r="K910">
        <v>6.11E-4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</row>
    <row r="911" spans="1:20">
      <c r="A911">
        <f t="shared" si="14"/>
        <v>910</v>
      </c>
      <c r="B911" t="s">
        <v>71</v>
      </c>
      <c r="C911">
        <v>377.59</v>
      </c>
      <c r="D911">
        <v>65.150000000000006</v>
      </c>
      <c r="E911">
        <v>0</v>
      </c>
      <c r="K911">
        <v>8.8599999999999996E-4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</row>
    <row r="912" spans="1:20">
      <c r="A912">
        <f t="shared" si="14"/>
        <v>911</v>
      </c>
      <c r="B912" t="s">
        <v>71</v>
      </c>
      <c r="C912">
        <v>377.59</v>
      </c>
      <c r="D912">
        <v>90.32</v>
      </c>
      <c r="E912">
        <v>0</v>
      </c>
      <c r="K912">
        <v>1.188E-3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</row>
    <row r="913" spans="1:20">
      <c r="A913">
        <f t="shared" si="14"/>
        <v>912</v>
      </c>
      <c r="B913" t="s">
        <v>71</v>
      </c>
      <c r="C913">
        <v>377.59</v>
      </c>
      <c r="D913">
        <v>131</v>
      </c>
      <c r="E913">
        <v>0</v>
      </c>
      <c r="K913">
        <v>1.56E-3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</row>
    <row r="914" spans="1:20">
      <c r="A914">
        <f t="shared" si="14"/>
        <v>913</v>
      </c>
      <c r="B914" t="s">
        <v>71</v>
      </c>
      <c r="C914">
        <v>377.59</v>
      </c>
      <c r="D914">
        <v>174.78</v>
      </c>
      <c r="E914">
        <v>0</v>
      </c>
      <c r="K914">
        <v>1.98E-3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</row>
    <row r="915" spans="1:20">
      <c r="A915">
        <f t="shared" si="14"/>
        <v>914</v>
      </c>
      <c r="B915" t="s">
        <v>71</v>
      </c>
      <c r="C915">
        <v>377.59</v>
      </c>
      <c r="D915">
        <v>246.14</v>
      </c>
      <c r="E915">
        <v>0</v>
      </c>
      <c r="K915">
        <v>2.5100000000000001E-3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</row>
    <row r="916" spans="1:20">
      <c r="A916">
        <f t="shared" si="14"/>
        <v>915</v>
      </c>
      <c r="B916" t="s">
        <v>71</v>
      </c>
      <c r="C916">
        <v>377.59</v>
      </c>
      <c r="D916">
        <v>342.32</v>
      </c>
      <c r="E916">
        <v>0</v>
      </c>
      <c r="K916">
        <v>3.14E-3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</row>
    <row r="917" spans="1:20">
      <c r="A917">
        <f t="shared" si="14"/>
        <v>916</v>
      </c>
      <c r="B917" t="s">
        <v>71</v>
      </c>
      <c r="C917">
        <v>377.59</v>
      </c>
      <c r="D917">
        <v>449.88</v>
      </c>
      <c r="E917">
        <v>0</v>
      </c>
      <c r="K917">
        <v>3.6099999999999999E-3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</row>
    <row r="918" spans="1:20">
      <c r="A918">
        <f t="shared" si="14"/>
        <v>917</v>
      </c>
      <c r="B918" t="s">
        <v>71</v>
      </c>
      <c r="C918">
        <v>377.59</v>
      </c>
      <c r="D918">
        <v>564.66999999999996</v>
      </c>
      <c r="E918">
        <v>0</v>
      </c>
      <c r="K918">
        <v>4.0800000000000003E-3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</row>
    <row r="919" spans="1:20">
      <c r="A919">
        <f t="shared" si="14"/>
        <v>918</v>
      </c>
      <c r="B919" t="s">
        <v>71</v>
      </c>
      <c r="C919">
        <v>377.59</v>
      </c>
      <c r="D919">
        <v>680.85</v>
      </c>
      <c r="E919">
        <v>0</v>
      </c>
      <c r="K919">
        <v>4.5100000000000001E-3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</row>
    <row r="920" spans="1:20">
      <c r="A920">
        <f t="shared" si="14"/>
        <v>919</v>
      </c>
      <c r="B920" t="s">
        <v>71</v>
      </c>
      <c r="C920">
        <v>410.93</v>
      </c>
      <c r="D920">
        <v>23.17</v>
      </c>
      <c r="E920">
        <v>0</v>
      </c>
      <c r="K920">
        <v>3.2600000000000001E-4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</row>
    <row r="921" spans="1:20">
      <c r="A921">
        <f t="shared" si="14"/>
        <v>920</v>
      </c>
      <c r="B921" t="s">
        <v>71</v>
      </c>
      <c r="C921">
        <v>410.93</v>
      </c>
      <c r="D921">
        <v>31.99</v>
      </c>
      <c r="E921">
        <v>0</v>
      </c>
      <c r="K921">
        <v>4.6000000000000001E-4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</row>
    <row r="922" spans="1:20">
      <c r="A922">
        <f t="shared" si="14"/>
        <v>921</v>
      </c>
      <c r="B922" t="s">
        <v>71</v>
      </c>
      <c r="C922">
        <v>410.93</v>
      </c>
      <c r="D922">
        <v>45.09</v>
      </c>
      <c r="E922">
        <v>0</v>
      </c>
      <c r="K922">
        <v>6.7299999999999999E-4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</row>
    <row r="923" spans="1:20">
      <c r="A923">
        <f t="shared" si="14"/>
        <v>922</v>
      </c>
      <c r="B923" t="s">
        <v>71</v>
      </c>
      <c r="C923">
        <v>410.93</v>
      </c>
      <c r="D923">
        <v>64.88</v>
      </c>
      <c r="E923">
        <v>0</v>
      </c>
      <c r="K923">
        <v>9.3800000000000003E-4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</row>
    <row r="924" spans="1:20">
      <c r="A924">
        <f t="shared" si="14"/>
        <v>923</v>
      </c>
      <c r="B924" t="s">
        <v>71</v>
      </c>
      <c r="C924">
        <v>410.93</v>
      </c>
      <c r="D924">
        <v>90.32</v>
      </c>
      <c r="E924">
        <v>0</v>
      </c>
      <c r="K924">
        <v>1.3259999999999999E-3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</row>
    <row r="925" spans="1:20">
      <c r="A925">
        <f t="shared" si="14"/>
        <v>924</v>
      </c>
      <c r="B925" t="s">
        <v>71</v>
      </c>
      <c r="C925">
        <v>410.93</v>
      </c>
      <c r="D925">
        <v>131</v>
      </c>
      <c r="E925">
        <v>0</v>
      </c>
      <c r="K925">
        <v>1.8569999999999999E-3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</row>
    <row r="926" spans="1:20">
      <c r="A926">
        <f t="shared" si="14"/>
        <v>925</v>
      </c>
      <c r="B926" t="s">
        <v>71</v>
      </c>
      <c r="C926">
        <v>410.93</v>
      </c>
      <c r="D926">
        <v>170.99</v>
      </c>
      <c r="E926">
        <v>0</v>
      </c>
      <c r="K926">
        <v>2.346E-3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</row>
    <row r="927" spans="1:20">
      <c r="A927">
        <f t="shared" si="14"/>
        <v>926</v>
      </c>
      <c r="B927" t="s">
        <v>71</v>
      </c>
      <c r="C927">
        <v>410.93</v>
      </c>
      <c r="D927">
        <v>245.1</v>
      </c>
      <c r="E927">
        <v>0</v>
      </c>
      <c r="K927">
        <v>3.0149999999999999E-3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</row>
    <row r="928" spans="1:20">
      <c r="A928">
        <f t="shared" si="14"/>
        <v>927</v>
      </c>
      <c r="B928" t="s">
        <v>71</v>
      </c>
      <c r="C928">
        <v>410.93</v>
      </c>
      <c r="D928">
        <v>343.01</v>
      </c>
      <c r="E928">
        <v>0</v>
      </c>
      <c r="K928">
        <v>3.8049999999999998E-3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</row>
    <row r="929" spans="1:20">
      <c r="A929">
        <f t="shared" si="14"/>
        <v>928</v>
      </c>
      <c r="B929" t="s">
        <v>71</v>
      </c>
      <c r="C929">
        <v>410.93</v>
      </c>
      <c r="D929">
        <v>449.88</v>
      </c>
      <c r="E929">
        <v>0</v>
      </c>
      <c r="K929">
        <v>4.4900000000000001E-3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</row>
    <row r="930" spans="1:20">
      <c r="A930">
        <f t="shared" si="14"/>
        <v>929</v>
      </c>
      <c r="B930" t="s">
        <v>71</v>
      </c>
      <c r="C930">
        <v>410.93</v>
      </c>
      <c r="D930">
        <v>570.19000000000005</v>
      </c>
      <c r="E930">
        <v>0</v>
      </c>
      <c r="K930">
        <v>5.1799999999999997E-3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</row>
    <row r="931" spans="1:20">
      <c r="A931">
        <f t="shared" si="14"/>
        <v>930</v>
      </c>
      <c r="B931" t="s">
        <v>71</v>
      </c>
      <c r="C931">
        <v>410.93</v>
      </c>
      <c r="D931">
        <v>678.09</v>
      </c>
      <c r="E931">
        <v>0</v>
      </c>
      <c r="K931">
        <v>5.7400000000000003E-3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</row>
    <row r="932" spans="1:20">
      <c r="A932">
        <f t="shared" si="14"/>
        <v>931</v>
      </c>
      <c r="B932" t="s">
        <v>71</v>
      </c>
      <c r="C932">
        <v>444.26</v>
      </c>
      <c r="D932">
        <v>22.27</v>
      </c>
      <c r="E932">
        <v>0</v>
      </c>
      <c r="K932">
        <v>3.2299999999999999E-4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</row>
    <row r="933" spans="1:20">
      <c r="A933">
        <f t="shared" si="14"/>
        <v>932</v>
      </c>
      <c r="B933" t="s">
        <v>71</v>
      </c>
      <c r="C933">
        <v>444.26</v>
      </c>
      <c r="D933">
        <v>32.75</v>
      </c>
      <c r="E933">
        <v>0</v>
      </c>
      <c r="K933">
        <v>5.3499999999999999E-4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</row>
    <row r="934" spans="1:20">
      <c r="A934">
        <f t="shared" si="14"/>
        <v>933</v>
      </c>
      <c r="B934" t="s">
        <v>71</v>
      </c>
      <c r="C934">
        <v>444.26</v>
      </c>
      <c r="D934">
        <v>45.64</v>
      </c>
      <c r="E934">
        <v>0</v>
      </c>
      <c r="K934">
        <v>7.8899999999999999E-4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</row>
    <row r="935" spans="1:20">
      <c r="A935">
        <f t="shared" si="14"/>
        <v>934</v>
      </c>
      <c r="B935" t="s">
        <v>71</v>
      </c>
      <c r="C935">
        <v>444.26</v>
      </c>
      <c r="D935">
        <v>65.430000000000007</v>
      </c>
      <c r="E935">
        <v>0</v>
      </c>
      <c r="K935">
        <v>1.15E-3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</row>
    <row r="936" spans="1:20">
      <c r="A936">
        <f t="shared" si="14"/>
        <v>935</v>
      </c>
      <c r="B936" t="s">
        <v>71</v>
      </c>
      <c r="C936">
        <v>444.26</v>
      </c>
      <c r="D936">
        <v>93.77</v>
      </c>
      <c r="E936">
        <v>0</v>
      </c>
      <c r="K936">
        <v>1.725E-3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</row>
    <row r="937" spans="1:20">
      <c r="A937">
        <f t="shared" si="14"/>
        <v>936</v>
      </c>
      <c r="B937" t="s">
        <v>71</v>
      </c>
      <c r="C937">
        <v>444.26</v>
      </c>
      <c r="D937">
        <v>132.38</v>
      </c>
      <c r="E937">
        <v>0</v>
      </c>
      <c r="K937">
        <v>2.3549999999999999E-3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</row>
    <row r="938" spans="1:20">
      <c r="A938">
        <f t="shared" si="14"/>
        <v>937</v>
      </c>
      <c r="B938" t="s">
        <v>71</v>
      </c>
      <c r="C938">
        <v>444.26</v>
      </c>
      <c r="D938">
        <v>177.88</v>
      </c>
      <c r="E938">
        <v>0</v>
      </c>
      <c r="K938">
        <v>3.0249999999999999E-3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</row>
    <row r="939" spans="1:20">
      <c r="A939">
        <f t="shared" si="14"/>
        <v>938</v>
      </c>
      <c r="B939" t="s">
        <v>71</v>
      </c>
      <c r="C939">
        <v>444.26</v>
      </c>
      <c r="D939">
        <v>246.83</v>
      </c>
      <c r="E939">
        <v>0</v>
      </c>
      <c r="K939">
        <v>3.8349999999999999E-3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</row>
    <row r="940" spans="1:20">
      <c r="A940">
        <f t="shared" si="14"/>
        <v>939</v>
      </c>
      <c r="B940" t="s">
        <v>71</v>
      </c>
      <c r="C940">
        <v>444.26</v>
      </c>
      <c r="D940">
        <v>347.84</v>
      </c>
      <c r="E940">
        <v>0</v>
      </c>
      <c r="K940">
        <v>4.875E-3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</row>
    <row r="941" spans="1:20">
      <c r="A941">
        <f t="shared" si="14"/>
        <v>940</v>
      </c>
      <c r="B941" t="s">
        <v>71</v>
      </c>
      <c r="C941">
        <v>444.26</v>
      </c>
      <c r="D941">
        <v>449.88</v>
      </c>
      <c r="E941">
        <v>0</v>
      </c>
      <c r="K941">
        <v>5.9500000000000004E-3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</row>
    <row r="942" spans="1:20">
      <c r="A942">
        <f t="shared" si="14"/>
        <v>941</v>
      </c>
      <c r="B942" t="s">
        <v>71</v>
      </c>
      <c r="C942">
        <v>444.26</v>
      </c>
      <c r="D942">
        <v>566.04999999999995</v>
      </c>
      <c r="E942">
        <v>0</v>
      </c>
      <c r="K942">
        <v>6.7999999999999996E-3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</row>
    <row r="943" spans="1:20">
      <c r="A943">
        <f t="shared" si="14"/>
        <v>942</v>
      </c>
      <c r="B943" t="s">
        <v>71</v>
      </c>
      <c r="C943">
        <v>444.26</v>
      </c>
      <c r="D943">
        <v>689.12</v>
      </c>
      <c r="E943">
        <v>0</v>
      </c>
      <c r="K943">
        <v>7.7499999999999999E-3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</row>
    <row r="944" spans="1:20">
      <c r="A944">
        <f t="shared" si="14"/>
        <v>943</v>
      </c>
      <c r="B944" t="s">
        <v>74</v>
      </c>
      <c r="C944">
        <v>427</v>
      </c>
      <c r="D944">
        <v>35.4</v>
      </c>
      <c r="E944">
        <v>0</v>
      </c>
      <c r="K944">
        <v>7.4100000000000001E-4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</row>
    <row r="945" spans="1:20">
      <c r="A945">
        <f t="shared" si="14"/>
        <v>944</v>
      </c>
      <c r="B945" t="s">
        <v>74</v>
      </c>
      <c r="C945">
        <v>427</v>
      </c>
      <c r="D945">
        <v>152</v>
      </c>
      <c r="E945">
        <v>0</v>
      </c>
      <c r="K945">
        <v>2.859E-3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</row>
    <row r="946" spans="1:20">
      <c r="A946">
        <f t="shared" si="14"/>
        <v>945</v>
      </c>
      <c r="B946" t="s">
        <v>74</v>
      </c>
      <c r="C946">
        <v>427</v>
      </c>
      <c r="D946">
        <v>32.03</v>
      </c>
      <c r="E946">
        <v>0</v>
      </c>
      <c r="K946">
        <v>4.5140000000000007E-3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</row>
    <row r="947" spans="1:20">
      <c r="A947">
        <f t="shared" si="14"/>
        <v>946</v>
      </c>
      <c r="B947" t="s">
        <v>74</v>
      </c>
      <c r="C947">
        <v>427</v>
      </c>
      <c r="D947">
        <v>468.2</v>
      </c>
      <c r="E947">
        <v>0</v>
      </c>
      <c r="K947">
        <v>5.5100000000000001E-3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</row>
    <row r="948" spans="1:20">
      <c r="A948">
        <f t="shared" si="14"/>
        <v>947</v>
      </c>
      <c r="B948" t="s">
        <v>74</v>
      </c>
      <c r="C948">
        <v>427</v>
      </c>
      <c r="D948">
        <v>672.9</v>
      </c>
      <c r="E948">
        <v>0</v>
      </c>
      <c r="K948">
        <v>6.1250000000000002E-3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</row>
    <row r="949" spans="1:20">
      <c r="A949">
        <f t="shared" si="14"/>
        <v>948</v>
      </c>
      <c r="B949" t="s">
        <v>74</v>
      </c>
      <c r="C949">
        <v>427</v>
      </c>
      <c r="D949">
        <v>873.6</v>
      </c>
      <c r="E949">
        <v>0</v>
      </c>
      <c r="K949">
        <v>6.5259999999999997E-3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</row>
    <row r="950" spans="1:20">
      <c r="A950">
        <f t="shared" si="14"/>
        <v>949</v>
      </c>
      <c r="B950" t="s">
        <v>74</v>
      </c>
      <c r="C950">
        <v>427</v>
      </c>
      <c r="D950">
        <v>1052.0999999999999</v>
      </c>
      <c r="E950">
        <v>0</v>
      </c>
      <c r="K950">
        <v>7.7029999999999998E-3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</row>
    <row r="951" spans="1:20">
      <c r="A951">
        <f t="shared" si="14"/>
        <v>950</v>
      </c>
      <c r="B951" t="s">
        <v>74</v>
      </c>
      <c r="C951">
        <v>427</v>
      </c>
      <c r="D951">
        <v>1259</v>
      </c>
      <c r="E951">
        <v>0</v>
      </c>
      <c r="K951">
        <v>8.8319999999999996E-3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</row>
    <row r="952" spans="1:20">
      <c r="A952">
        <f t="shared" si="14"/>
        <v>951</v>
      </c>
      <c r="B952" t="s">
        <v>74</v>
      </c>
      <c r="C952">
        <v>427</v>
      </c>
      <c r="D952">
        <v>1639.6</v>
      </c>
      <c r="E952">
        <v>0</v>
      </c>
      <c r="K952">
        <v>1.0324999999999999E-2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</row>
    <row r="953" spans="1:20">
      <c r="A953">
        <f t="shared" si="14"/>
        <v>952</v>
      </c>
      <c r="B953" t="s">
        <v>74</v>
      </c>
      <c r="C953">
        <v>479</v>
      </c>
      <c r="D953">
        <v>51.7</v>
      </c>
      <c r="E953">
        <v>0</v>
      </c>
      <c r="K953">
        <v>1.2470000000000001E-3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</row>
    <row r="954" spans="1:20">
      <c r="A954">
        <f t="shared" si="14"/>
        <v>953</v>
      </c>
      <c r="B954" t="s">
        <v>74</v>
      </c>
      <c r="C954">
        <v>479</v>
      </c>
      <c r="D954">
        <v>160.19999999999999</v>
      </c>
      <c r="E954">
        <v>0</v>
      </c>
      <c r="K954">
        <v>4.0410000000000003E-3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</row>
    <row r="955" spans="1:20">
      <c r="A955">
        <f t="shared" si="14"/>
        <v>954</v>
      </c>
      <c r="B955" t="s">
        <v>74</v>
      </c>
      <c r="C955">
        <v>479</v>
      </c>
      <c r="D955">
        <v>294.39999999999998</v>
      </c>
      <c r="E955">
        <v>0</v>
      </c>
      <c r="K955">
        <v>6.3090000000000004E-3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</row>
    <row r="956" spans="1:20">
      <c r="A956">
        <f t="shared" si="14"/>
        <v>955</v>
      </c>
      <c r="B956" t="s">
        <v>74</v>
      </c>
      <c r="C956">
        <v>479</v>
      </c>
      <c r="D956">
        <v>546.29999999999995</v>
      </c>
      <c r="E956">
        <v>0</v>
      </c>
      <c r="K956">
        <v>9.4859999999999996E-3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</row>
    <row r="957" spans="1:20">
      <c r="A957">
        <f t="shared" si="14"/>
        <v>956</v>
      </c>
      <c r="B957" t="s">
        <v>74</v>
      </c>
      <c r="C957">
        <v>479</v>
      </c>
      <c r="D957">
        <v>948.6</v>
      </c>
      <c r="E957">
        <v>0</v>
      </c>
      <c r="K957">
        <v>1.286E-2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</row>
    <row r="958" spans="1:20">
      <c r="A958">
        <f t="shared" si="14"/>
        <v>957</v>
      </c>
      <c r="B958" t="s">
        <v>74</v>
      </c>
      <c r="C958">
        <v>479</v>
      </c>
      <c r="D958">
        <v>1033.5</v>
      </c>
      <c r="E958">
        <v>0</v>
      </c>
      <c r="K958">
        <v>1.5269999999999999E-2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</row>
    <row r="959" spans="1:20">
      <c r="A959">
        <f t="shared" si="14"/>
        <v>958</v>
      </c>
      <c r="B959" t="s">
        <v>74</v>
      </c>
      <c r="C959">
        <v>479</v>
      </c>
      <c r="D959">
        <v>1630.7</v>
      </c>
      <c r="E959">
        <v>0</v>
      </c>
      <c r="K959">
        <v>1.6650000000000002E-2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</row>
    <row r="960" spans="1:20">
      <c r="A960">
        <f t="shared" si="14"/>
        <v>959</v>
      </c>
      <c r="B960" t="s">
        <v>74</v>
      </c>
      <c r="C960">
        <v>479</v>
      </c>
      <c r="D960">
        <v>1924.7</v>
      </c>
      <c r="E960">
        <v>0</v>
      </c>
      <c r="K960">
        <v>1.881E-2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</row>
    <row r="961" spans="1:20">
      <c r="A961">
        <f t="shared" si="14"/>
        <v>960</v>
      </c>
      <c r="B961" t="s">
        <v>74</v>
      </c>
      <c r="C961">
        <v>494</v>
      </c>
      <c r="D961">
        <v>40.200000000000003</v>
      </c>
      <c r="E961">
        <v>0</v>
      </c>
      <c r="K961">
        <v>1.276E-3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</row>
    <row r="962" spans="1:20">
      <c r="A962">
        <f t="shared" si="14"/>
        <v>961</v>
      </c>
      <c r="B962" t="s">
        <v>74</v>
      </c>
      <c r="C962">
        <v>494</v>
      </c>
      <c r="D962">
        <v>367.6</v>
      </c>
      <c r="E962">
        <v>0</v>
      </c>
      <c r="K962">
        <v>8.2420000000000011E-3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</row>
    <row r="963" spans="1:20">
      <c r="A963">
        <f t="shared" si="14"/>
        <v>962</v>
      </c>
      <c r="B963" t="s">
        <v>74</v>
      </c>
      <c r="C963">
        <v>494</v>
      </c>
      <c r="D963">
        <v>628</v>
      </c>
      <c r="E963">
        <v>0</v>
      </c>
      <c r="K963">
        <v>1.333E-2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</row>
    <row r="964" spans="1:20">
      <c r="A964">
        <f t="shared" ref="A964:A1027" si="15">A963+1</f>
        <v>963</v>
      </c>
      <c r="B964" t="s">
        <v>74</v>
      </c>
      <c r="C964">
        <v>494</v>
      </c>
      <c r="D964">
        <v>873.6</v>
      </c>
      <c r="E964">
        <v>0</v>
      </c>
      <c r="K964">
        <v>1.5260000000000001E-2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</row>
    <row r="965" spans="1:20">
      <c r="A965">
        <f t="shared" si="15"/>
        <v>964</v>
      </c>
      <c r="B965" t="s">
        <v>74</v>
      </c>
      <c r="C965">
        <v>494</v>
      </c>
      <c r="D965">
        <v>1035.5999999999999</v>
      </c>
      <c r="E965">
        <v>0</v>
      </c>
      <c r="K965">
        <v>1.7230000000000002E-2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</row>
    <row r="966" spans="1:20">
      <c r="A966">
        <f t="shared" si="15"/>
        <v>965</v>
      </c>
      <c r="B966" t="s">
        <v>74</v>
      </c>
      <c r="C966">
        <v>494</v>
      </c>
      <c r="D966">
        <v>1236.9000000000001</v>
      </c>
      <c r="E966">
        <v>0</v>
      </c>
      <c r="K966">
        <v>1.7739999999999999E-2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</row>
    <row r="967" spans="1:20">
      <c r="A967">
        <f t="shared" si="15"/>
        <v>966</v>
      </c>
      <c r="B967" t="s">
        <v>74</v>
      </c>
      <c r="C967">
        <v>494</v>
      </c>
      <c r="D967">
        <v>1415.5</v>
      </c>
      <c r="E967">
        <v>0</v>
      </c>
      <c r="K967">
        <v>1.8280000000000001E-2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</row>
    <row r="968" spans="1:20">
      <c r="A968">
        <f t="shared" si="15"/>
        <v>967</v>
      </c>
      <c r="B968" t="s">
        <v>74</v>
      </c>
      <c r="C968">
        <v>507</v>
      </c>
      <c r="D968">
        <v>81.099999999999994</v>
      </c>
      <c r="E968">
        <v>0</v>
      </c>
      <c r="K968">
        <v>2.6119999999999997E-3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</row>
    <row r="969" spans="1:20">
      <c r="A969">
        <f t="shared" si="15"/>
        <v>968</v>
      </c>
      <c r="B969" t="s">
        <v>74</v>
      </c>
      <c r="C969">
        <v>507</v>
      </c>
      <c r="D969">
        <v>148.9</v>
      </c>
      <c r="E969">
        <v>0</v>
      </c>
      <c r="K969">
        <v>4.5770000000000003E-3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</row>
    <row r="970" spans="1:20">
      <c r="A970">
        <f t="shared" si="15"/>
        <v>969</v>
      </c>
      <c r="B970" t="s">
        <v>74</v>
      </c>
      <c r="C970">
        <v>507</v>
      </c>
      <c r="D970">
        <v>207.8</v>
      </c>
      <c r="E970">
        <v>0</v>
      </c>
      <c r="K970">
        <v>7.1780000000000004E-3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</row>
    <row r="971" spans="1:20">
      <c r="A971">
        <f t="shared" si="15"/>
        <v>970</v>
      </c>
      <c r="B971" t="s">
        <v>74</v>
      </c>
      <c r="C971">
        <v>507</v>
      </c>
      <c r="D971">
        <v>277.7</v>
      </c>
      <c r="E971">
        <v>0</v>
      </c>
      <c r="K971">
        <v>8.3859999999999994E-3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</row>
    <row r="972" spans="1:20">
      <c r="A972">
        <f t="shared" si="15"/>
        <v>971</v>
      </c>
      <c r="B972" t="s">
        <v>74</v>
      </c>
      <c r="C972">
        <v>507</v>
      </c>
      <c r="D972">
        <v>471.3</v>
      </c>
      <c r="E972">
        <v>0</v>
      </c>
      <c r="K972">
        <v>1.4190000000000001E-2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</row>
    <row r="973" spans="1:20">
      <c r="A973">
        <f t="shared" si="15"/>
        <v>972</v>
      </c>
      <c r="B973" t="s">
        <v>74</v>
      </c>
      <c r="C973">
        <v>507</v>
      </c>
      <c r="D973">
        <v>596.9</v>
      </c>
      <c r="E973">
        <v>0</v>
      </c>
      <c r="K973">
        <v>1.538E-2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</row>
    <row r="974" spans="1:20">
      <c r="A974">
        <f t="shared" si="15"/>
        <v>973</v>
      </c>
      <c r="B974" t="s">
        <v>74</v>
      </c>
      <c r="C974">
        <v>507</v>
      </c>
      <c r="D974">
        <v>781.2</v>
      </c>
      <c r="E974">
        <v>0</v>
      </c>
      <c r="K974">
        <v>1.8349999999999998E-2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</row>
    <row r="975" spans="1:20">
      <c r="A975">
        <f t="shared" si="15"/>
        <v>974</v>
      </c>
      <c r="B975" t="s">
        <v>74</v>
      </c>
      <c r="C975">
        <v>507</v>
      </c>
      <c r="D975">
        <v>933.6</v>
      </c>
      <c r="E975">
        <v>0</v>
      </c>
      <c r="K975">
        <v>1.9769999999999999E-2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</row>
    <row r="976" spans="1:20">
      <c r="A976">
        <f t="shared" si="15"/>
        <v>975</v>
      </c>
      <c r="B976" t="s">
        <v>74</v>
      </c>
      <c r="C976">
        <v>507</v>
      </c>
      <c r="D976">
        <v>1081.8</v>
      </c>
      <c r="E976">
        <v>0</v>
      </c>
      <c r="K976">
        <v>2.1230000000000002E-2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</row>
    <row r="977" spans="1:20">
      <c r="A977">
        <f t="shared" si="15"/>
        <v>976</v>
      </c>
      <c r="B977" t="s">
        <v>74</v>
      </c>
      <c r="C977">
        <v>507</v>
      </c>
      <c r="D977">
        <v>1087.3</v>
      </c>
      <c r="E977">
        <v>0</v>
      </c>
      <c r="K977">
        <v>2.0870000000000003E-2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</row>
    <row r="978" spans="1:20">
      <c r="A978">
        <f t="shared" si="15"/>
        <v>977</v>
      </c>
      <c r="B978" t="s">
        <v>74</v>
      </c>
      <c r="C978">
        <v>507</v>
      </c>
      <c r="D978">
        <v>1325.9</v>
      </c>
      <c r="E978">
        <v>0</v>
      </c>
      <c r="K978">
        <v>2.2200000000000001E-2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</row>
    <row r="979" spans="1:20">
      <c r="A979">
        <f t="shared" si="15"/>
        <v>978</v>
      </c>
      <c r="B979" t="s">
        <v>74</v>
      </c>
      <c r="C979">
        <v>507</v>
      </c>
      <c r="D979">
        <v>1471.3</v>
      </c>
      <c r="E979">
        <v>0</v>
      </c>
      <c r="K979">
        <v>2.2559999999999997E-2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</row>
    <row r="980" spans="1:20">
      <c r="A980">
        <f t="shared" si="15"/>
        <v>979</v>
      </c>
      <c r="B980" t="s">
        <v>74</v>
      </c>
      <c r="C980">
        <v>507</v>
      </c>
      <c r="D980">
        <v>1643</v>
      </c>
      <c r="E980">
        <v>0</v>
      </c>
      <c r="K980">
        <v>2.3730000000000001E-2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</row>
    <row r="981" spans="1:20">
      <c r="A981">
        <f t="shared" si="15"/>
        <v>980</v>
      </c>
      <c r="B981" t="s">
        <v>75</v>
      </c>
      <c r="C981">
        <v>298.2</v>
      </c>
      <c r="D981">
        <v>25</v>
      </c>
      <c r="E981">
        <v>0</v>
      </c>
      <c r="F981">
        <v>2.5399999999999867E-3</v>
      </c>
      <c r="K981">
        <v>5.9900000000000003E-4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</row>
    <row r="982" spans="1:20">
      <c r="A982">
        <f t="shared" si="15"/>
        <v>981</v>
      </c>
      <c r="B982" t="s">
        <v>75</v>
      </c>
      <c r="C982">
        <v>298.2</v>
      </c>
      <c r="D982">
        <v>50</v>
      </c>
      <c r="E982">
        <v>0</v>
      </c>
      <c r="F982">
        <v>1.4600000000000168E-3</v>
      </c>
      <c r="K982">
        <v>1.1199999999999999E-3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</row>
    <row r="983" spans="1:20">
      <c r="A983">
        <f t="shared" si="15"/>
        <v>982</v>
      </c>
      <c r="B983" t="s">
        <v>75</v>
      </c>
      <c r="C983">
        <v>298.2</v>
      </c>
      <c r="D983">
        <v>75</v>
      </c>
      <c r="E983">
        <v>0</v>
      </c>
      <c r="F983">
        <v>9.3399999999999039E-4</v>
      </c>
      <c r="K983">
        <v>1.4599999999999999E-3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</row>
    <row r="984" spans="1:20">
      <c r="A984">
        <f t="shared" si="15"/>
        <v>983</v>
      </c>
      <c r="B984" t="s">
        <v>75</v>
      </c>
      <c r="C984">
        <v>298.2</v>
      </c>
      <c r="D984">
        <v>100</v>
      </c>
      <c r="E984">
        <v>0</v>
      </c>
      <c r="F984">
        <v>8.2000000000004292E-4</v>
      </c>
      <c r="K984">
        <v>1.9E-3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</row>
    <row r="985" spans="1:20">
      <c r="A985">
        <f t="shared" si="15"/>
        <v>984</v>
      </c>
      <c r="B985" t="s">
        <v>75</v>
      </c>
      <c r="C985">
        <v>298.2</v>
      </c>
      <c r="D985">
        <v>125</v>
      </c>
      <c r="E985">
        <v>0</v>
      </c>
      <c r="F985">
        <v>5.8400000000002894E-4</v>
      </c>
      <c r="K985">
        <v>2.2100000000000002E-3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</row>
    <row r="986" spans="1:20">
      <c r="A986">
        <f t="shared" si="15"/>
        <v>985</v>
      </c>
      <c r="B986" t="s">
        <v>75</v>
      </c>
      <c r="C986">
        <v>313.2</v>
      </c>
      <c r="D986">
        <v>25</v>
      </c>
      <c r="E986">
        <v>0</v>
      </c>
      <c r="F986">
        <v>3.0299999999999772E-3</v>
      </c>
      <c r="K986">
        <v>4.8999999999999998E-4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</row>
    <row r="987" spans="1:20">
      <c r="A987">
        <f t="shared" si="15"/>
        <v>986</v>
      </c>
      <c r="B987" t="s">
        <v>75</v>
      </c>
      <c r="C987">
        <v>313.2</v>
      </c>
      <c r="D987">
        <v>50</v>
      </c>
      <c r="E987">
        <v>0</v>
      </c>
      <c r="F987">
        <v>1.8700000000000383E-3</v>
      </c>
      <c r="K987">
        <v>9.2900000000000003E-4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</row>
    <row r="988" spans="1:20">
      <c r="A988">
        <f t="shared" si="15"/>
        <v>987</v>
      </c>
      <c r="B988" t="s">
        <v>75</v>
      </c>
      <c r="C988">
        <v>313.2</v>
      </c>
      <c r="D988">
        <v>75</v>
      </c>
      <c r="E988">
        <v>0</v>
      </c>
      <c r="F988">
        <v>1.3400000000000079E-3</v>
      </c>
      <c r="K988">
        <v>1.2700000000000001E-3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</row>
    <row r="989" spans="1:20">
      <c r="A989">
        <f t="shared" si="15"/>
        <v>988</v>
      </c>
      <c r="B989" t="s">
        <v>75</v>
      </c>
      <c r="C989">
        <v>313.2</v>
      </c>
      <c r="D989">
        <v>100</v>
      </c>
      <c r="E989">
        <v>0</v>
      </c>
      <c r="F989">
        <v>1.1200000000000099E-3</v>
      </c>
      <c r="K989">
        <v>1.64E-3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</row>
    <row r="990" spans="1:20">
      <c r="A990">
        <f t="shared" si="15"/>
        <v>989</v>
      </c>
      <c r="B990" t="s">
        <v>75</v>
      </c>
      <c r="C990">
        <v>313.2</v>
      </c>
      <c r="D990">
        <v>125</v>
      </c>
      <c r="E990">
        <v>0</v>
      </c>
      <c r="F990">
        <v>9.2599999999998239E-4</v>
      </c>
      <c r="K990">
        <v>1.8699999999999999E-3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</row>
    <row r="991" spans="1:20">
      <c r="A991">
        <f t="shared" si="15"/>
        <v>990</v>
      </c>
      <c r="B991" t="s">
        <v>75</v>
      </c>
      <c r="C991">
        <v>338.2</v>
      </c>
      <c r="D991">
        <v>25</v>
      </c>
      <c r="E991">
        <v>0</v>
      </c>
      <c r="F991">
        <v>9.8300000000000054E-3</v>
      </c>
      <c r="K991">
        <v>4.0499999999999998E-4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</row>
    <row r="992" spans="1:20">
      <c r="A992">
        <f t="shared" si="15"/>
        <v>991</v>
      </c>
      <c r="B992" t="s">
        <v>75</v>
      </c>
      <c r="C992">
        <v>338.2</v>
      </c>
      <c r="D992">
        <v>50</v>
      </c>
      <c r="E992">
        <v>0</v>
      </c>
      <c r="F992">
        <v>6.0900000000000398E-3</v>
      </c>
      <c r="K992">
        <v>7.7099999999999998E-4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</row>
    <row r="993" spans="1:20">
      <c r="A993">
        <f t="shared" si="15"/>
        <v>992</v>
      </c>
      <c r="B993" t="s">
        <v>75</v>
      </c>
      <c r="C993">
        <v>338.2</v>
      </c>
      <c r="D993">
        <v>75</v>
      </c>
      <c r="E993">
        <v>0</v>
      </c>
      <c r="F993">
        <v>4.4800000000000395E-3</v>
      </c>
      <c r="K993">
        <v>1.1000000000000001E-3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</row>
    <row r="994" spans="1:20">
      <c r="A994">
        <f t="shared" si="15"/>
        <v>993</v>
      </c>
      <c r="B994" t="s">
        <v>75</v>
      </c>
      <c r="C994">
        <v>338.2</v>
      </c>
      <c r="D994">
        <v>100</v>
      </c>
      <c r="E994">
        <v>0</v>
      </c>
      <c r="F994">
        <v>3.4800000000000386E-3</v>
      </c>
      <c r="K994">
        <v>1.3600000000000001E-3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</row>
    <row r="995" spans="1:20">
      <c r="A995">
        <f t="shared" si="15"/>
        <v>994</v>
      </c>
      <c r="B995" t="s">
        <v>75</v>
      </c>
      <c r="C995">
        <v>338.2</v>
      </c>
      <c r="D995">
        <v>125</v>
      </c>
      <c r="E995">
        <v>0</v>
      </c>
      <c r="F995">
        <v>2.9799999999999827E-3</v>
      </c>
      <c r="K995">
        <v>1.6199999999999999E-3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</row>
    <row r="996" spans="1:20">
      <c r="A996">
        <f t="shared" si="15"/>
        <v>995</v>
      </c>
      <c r="B996" t="s">
        <v>20</v>
      </c>
      <c r="C996">
        <v>310.93</v>
      </c>
      <c r="D996">
        <v>6.89</v>
      </c>
      <c r="E996">
        <v>0</v>
      </c>
      <c r="F996">
        <v>1.0600000000000054E-2</v>
      </c>
      <c r="H996">
        <v>3.7469999999999999E-3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>
      <c r="A997">
        <f t="shared" si="15"/>
        <v>996</v>
      </c>
      <c r="B997" t="s">
        <v>20</v>
      </c>
      <c r="C997">
        <v>310.93</v>
      </c>
      <c r="D997">
        <v>10.34</v>
      </c>
      <c r="E997">
        <v>0</v>
      </c>
      <c r="F997">
        <v>7.4999999999999512E-3</v>
      </c>
      <c r="H997">
        <v>2.7290000000000001E-3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>
      <c r="A998">
        <f t="shared" si="15"/>
        <v>997</v>
      </c>
      <c r="B998" t="s">
        <v>20</v>
      </c>
      <c r="C998">
        <v>310.93</v>
      </c>
      <c r="D998">
        <v>13.79</v>
      </c>
      <c r="E998">
        <v>0</v>
      </c>
      <c r="F998">
        <v>6.0000000000000053E-3</v>
      </c>
      <c r="H998">
        <v>2.078E-3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>
      <c r="A999">
        <f t="shared" si="15"/>
        <v>998</v>
      </c>
      <c r="B999" t="s">
        <v>20</v>
      </c>
      <c r="C999">
        <v>310.93</v>
      </c>
      <c r="D999">
        <v>17.239999999999998</v>
      </c>
      <c r="E999">
        <v>0</v>
      </c>
      <c r="F999">
        <v>5.0999999999999934E-3</v>
      </c>
      <c r="H999">
        <v>1.6429999999999999E-3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>
      <c r="A1000">
        <f t="shared" si="15"/>
        <v>999</v>
      </c>
      <c r="B1000" t="s">
        <v>20</v>
      </c>
      <c r="C1000">
        <v>310.93</v>
      </c>
      <c r="D1000">
        <v>20.68</v>
      </c>
      <c r="E1000">
        <v>0</v>
      </c>
      <c r="F1000">
        <v>4.6000000000000485E-3</v>
      </c>
      <c r="H1000">
        <v>1.3450000000000001E-3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>
      <c r="A1001">
        <f t="shared" si="15"/>
        <v>1000</v>
      </c>
      <c r="B1001" t="s">
        <v>20</v>
      </c>
      <c r="C1001">
        <v>310.93</v>
      </c>
      <c r="D1001">
        <v>26.9</v>
      </c>
      <c r="E1001">
        <v>0</v>
      </c>
      <c r="F1001">
        <v>4.0000000000000036E-3</v>
      </c>
      <c r="H1001">
        <v>1.132E-3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>
      <c r="A1002">
        <f t="shared" si="15"/>
        <v>1001</v>
      </c>
      <c r="B1002" t="s">
        <v>20</v>
      </c>
      <c r="C1002">
        <v>344.26</v>
      </c>
      <c r="D1002">
        <v>6.89</v>
      </c>
      <c r="E1002">
        <v>0</v>
      </c>
      <c r="F1002">
        <v>5.0699999999999967E-2</v>
      </c>
      <c r="H1002">
        <v>9.7199999999999999E-4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>
      <c r="A1003">
        <f t="shared" si="15"/>
        <v>1002</v>
      </c>
      <c r="B1003" t="s">
        <v>20</v>
      </c>
      <c r="C1003">
        <v>344.26</v>
      </c>
      <c r="D1003">
        <v>10.34</v>
      </c>
      <c r="E1003">
        <v>0</v>
      </c>
      <c r="F1003">
        <v>3.5699999999999954E-2</v>
      </c>
      <c r="H1003">
        <v>7.6E-3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>
      <c r="A1004">
        <f t="shared" si="15"/>
        <v>1003</v>
      </c>
      <c r="B1004" t="s">
        <v>20</v>
      </c>
      <c r="C1004">
        <v>344.26</v>
      </c>
      <c r="D1004">
        <v>13.79</v>
      </c>
      <c r="E1004">
        <v>0</v>
      </c>
      <c r="F1004">
        <v>2.739999999999998E-2</v>
      </c>
      <c r="H1004">
        <v>1.0200000000000001E-2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>
      <c r="A1005">
        <f t="shared" si="15"/>
        <v>1004</v>
      </c>
      <c r="B1005" t="s">
        <v>20</v>
      </c>
      <c r="C1005">
        <v>344.26</v>
      </c>
      <c r="D1005">
        <v>17.239999999999998</v>
      </c>
      <c r="E1005">
        <v>0</v>
      </c>
      <c r="F1005">
        <v>2.2900000000000031E-2</v>
      </c>
      <c r="H1005">
        <v>1.2800000000000001E-2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>
      <c r="A1006">
        <f t="shared" si="15"/>
        <v>1005</v>
      </c>
      <c r="B1006" t="s">
        <v>20</v>
      </c>
      <c r="C1006">
        <v>344.26</v>
      </c>
      <c r="D1006">
        <v>20.68</v>
      </c>
      <c r="E1006">
        <v>0</v>
      </c>
      <c r="F1006">
        <v>1.9900000000000029E-2</v>
      </c>
      <c r="H1006">
        <v>1.54E-2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>
      <c r="A1007">
        <f t="shared" si="15"/>
        <v>1006</v>
      </c>
      <c r="B1007" t="s">
        <v>20</v>
      </c>
      <c r="C1007">
        <v>344.26</v>
      </c>
      <c r="D1007">
        <v>27.58</v>
      </c>
      <c r="E1007">
        <v>0</v>
      </c>
      <c r="F1007">
        <v>1.6299999999999981E-2</v>
      </c>
      <c r="H1007">
        <v>2.06E-2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>
      <c r="A1008">
        <f t="shared" si="15"/>
        <v>1007</v>
      </c>
      <c r="B1008" t="s">
        <v>20</v>
      </c>
      <c r="C1008">
        <v>344.26</v>
      </c>
      <c r="D1008">
        <v>34.47</v>
      </c>
      <c r="E1008">
        <v>0</v>
      </c>
      <c r="F1008">
        <v>1.4399999999999968E-2</v>
      </c>
      <c r="H1008">
        <v>2.58E-2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>
      <c r="A1009">
        <f t="shared" si="15"/>
        <v>1008</v>
      </c>
      <c r="B1009" t="s">
        <v>20</v>
      </c>
      <c r="C1009">
        <v>344.26</v>
      </c>
      <c r="D1009">
        <v>41.37</v>
      </c>
      <c r="E1009">
        <v>0</v>
      </c>
      <c r="F1009">
        <v>1.319999999999999E-2</v>
      </c>
      <c r="H1009">
        <v>3.1E-2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>
      <c r="A1010">
        <f t="shared" si="15"/>
        <v>1009</v>
      </c>
      <c r="B1010" t="s">
        <v>20</v>
      </c>
      <c r="C1010">
        <v>344.26</v>
      </c>
      <c r="D1010">
        <v>48.26</v>
      </c>
      <c r="E1010">
        <v>0</v>
      </c>
      <c r="F1010">
        <v>1.319999999999999E-2</v>
      </c>
      <c r="H1010">
        <v>3.6400000000000002E-2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>
        <f t="shared" si="15"/>
        <v>1010</v>
      </c>
      <c r="B1011" t="s">
        <v>20</v>
      </c>
      <c r="C1011">
        <v>344.26</v>
      </c>
      <c r="D1011">
        <v>52.36</v>
      </c>
      <c r="E1011">
        <v>0</v>
      </c>
      <c r="F1011">
        <v>1.3100000000000001E-2</v>
      </c>
      <c r="H1011">
        <v>3.95E-2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>
      <c r="A1012">
        <f t="shared" si="15"/>
        <v>1011</v>
      </c>
      <c r="B1012" t="s">
        <v>20</v>
      </c>
      <c r="C1012">
        <v>377.59</v>
      </c>
      <c r="D1012">
        <v>13.79</v>
      </c>
      <c r="E1012">
        <v>0</v>
      </c>
      <c r="F1012">
        <v>9.540000000000004E-2</v>
      </c>
      <c r="H1012">
        <v>7.7000000000000002E-3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>
      <c r="A1013">
        <f t="shared" si="15"/>
        <v>1012</v>
      </c>
      <c r="B1013" t="s">
        <v>20</v>
      </c>
      <c r="C1013">
        <v>377.59</v>
      </c>
      <c r="D1013">
        <v>27.58</v>
      </c>
      <c r="E1013">
        <v>0</v>
      </c>
      <c r="F1013">
        <v>5.2300000000000013E-2</v>
      </c>
      <c r="H1013">
        <v>1.5599999999999999E-2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>
      <c r="A1014">
        <f t="shared" si="15"/>
        <v>1013</v>
      </c>
      <c r="B1014" t="s">
        <v>20</v>
      </c>
      <c r="C1014">
        <v>377.59</v>
      </c>
      <c r="D1014">
        <v>41.37</v>
      </c>
      <c r="E1014">
        <v>0</v>
      </c>
      <c r="F1014">
        <v>4.0300000000000002E-2</v>
      </c>
      <c r="H1014">
        <v>2.3E-2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>
      <c r="A1015">
        <f t="shared" si="15"/>
        <v>1014</v>
      </c>
      <c r="B1015" t="s">
        <v>20</v>
      </c>
      <c r="C1015">
        <v>377.59</v>
      </c>
      <c r="D1015">
        <v>55.16</v>
      </c>
      <c r="E1015">
        <v>0</v>
      </c>
      <c r="F1015">
        <v>3.5299999999999998E-2</v>
      </c>
      <c r="H1015">
        <v>3.0099999999999998E-2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>
      <c r="A1016">
        <f t="shared" si="15"/>
        <v>1015</v>
      </c>
      <c r="B1016" t="s">
        <v>20</v>
      </c>
      <c r="C1016">
        <v>377.59</v>
      </c>
      <c r="D1016">
        <v>68.95</v>
      </c>
      <c r="E1016">
        <v>0</v>
      </c>
      <c r="F1016">
        <v>3.3599999999999963E-2</v>
      </c>
      <c r="H1016">
        <v>3.7100000000000001E-2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>
      <c r="A1017">
        <f t="shared" si="15"/>
        <v>1016</v>
      </c>
      <c r="B1017" t="s">
        <v>20</v>
      </c>
      <c r="C1017">
        <v>377.59</v>
      </c>
      <c r="D1017">
        <v>86.18</v>
      </c>
      <c r="E1017">
        <v>0</v>
      </c>
      <c r="F1017">
        <v>3.3499999999999974E-2</v>
      </c>
      <c r="H1017">
        <v>4.6300000000000001E-2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>
      <c r="A1018">
        <f t="shared" si="15"/>
        <v>1017</v>
      </c>
      <c r="B1018" t="s">
        <v>20</v>
      </c>
      <c r="C1018">
        <v>377.59</v>
      </c>
      <c r="D1018">
        <v>103.4</v>
      </c>
      <c r="E1018">
        <v>0</v>
      </c>
      <c r="F1018">
        <v>3.4900000000000042E-2</v>
      </c>
      <c r="H1018">
        <v>5.7700000000000001E-2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>
      <c r="A1019">
        <f t="shared" si="15"/>
        <v>1018</v>
      </c>
      <c r="B1019" t="s">
        <v>20</v>
      </c>
      <c r="C1019">
        <v>377.59</v>
      </c>
      <c r="D1019">
        <v>120.7</v>
      </c>
      <c r="E1019">
        <v>0</v>
      </c>
      <c r="F1019">
        <v>3.7000000000000033E-2</v>
      </c>
      <c r="H1019">
        <v>6.9000000000000006E-2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>
      <c r="A1020">
        <f t="shared" si="15"/>
        <v>1019</v>
      </c>
      <c r="B1020" t="s">
        <v>20</v>
      </c>
      <c r="C1020">
        <v>377.59</v>
      </c>
      <c r="D1020">
        <v>137.9</v>
      </c>
      <c r="E1020">
        <v>0</v>
      </c>
      <c r="F1020">
        <v>3.9799999999999947E-2</v>
      </c>
      <c r="H1020">
        <v>8.2299999999999998E-2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>
      <c r="A1021">
        <f t="shared" si="15"/>
        <v>1020</v>
      </c>
      <c r="B1021" t="s">
        <v>20</v>
      </c>
      <c r="C1021">
        <v>377.59</v>
      </c>
      <c r="D1021">
        <v>155.1</v>
      </c>
      <c r="E1021">
        <v>0</v>
      </c>
      <c r="F1021">
        <v>4.3200000000000016E-2</v>
      </c>
      <c r="H1021">
        <v>9.7299999999999998E-2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>
      <c r="A1022">
        <f t="shared" si="15"/>
        <v>1021</v>
      </c>
      <c r="B1022" t="s">
        <v>20</v>
      </c>
      <c r="C1022">
        <v>377.59</v>
      </c>
      <c r="D1022">
        <v>172.4</v>
      </c>
      <c r="E1022">
        <v>0</v>
      </c>
      <c r="F1022">
        <v>4.6900000000000053E-2</v>
      </c>
      <c r="H1022">
        <v>0.1145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>
      <c r="A1023">
        <f t="shared" si="15"/>
        <v>1022</v>
      </c>
      <c r="B1023" t="s">
        <v>20</v>
      </c>
      <c r="C1023">
        <v>377.59</v>
      </c>
      <c r="D1023">
        <v>189.6</v>
      </c>
      <c r="E1023">
        <v>0</v>
      </c>
      <c r="F1023">
        <v>5.0899999999999945E-2</v>
      </c>
      <c r="H1023">
        <v>0.1346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>
      <c r="A1024">
        <f t="shared" si="15"/>
        <v>1023</v>
      </c>
      <c r="B1024" t="s">
        <v>20</v>
      </c>
      <c r="C1024">
        <v>377.59</v>
      </c>
      <c r="D1024">
        <v>206.8</v>
      </c>
      <c r="E1024">
        <v>0</v>
      </c>
      <c r="F1024">
        <v>5.4899999999999949E-2</v>
      </c>
      <c r="H1024">
        <v>0.15859999999999999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>
      <c r="A1025">
        <f t="shared" si="15"/>
        <v>1024</v>
      </c>
      <c r="B1025" t="s">
        <v>20</v>
      </c>
      <c r="C1025">
        <v>410.93</v>
      </c>
      <c r="D1025">
        <v>13.79</v>
      </c>
      <c r="E1025">
        <v>0</v>
      </c>
      <c r="F1025">
        <v>0.26249999999999996</v>
      </c>
      <c r="H1025">
        <v>5.7000000000000002E-3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>
      <c r="A1026">
        <f t="shared" si="15"/>
        <v>1025</v>
      </c>
      <c r="B1026" t="s">
        <v>20</v>
      </c>
      <c r="C1026">
        <v>410.93</v>
      </c>
      <c r="D1026">
        <v>27.58</v>
      </c>
      <c r="E1026">
        <v>0</v>
      </c>
      <c r="F1026">
        <v>0.1411</v>
      </c>
      <c r="H1026">
        <v>1.2699999999999999E-2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>
      <c r="A1027">
        <f t="shared" si="15"/>
        <v>1026</v>
      </c>
      <c r="B1027" t="s">
        <v>20</v>
      </c>
      <c r="C1027">
        <v>410.93</v>
      </c>
      <c r="D1027">
        <v>41.37</v>
      </c>
      <c r="E1027">
        <v>0</v>
      </c>
      <c r="F1027">
        <v>0.10160000000000002</v>
      </c>
      <c r="H1027">
        <v>1.9099999999999999E-2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>
      <c r="A1028">
        <f t="shared" ref="A1028:A1091" si="16">A1027+1</f>
        <v>1027</v>
      </c>
      <c r="B1028" t="s">
        <v>20</v>
      </c>
      <c r="C1028">
        <v>410.93</v>
      </c>
      <c r="D1028">
        <v>55.16</v>
      </c>
      <c r="E1028">
        <v>0</v>
      </c>
      <c r="F1028">
        <v>8.450000000000002E-2</v>
      </c>
      <c r="H1028">
        <v>2.5000000000000001E-2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>
      <c r="A1029">
        <f t="shared" si="16"/>
        <v>1028</v>
      </c>
      <c r="B1029" t="s">
        <v>20</v>
      </c>
      <c r="C1029">
        <v>410.93</v>
      </c>
      <c r="D1029">
        <v>68.95</v>
      </c>
      <c r="E1029">
        <v>0</v>
      </c>
      <c r="F1029">
        <v>7.5200000000000045E-2</v>
      </c>
      <c r="H1029">
        <v>3.0800000000000001E-2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>
      <c r="A1030">
        <f t="shared" si="16"/>
        <v>1029</v>
      </c>
      <c r="B1030" t="s">
        <v>20</v>
      </c>
      <c r="C1030">
        <v>410.93</v>
      </c>
      <c r="D1030">
        <v>86.18</v>
      </c>
      <c r="E1030">
        <v>0</v>
      </c>
      <c r="F1030">
        <v>6.9300000000000028E-2</v>
      </c>
      <c r="H1030">
        <v>3.8199999999999998E-2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>
      <c r="A1031">
        <f t="shared" si="16"/>
        <v>1030</v>
      </c>
      <c r="B1031" t="s">
        <v>20</v>
      </c>
      <c r="C1031">
        <v>410.93</v>
      </c>
      <c r="D1031">
        <v>103.4</v>
      </c>
      <c r="E1031">
        <v>0</v>
      </c>
      <c r="F1031">
        <v>6.6999999999999948E-2</v>
      </c>
      <c r="H1031">
        <v>4.6300000000000001E-2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>
      <c r="A1032">
        <f t="shared" si="16"/>
        <v>1031</v>
      </c>
      <c r="B1032" t="s">
        <v>20</v>
      </c>
      <c r="C1032">
        <v>410.93</v>
      </c>
      <c r="D1032">
        <v>120.7</v>
      </c>
      <c r="E1032">
        <v>0</v>
      </c>
      <c r="F1032">
        <v>6.7300000000000026E-2</v>
      </c>
      <c r="H1032">
        <v>5.5E-2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>
      <c r="A1033">
        <f t="shared" si="16"/>
        <v>1032</v>
      </c>
      <c r="B1033" t="s">
        <v>20</v>
      </c>
      <c r="C1033">
        <v>410.93</v>
      </c>
      <c r="D1033">
        <v>137.9</v>
      </c>
      <c r="E1033">
        <v>0</v>
      </c>
      <c r="F1033">
        <v>6.9699999999999984E-2</v>
      </c>
      <c r="H1033">
        <v>6.4699999999999994E-2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>
      <c r="A1034">
        <f t="shared" si="16"/>
        <v>1033</v>
      </c>
      <c r="B1034" t="s">
        <v>20</v>
      </c>
      <c r="C1034">
        <v>410.93</v>
      </c>
      <c r="D1034">
        <v>155.1</v>
      </c>
      <c r="E1034">
        <v>0</v>
      </c>
      <c r="F1034">
        <v>7.3699999999999988E-2</v>
      </c>
      <c r="H1034">
        <v>7.4999999999999997E-2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>
      <c r="A1035">
        <f t="shared" si="16"/>
        <v>1034</v>
      </c>
      <c r="B1035" t="s">
        <v>20</v>
      </c>
      <c r="C1035">
        <v>410.93</v>
      </c>
      <c r="D1035">
        <v>172.4</v>
      </c>
      <c r="E1035">
        <v>0</v>
      </c>
      <c r="F1035">
        <v>7.8699999999999992E-2</v>
      </c>
      <c r="H1035">
        <v>8.5999999999999993E-2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>
      <c r="A1036">
        <f t="shared" si="16"/>
        <v>1035</v>
      </c>
      <c r="B1036" t="s">
        <v>20</v>
      </c>
      <c r="C1036">
        <v>410.93</v>
      </c>
      <c r="D1036">
        <v>189.6</v>
      </c>
      <c r="E1036">
        <v>0</v>
      </c>
      <c r="F1036">
        <v>8.4099999999999953E-2</v>
      </c>
      <c r="H1036">
        <v>9.7799999999999998E-2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>
      <c r="A1037">
        <f t="shared" si="16"/>
        <v>1036</v>
      </c>
      <c r="B1037" t="s">
        <v>20</v>
      </c>
      <c r="C1037">
        <v>410.93</v>
      </c>
      <c r="D1037">
        <v>206.8</v>
      </c>
      <c r="E1037">
        <v>0</v>
      </c>
      <c r="F1037">
        <v>8.9600000000000013E-2</v>
      </c>
      <c r="H1037">
        <v>0.1106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>
      <c r="A1038">
        <f t="shared" si="16"/>
        <v>1037</v>
      </c>
      <c r="B1038" t="s">
        <v>20</v>
      </c>
      <c r="C1038">
        <v>444.26</v>
      </c>
      <c r="D1038">
        <v>13.79</v>
      </c>
      <c r="E1038">
        <v>0</v>
      </c>
      <c r="F1038">
        <v>0.60189999999999999</v>
      </c>
      <c r="H1038">
        <v>2.8999999999999998E-3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>
      <c r="A1039">
        <f t="shared" si="16"/>
        <v>1038</v>
      </c>
      <c r="B1039" t="s">
        <v>20</v>
      </c>
      <c r="C1039">
        <v>444.26</v>
      </c>
      <c r="D1039">
        <v>27.58</v>
      </c>
      <c r="E1039">
        <v>0</v>
      </c>
      <c r="F1039">
        <v>0.31720000000000004</v>
      </c>
      <c r="H1039">
        <v>9.4000000000000004E-3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>
      <c r="A1040">
        <f t="shared" si="16"/>
        <v>1039</v>
      </c>
      <c r="B1040" t="s">
        <v>20</v>
      </c>
      <c r="C1040">
        <v>444.26</v>
      </c>
      <c r="D1040">
        <v>41.37</v>
      </c>
      <c r="E1040">
        <v>0</v>
      </c>
      <c r="F1040">
        <v>0.2228</v>
      </c>
      <c r="H1040">
        <v>1.55E-2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>
      <c r="A1041">
        <f t="shared" si="16"/>
        <v>1040</v>
      </c>
      <c r="B1041" t="s">
        <v>20</v>
      </c>
      <c r="C1041">
        <v>444.26</v>
      </c>
      <c r="D1041">
        <v>55.16</v>
      </c>
      <c r="E1041">
        <v>0</v>
      </c>
      <c r="F1041">
        <v>0.17759999999999998</v>
      </c>
      <c r="H1041">
        <v>2.1399999999999999E-2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>
      <c r="A1042">
        <f t="shared" si="16"/>
        <v>1041</v>
      </c>
      <c r="B1042" t="s">
        <v>20</v>
      </c>
      <c r="C1042">
        <v>444.26</v>
      </c>
      <c r="D1042">
        <v>68.95</v>
      </c>
      <c r="E1042">
        <v>0</v>
      </c>
      <c r="F1042">
        <v>0.15339999999999998</v>
      </c>
      <c r="H1042">
        <v>2.7300000000000001E-2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>
      <c r="A1043">
        <f t="shared" si="16"/>
        <v>1042</v>
      </c>
      <c r="B1043" t="s">
        <v>20</v>
      </c>
      <c r="C1043">
        <v>444.26</v>
      </c>
      <c r="D1043">
        <v>86.18</v>
      </c>
      <c r="E1043">
        <v>0</v>
      </c>
      <c r="F1043">
        <v>0.13539999999999996</v>
      </c>
      <c r="H1043">
        <v>3.5099999999999999E-2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>
      <c r="A1044">
        <f t="shared" si="16"/>
        <v>1043</v>
      </c>
      <c r="B1044" t="s">
        <v>20</v>
      </c>
      <c r="C1044">
        <v>444.26</v>
      </c>
      <c r="D1044">
        <v>103.4</v>
      </c>
      <c r="E1044">
        <v>0</v>
      </c>
      <c r="F1044">
        <v>0.12580000000000002</v>
      </c>
      <c r="H1044">
        <v>4.3499999999999997E-2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>
      <c r="A1045">
        <f t="shared" si="16"/>
        <v>1044</v>
      </c>
      <c r="B1045" t="s">
        <v>20</v>
      </c>
      <c r="C1045">
        <v>444.26</v>
      </c>
      <c r="D1045">
        <v>120.7</v>
      </c>
      <c r="E1045">
        <v>0</v>
      </c>
      <c r="F1045">
        <v>0.12119999999999997</v>
      </c>
      <c r="H1045">
        <v>5.1999999999999998E-2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>
      <c r="A1046">
        <f t="shared" si="16"/>
        <v>1045</v>
      </c>
      <c r="B1046" t="s">
        <v>20</v>
      </c>
      <c r="C1046">
        <v>444.26</v>
      </c>
      <c r="D1046">
        <v>137.9</v>
      </c>
      <c r="E1046">
        <v>0</v>
      </c>
      <c r="F1046">
        <v>0.12029999999999996</v>
      </c>
      <c r="H1046">
        <v>6.0999999999999999E-2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>
      <c r="A1047">
        <f t="shared" si="16"/>
        <v>1046</v>
      </c>
      <c r="B1047" t="s">
        <v>20</v>
      </c>
      <c r="C1047">
        <v>444.26</v>
      </c>
      <c r="D1047">
        <v>155.1</v>
      </c>
      <c r="E1047">
        <v>0</v>
      </c>
      <c r="F1047">
        <v>0.12209999999999999</v>
      </c>
      <c r="H1047">
        <v>7.0499999999999993E-2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>
      <c r="A1048">
        <f t="shared" si="16"/>
        <v>1047</v>
      </c>
      <c r="B1048" t="s">
        <v>20</v>
      </c>
      <c r="C1048">
        <v>444.26</v>
      </c>
      <c r="D1048">
        <v>172.4</v>
      </c>
      <c r="E1048">
        <v>0</v>
      </c>
      <c r="F1048">
        <v>0.126</v>
      </c>
      <c r="H1048">
        <v>8.0500000000000002E-2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>
      <c r="A1049">
        <f t="shared" si="16"/>
        <v>1048</v>
      </c>
      <c r="B1049" t="s">
        <v>20</v>
      </c>
      <c r="C1049">
        <v>444.26</v>
      </c>
      <c r="D1049">
        <v>189.6</v>
      </c>
      <c r="E1049">
        <v>0</v>
      </c>
      <c r="F1049">
        <v>0.13190000000000002</v>
      </c>
      <c r="H1049">
        <v>9.0999999999999998E-2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>
      <c r="A1050">
        <f t="shared" si="16"/>
        <v>1049</v>
      </c>
      <c r="B1050" t="s">
        <v>20</v>
      </c>
      <c r="C1050">
        <v>444.26</v>
      </c>
      <c r="D1050">
        <v>206.8</v>
      </c>
      <c r="E1050">
        <v>0</v>
      </c>
      <c r="F1050">
        <v>0.13939999999999997</v>
      </c>
      <c r="H1050">
        <v>0.1024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>
      <c r="A1051">
        <f t="shared" si="16"/>
        <v>1050</v>
      </c>
      <c r="B1051" t="s">
        <v>76</v>
      </c>
      <c r="C1051">
        <v>303.2</v>
      </c>
      <c r="D1051">
        <v>16.594999999999999</v>
      </c>
      <c r="E1051">
        <v>0</v>
      </c>
      <c r="H1051">
        <v>2.453E-2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>
      <c r="A1052">
        <f t="shared" si="16"/>
        <v>1051</v>
      </c>
      <c r="B1052" t="s">
        <v>76</v>
      </c>
      <c r="C1052">
        <v>303.2</v>
      </c>
      <c r="D1052">
        <v>17.589000000000002</v>
      </c>
      <c r="E1052">
        <v>0</v>
      </c>
      <c r="H1052">
        <v>2.5819999999999999E-2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>
      <c r="A1053">
        <f t="shared" si="16"/>
        <v>1052</v>
      </c>
      <c r="B1053" t="s">
        <v>76</v>
      </c>
      <c r="C1053">
        <v>303.2</v>
      </c>
      <c r="D1053">
        <v>19.004999999999999</v>
      </c>
      <c r="E1053">
        <v>0</v>
      </c>
      <c r="H1053">
        <v>2.8060000000000002E-2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>
      <c r="A1054">
        <f t="shared" si="16"/>
        <v>1053</v>
      </c>
      <c r="B1054" t="s">
        <v>76</v>
      </c>
      <c r="C1054">
        <v>303.2</v>
      </c>
      <c r="D1054">
        <v>19.452999999999999</v>
      </c>
      <c r="E1054">
        <v>0</v>
      </c>
      <c r="H1054">
        <v>2.8729999999999999E-2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>
      <c r="A1055">
        <f t="shared" si="16"/>
        <v>1054</v>
      </c>
      <c r="B1055" t="s">
        <v>76</v>
      </c>
      <c r="C1055">
        <v>303.2</v>
      </c>
      <c r="D1055">
        <v>19.559000000000001</v>
      </c>
      <c r="E1055">
        <v>0</v>
      </c>
      <c r="H1055">
        <v>2.8330000000000001E-2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>
      <c r="A1056">
        <f t="shared" si="16"/>
        <v>1055</v>
      </c>
      <c r="B1056" t="s">
        <v>76</v>
      </c>
      <c r="C1056">
        <v>303.2</v>
      </c>
      <c r="D1056">
        <v>19.97</v>
      </c>
      <c r="E1056">
        <v>0</v>
      </c>
      <c r="H1056">
        <v>2.9559999999999999E-2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>
      <c r="A1057">
        <f t="shared" si="16"/>
        <v>1056</v>
      </c>
      <c r="B1057" t="s">
        <v>76</v>
      </c>
      <c r="C1057">
        <v>303.2</v>
      </c>
      <c r="D1057">
        <v>20.343</v>
      </c>
      <c r="E1057">
        <v>0</v>
      </c>
      <c r="H1057">
        <v>2.9929999999999998E-2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>
      <c r="A1058">
        <f t="shared" si="16"/>
        <v>1057</v>
      </c>
      <c r="B1058" t="s">
        <v>76</v>
      </c>
      <c r="C1058">
        <v>303.2</v>
      </c>
      <c r="D1058">
        <v>20.590999999999998</v>
      </c>
      <c r="E1058">
        <v>0</v>
      </c>
      <c r="H1058">
        <v>3.0540000000000001E-2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>
      <c r="A1059">
        <f t="shared" si="16"/>
        <v>1058</v>
      </c>
      <c r="B1059" t="s">
        <v>76</v>
      </c>
      <c r="C1059">
        <v>303.2</v>
      </c>
      <c r="D1059">
        <v>20.791</v>
      </c>
      <c r="E1059">
        <v>0</v>
      </c>
      <c r="H1059">
        <v>3.0630000000000001E-2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>
      <c r="A1060">
        <f t="shared" si="16"/>
        <v>1059</v>
      </c>
      <c r="B1060" t="s">
        <v>76</v>
      </c>
      <c r="C1060">
        <v>303.2</v>
      </c>
      <c r="D1060">
        <v>21.066999999999997</v>
      </c>
      <c r="E1060">
        <v>0</v>
      </c>
      <c r="H1060">
        <v>3.0769999999999999E-2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>
      <c r="A1061">
        <f t="shared" si="16"/>
        <v>1060</v>
      </c>
      <c r="B1061" t="s">
        <v>76</v>
      </c>
      <c r="C1061">
        <v>303.2</v>
      </c>
      <c r="D1061">
        <v>21.69</v>
      </c>
      <c r="E1061">
        <v>0</v>
      </c>
      <c r="H1061">
        <v>3.1949999999999999E-2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>
      <c r="A1062">
        <f t="shared" si="16"/>
        <v>1061</v>
      </c>
      <c r="B1062" t="s">
        <v>76</v>
      </c>
      <c r="C1062">
        <v>303.2</v>
      </c>
      <c r="D1062">
        <v>22.620999999999999</v>
      </c>
      <c r="E1062">
        <v>0</v>
      </c>
      <c r="H1062">
        <v>3.2750000000000001E-2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>
      <c r="A1063">
        <f t="shared" si="16"/>
        <v>1062</v>
      </c>
      <c r="B1063" t="s">
        <v>76</v>
      </c>
      <c r="C1063">
        <v>303.2</v>
      </c>
      <c r="D1063">
        <v>22.655000000000001</v>
      </c>
      <c r="E1063">
        <v>0</v>
      </c>
      <c r="H1063">
        <v>3.2919999999999998E-2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>
      <c r="A1064">
        <f t="shared" si="16"/>
        <v>1063</v>
      </c>
      <c r="B1064" t="s">
        <v>76</v>
      </c>
      <c r="C1064">
        <v>313.2</v>
      </c>
      <c r="D1064">
        <v>4.72</v>
      </c>
      <c r="E1064">
        <v>0</v>
      </c>
      <c r="H1064">
        <v>6.1999999999999998E-3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>
      <c r="A1065">
        <f t="shared" si="16"/>
        <v>1064</v>
      </c>
      <c r="B1065" t="s">
        <v>76</v>
      </c>
      <c r="C1065">
        <v>313.2</v>
      </c>
      <c r="D1065">
        <v>7.3039999999999994</v>
      </c>
      <c r="E1065">
        <v>0</v>
      </c>
      <c r="H1065">
        <v>9.1500000000000001E-3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>
      <c r="A1066">
        <f t="shared" si="16"/>
        <v>1065</v>
      </c>
      <c r="B1066" t="s">
        <v>76</v>
      </c>
      <c r="C1066">
        <v>313.2</v>
      </c>
      <c r="D1066">
        <v>9.7080000000000002</v>
      </c>
      <c r="E1066">
        <v>0</v>
      </c>
      <c r="H1066">
        <v>1.2489999999999999E-2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>
      <c r="A1067">
        <f t="shared" si="16"/>
        <v>1066</v>
      </c>
      <c r="B1067" t="s">
        <v>76</v>
      </c>
      <c r="C1067">
        <v>313.2</v>
      </c>
      <c r="D1067">
        <v>10.706</v>
      </c>
      <c r="E1067">
        <v>0</v>
      </c>
      <c r="H1067">
        <v>1.3729999999999999E-2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>
      <c r="A1068">
        <f t="shared" si="16"/>
        <v>1067</v>
      </c>
      <c r="B1068" t="s">
        <v>76</v>
      </c>
      <c r="C1068">
        <v>313.2</v>
      </c>
      <c r="D1068">
        <v>11.33</v>
      </c>
      <c r="E1068">
        <v>0</v>
      </c>
      <c r="H1068">
        <v>1.434E-2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>
      <c r="A1069">
        <f t="shared" si="16"/>
        <v>1068</v>
      </c>
      <c r="B1069" t="s">
        <v>76</v>
      </c>
      <c r="C1069">
        <v>313.2</v>
      </c>
      <c r="D1069">
        <v>12.357999999999999</v>
      </c>
      <c r="E1069">
        <v>0</v>
      </c>
      <c r="H1069">
        <v>1.5650000000000001E-2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>
      <c r="A1070">
        <f t="shared" si="16"/>
        <v>1069</v>
      </c>
      <c r="B1070" t="s">
        <v>76</v>
      </c>
      <c r="C1070">
        <v>313.2</v>
      </c>
      <c r="D1070">
        <v>14.699000000000002</v>
      </c>
      <c r="E1070">
        <v>0</v>
      </c>
      <c r="H1070">
        <v>1.8100000000000002E-2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>
      <c r="A1071">
        <f t="shared" si="16"/>
        <v>1070</v>
      </c>
      <c r="B1071" t="s">
        <v>76</v>
      </c>
      <c r="C1071">
        <v>313.2</v>
      </c>
      <c r="D1071">
        <v>15.345999999999998</v>
      </c>
      <c r="E1071">
        <v>0</v>
      </c>
      <c r="H1071">
        <v>1.95E-2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>
      <c r="A1072">
        <f t="shared" si="16"/>
        <v>1071</v>
      </c>
      <c r="B1072" t="s">
        <v>76</v>
      </c>
      <c r="C1072">
        <v>313.2</v>
      </c>
      <c r="D1072">
        <v>15.831</v>
      </c>
      <c r="E1072">
        <v>0</v>
      </c>
      <c r="H1072">
        <v>1.9789999999999999E-2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>
      <c r="A1073">
        <f t="shared" si="16"/>
        <v>1072</v>
      </c>
      <c r="B1073" t="s">
        <v>76</v>
      </c>
      <c r="C1073">
        <v>313.2</v>
      </c>
      <c r="D1073">
        <v>16.090999999999998</v>
      </c>
      <c r="E1073">
        <v>0</v>
      </c>
      <c r="H1073">
        <v>1.941E-2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>
      <c r="A1074">
        <f t="shared" si="16"/>
        <v>1073</v>
      </c>
      <c r="B1074" t="s">
        <v>76</v>
      </c>
      <c r="C1074">
        <v>313.2</v>
      </c>
      <c r="D1074">
        <v>16.367999999999999</v>
      </c>
      <c r="E1074">
        <v>0</v>
      </c>
      <c r="H1074">
        <v>1.975E-2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>
      <c r="A1075">
        <f t="shared" si="16"/>
        <v>1074</v>
      </c>
      <c r="B1075" t="s">
        <v>76</v>
      </c>
      <c r="C1075">
        <v>313.2</v>
      </c>
      <c r="D1075">
        <v>16.714000000000002</v>
      </c>
      <c r="E1075">
        <v>0</v>
      </c>
      <c r="H1075">
        <v>2.0129999999999999E-2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>
      <c r="A1076">
        <f t="shared" si="16"/>
        <v>1075</v>
      </c>
      <c r="B1076" t="s">
        <v>76</v>
      </c>
      <c r="C1076">
        <v>313.2</v>
      </c>
      <c r="D1076">
        <v>16.715</v>
      </c>
      <c r="E1076">
        <v>0</v>
      </c>
      <c r="H1076">
        <v>2.061E-2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>
      <c r="A1077">
        <f t="shared" si="16"/>
        <v>1076</v>
      </c>
      <c r="B1077" t="s">
        <v>76</v>
      </c>
      <c r="C1077">
        <v>313.2</v>
      </c>
      <c r="D1077">
        <v>17.071999999999999</v>
      </c>
      <c r="E1077">
        <v>0</v>
      </c>
      <c r="H1077">
        <v>2.077E-2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>
      <c r="A1078">
        <f t="shared" si="16"/>
        <v>1077</v>
      </c>
      <c r="B1078" t="s">
        <v>76</v>
      </c>
      <c r="C1078">
        <v>313.2</v>
      </c>
      <c r="D1078">
        <v>17.882999999999999</v>
      </c>
      <c r="E1078">
        <v>0</v>
      </c>
      <c r="H1078">
        <v>2.1260000000000001E-2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>
      <c r="A1079">
        <f t="shared" si="16"/>
        <v>1078</v>
      </c>
      <c r="B1079" t="s">
        <v>76</v>
      </c>
      <c r="C1079">
        <v>313.2</v>
      </c>
      <c r="D1079">
        <v>18.928000000000001</v>
      </c>
      <c r="E1079">
        <v>0</v>
      </c>
      <c r="H1079">
        <v>2.282E-2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>
      <c r="A1080">
        <f t="shared" si="16"/>
        <v>1079</v>
      </c>
      <c r="B1080" t="s">
        <v>76</v>
      </c>
      <c r="C1080">
        <v>313.2</v>
      </c>
      <c r="D1080">
        <v>19.340999999999998</v>
      </c>
      <c r="E1080">
        <v>0</v>
      </c>
      <c r="H1080">
        <v>2.334E-2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>
      <c r="A1081">
        <f t="shared" si="16"/>
        <v>1080</v>
      </c>
      <c r="B1081" t="s">
        <v>76</v>
      </c>
      <c r="C1081">
        <v>313.2</v>
      </c>
      <c r="D1081">
        <v>19.819000000000003</v>
      </c>
      <c r="E1081">
        <v>0</v>
      </c>
      <c r="H1081">
        <v>2.3470000000000001E-2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>
      <c r="A1082">
        <f t="shared" si="16"/>
        <v>1081</v>
      </c>
      <c r="B1082" t="s">
        <v>76</v>
      </c>
      <c r="C1082">
        <v>313.2</v>
      </c>
      <c r="D1082">
        <v>19.831</v>
      </c>
      <c r="E1082">
        <v>0</v>
      </c>
      <c r="H1082">
        <v>2.3980000000000001E-2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>
      <c r="A1083">
        <f t="shared" si="16"/>
        <v>1082</v>
      </c>
      <c r="B1083" t="s">
        <v>76</v>
      </c>
      <c r="C1083">
        <v>313.2</v>
      </c>
      <c r="D1083">
        <v>20.521999999999998</v>
      </c>
      <c r="E1083">
        <v>0</v>
      </c>
      <c r="H1083">
        <v>2.4080000000000001E-2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>
      <c r="A1084">
        <f t="shared" si="16"/>
        <v>1083</v>
      </c>
      <c r="B1084" t="s">
        <v>76</v>
      </c>
      <c r="C1084">
        <v>313.2</v>
      </c>
      <c r="D1084">
        <v>20.599</v>
      </c>
      <c r="E1084">
        <v>0</v>
      </c>
      <c r="H1084">
        <v>2.4979999999999999E-2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>
      <c r="A1085">
        <f t="shared" si="16"/>
        <v>1084</v>
      </c>
      <c r="B1085" t="s">
        <v>76</v>
      </c>
      <c r="C1085">
        <v>313.2</v>
      </c>
      <c r="D1085">
        <v>20.613000000000003</v>
      </c>
      <c r="E1085">
        <v>0</v>
      </c>
      <c r="H1085">
        <v>2.5170000000000001E-2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>
      <c r="A1086">
        <f t="shared" si="16"/>
        <v>1085</v>
      </c>
      <c r="B1086" t="s">
        <v>76</v>
      </c>
      <c r="C1086">
        <v>313.2</v>
      </c>
      <c r="D1086">
        <v>21.006999999999998</v>
      </c>
      <c r="E1086">
        <v>0</v>
      </c>
      <c r="H1086">
        <v>2.5260000000000001E-2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>
      <c r="A1087">
        <f t="shared" si="16"/>
        <v>1086</v>
      </c>
      <c r="B1087" t="s">
        <v>76</v>
      </c>
      <c r="C1087">
        <v>313.2</v>
      </c>
      <c r="D1087">
        <v>21.008000000000003</v>
      </c>
      <c r="E1087">
        <v>0</v>
      </c>
      <c r="H1087">
        <v>2.546E-2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>
      <c r="A1088">
        <f t="shared" si="16"/>
        <v>1087</v>
      </c>
      <c r="B1088" t="s">
        <v>76</v>
      </c>
      <c r="C1088">
        <v>313.2</v>
      </c>
      <c r="D1088">
        <v>21.283000000000001</v>
      </c>
      <c r="E1088">
        <v>0</v>
      </c>
      <c r="H1088">
        <v>2.529E-2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>
      <c r="A1089">
        <f t="shared" si="16"/>
        <v>1088</v>
      </c>
      <c r="B1089" t="s">
        <v>76</v>
      </c>
      <c r="C1089">
        <v>313.2</v>
      </c>
      <c r="D1089">
        <v>22.27</v>
      </c>
      <c r="E1089">
        <v>0</v>
      </c>
      <c r="H1089">
        <v>2.6120000000000001E-2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>
      <c r="A1090">
        <f t="shared" si="16"/>
        <v>1089</v>
      </c>
      <c r="B1090" t="s">
        <v>76</v>
      </c>
      <c r="C1090">
        <v>313.2</v>
      </c>
      <c r="D1090">
        <v>24.173999999999999</v>
      </c>
      <c r="E1090">
        <v>0</v>
      </c>
      <c r="H1090">
        <v>2.826E-2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>
      <c r="A1091">
        <f t="shared" si="16"/>
        <v>1090</v>
      </c>
      <c r="B1091" t="s">
        <v>76</v>
      </c>
      <c r="C1091">
        <v>313.2</v>
      </c>
      <c r="D1091">
        <v>24.529</v>
      </c>
      <c r="E1091">
        <v>0</v>
      </c>
      <c r="H1091">
        <v>2.8219999999999999E-2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>
      <c r="A1092">
        <f t="shared" ref="A1092:A1155" si="17">A1091+1</f>
        <v>1091</v>
      </c>
      <c r="B1092" t="s">
        <v>76</v>
      </c>
      <c r="C1092">
        <v>313.2</v>
      </c>
      <c r="D1092">
        <v>24.589000000000002</v>
      </c>
      <c r="E1092">
        <v>0</v>
      </c>
      <c r="H1092">
        <v>2.9260000000000001E-2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>
      <c r="A1093">
        <f t="shared" si="17"/>
        <v>1092</v>
      </c>
      <c r="B1093" t="s">
        <v>76</v>
      </c>
      <c r="C1093">
        <v>313.2</v>
      </c>
      <c r="D1093">
        <v>24.794</v>
      </c>
      <c r="E1093">
        <v>0</v>
      </c>
      <c r="H1093">
        <v>2.8729999999999999E-2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>
      <c r="A1094">
        <f t="shared" si="17"/>
        <v>1093</v>
      </c>
      <c r="B1094" t="s">
        <v>76</v>
      </c>
      <c r="C1094">
        <v>313.2</v>
      </c>
      <c r="D1094">
        <v>25.616</v>
      </c>
      <c r="E1094">
        <v>0</v>
      </c>
      <c r="H1094">
        <v>2.9829999999999999E-2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>
      <c r="A1095">
        <f t="shared" si="17"/>
        <v>1094</v>
      </c>
      <c r="B1095" t="s">
        <v>76</v>
      </c>
      <c r="C1095">
        <v>323.10000000000002</v>
      </c>
      <c r="D1095">
        <v>7.1829999999999998</v>
      </c>
      <c r="E1095">
        <v>0</v>
      </c>
      <c r="H1095">
        <v>7.8300000000000002E-3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>
      <c r="A1096">
        <f t="shared" si="17"/>
        <v>1095</v>
      </c>
      <c r="B1096" t="s">
        <v>76</v>
      </c>
      <c r="C1096">
        <v>323.10000000000002</v>
      </c>
      <c r="D1096">
        <v>8.9290000000000003</v>
      </c>
      <c r="E1096">
        <v>0</v>
      </c>
      <c r="H1096">
        <v>9.6299999999999997E-3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>
      <c r="A1097">
        <f t="shared" si="17"/>
        <v>1096</v>
      </c>
      <c r="B1097" t="s">
        <v>76</v>
      </c>
      <c r="C1097">
        <v>323.10000000000002</v>
      </c>
      <c r="D1097">
        <v>10.055</v>
      </c>
      <c r="E1097">
        <v>0</v>
      </c>
      <c r="H1097">
        <v>1.09E-2</v>
      </c>
      <c r="N1097">
        <v>0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>
      <c r="A1098">
        <f t="shared" si="17"/>
        <v>1097</v>
      </c>
      <c r="B1098" t="s">
        <v>76</v>
      </c>
      <c r="C1098">
        <v>323.10000000000002</v>
      </c>
      <c r="D1098">
        <v>11.654999999999999</v>
      </c>
      <c r="E1098">
        <v>0</v>
      </c>
      <c r="H1098">
        <v>1.231E-2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>
      <c r="A1099">
        <f t="shared" si="17"/>
        <v>1098</v>
      </c>
      <c r="B1099" t="s">
        <v>76</v>
      </c>
      <c r="C1099">
        <v>323.10000000000002</v>
      </c>
      <c r="D1099">
        <v>15.109000000000002</v>
      </c>
      <c r="E1099">
        <v>0</v>
      </c>
      <c r="H1099">
        <v>1.542E-2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>
      <c r="A1100">
        <f t="shared" si="17"/>
        <v>1099</v>
      </c>
      <c r="B1100" t="s">
        <v>76</v>
      </c>
      <c r="C1100">
        <v>323.10000000000002</v>
      </c>
      <c r="D1100">
        <v>15.109000000000002</v>
      </c>
      <c r="E1100">
        <v>0</v>
      </c>
      <c r="H1100">
        <v>1.525E-2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>
      <c r="A1101">
        <f t="shared" si="17"/>
        <v>1100</v>
      </c>
      <c r="B1101" t="s">
        <v>76</v>
      </c>
      <c r="C1101">
        <v>323.10000000000002</v>
      </c>
      <c r="D1101">
        <v>16.832000000000001</v>
      </c>
      <c r="E1101">
        <v>0</v>
      </c>
      <c r="H1101">
        <v>1.7500000000000002E-2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>
      <c r="A1102">
        <f t="shared" si="17"/>
        <v>1101</v>
      </c>
      <c r="B1102" t="s">
        <v>76</v>
      </c>
      <c r="C1102">
        <v>323.10000000000002</v>
      </c>
      <c r="D1102">
        <v>18.484000000000002</v>
      </c>
      <c r="E1102">
        <v>0</v>
      </c>
      <c r="H1102">
        <v>1.8780000000000002E-2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>
      <c r="A1103">
        <f t="shared" si="17"/>
        <v>1102</v>
      </c>
      <c r="B1103" t="s">
        <v>76</v>
      </c>
      <c r="C1103">
        <v>323.10000000000002</v>
      </c>
      <c r="D1103">
        <v>19.280999999999999</v>
      </c>
      <c r="E1103">
        <v>0</v>
      </c>
      <c r="H1103">
        <v>1.9970000000000002E-2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>
      <c r="A1104">
        <f t="shared" si="17"/>
        <v>1103</v>
      </c>
      <c r="B1104" t="s">
        <v>76</v>
      </c>
      <c r="C1104">
        <v>323.10000000000002</v>
      </c>
      <c r="D1104">
        <v>19.401</v>
      </c>
      <c r="E1104">
        <v>0</v>
      </c>
      <c r="H1104">
        <v>1.9959999999999999E-2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>
      <c r="A1105">
        <f t="shared" si="17"/>
        <v>1104</v>
      </c>
      <c r="B1105" t="s">
        <v>76</v>
      </c>
      <c r="C1105">
        <v>323.10000000000002</v>
      </c>
      <c r="D1105">
        <v>19.762999999999998</v>
      </c>
      <c r="E1105">
        <v>0</v>
      </c>
      <c r="H1105">
        <v>1.975E-2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>
      <c r="A1106">
        <f t="shared" si="17"/>
        <v>1105</v>
      </c>
      <c r="B1106" t="s">
        <v>76</v>
      </c>
      <c r="C1106">
        <v>323.10000000000002</v>
      </c>
      <c r="D1106">
        <v>20.100999999999999</v>
      </c>
      <c r="E1106">
        <v>0</v>
      </c>
      <c r="H1106">
        <v>2.0219999999999998E-2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>
      <c r="A1107">
        <f t="shared" si="17"/>
        <v>1106</v>
      </c>
      <c r="B1107" t="s">
        <v>76</v>
      </c>
      <c r="C1107">
        <v>323.10000000000002</v>
      </c>
      <c r="D1107">
        <v>20.480999999999998</v>
      </c>
      <c r="E1107">
        <v>0</v>
      </c>
      <c r="H1107">
        <v>2.0480000000000002E-2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>
      <c r="A1108">
        <f t="shared" si="17"/>
        <v>1107</v>
      </c>
      <c r="B1108" t="s">
        <v>76</v>
      </c>
      <c r="C1108">
        <v>323.10000000000002</v>
      </c>
      <c r="D1108">
        <v>21.338000000000001</v>
      </c>
      <c r="E1108">
        <v>0</v>
      </c>
      <c r="H1108">
        <v>2.1139999999999999E-2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>
      <c r="A1109">
        <f t="shared" si="17"/>
        <v>1108</v>
      </c>
      <c r="B1109" t="s">
        <v>76</v>
      </c>
      <c r="C1109">
        <v>323.10000000000002</v>
      </c>
      <c r="D1109">
        <v>21.78</v>
      </c>
      <c r="E1109">
        <v>0</v>
      </c>
      <c r="H1109">
        <v>2.2100000000000002E-2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>
      <c r="A1110">
        <f t="shared" si="17"/>
        <v>1109</v>
      </c>
      <c r="B1110" t="s">
        <v>76</v>
      </c>
      <c r="C1110">
        <v>323.10000000000002</v>
      </c>
      <c r="D1110">
        <v>22.658000000000001</v>
      </c>
      <c r="E1110">
        <v>0</v>
      </c>
      <c r="H1110">
        <v>2.3269999999999999E-2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>
      <c r="A1111">
        <f t="shared" si="17"/>
        <v>1110</v>
      </c>
      <c r="B1111" t="s">
        <v>76</v>
      </c>
      <c r="C1111">
        <v>323.10000000000002</v>
      </c>
      <c r="D1111">
        <v>23.831</v>
      </c>
      <c r="E1111">
        <v>0</v>
      </c>
      <c r="H1111">
        <v>2.383E-2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>
      <c r="A1112">
        <f t="shared" si="17"/>
        <v>1111</v>
      </c>
      <c r="B1112" t="s">
        <v>76</v>
      </c>
      <c r="C1112">
        <v>323.10000000000002</v>
      </c>
      <c r="D1112">
        <v>24.824999999999999</v>
      </c>
      <c r="E1112">
        <v>0</v>
      </c>
      <c r="H1112">
        <v>2.4580000000000001E-2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>
      <c r="A1113">
        <f t="shared" si="17"/>
        <v>1112</v>
      </c>
      <c r="B1113" t="s">
        <v>76</v>
      </c>
      <c r="C1113">
        <v>323.10000000000002</v>
      </c>
      <c r="D1113">
        <v>25.183000000000003</v>
      </c>
      <c r="E1113">
        <v>0</v>
      </c>
      <c r="H1113">
        <v>2.4369999999999999E-2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>
      <c r="A1114">
        <f t="shared" si="17"/>
        <v>1113</v>
      </c>
      <c r="B1114" t="s">
        <v>76</v>
      </c>
      <c r="C1114">
        <v>323.10000000000002</v>
      </c>
      <c r="D1114">
        <v>26.370999999999999</v>
      </c>
      <c r="E1114">
        <v>0</v>
      </c>
      <c r="H1114">
        <v>2.588E-2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>
      <c r="A1115">
        <f t="shared" si="17"/>
        <v>1114</v>
      </c>
      <c r="B1115" t="s">
        <v>76</v>
      </c>
      <c r="C1115">
        <v>323.10000000000002</v>
      </c>
      <c r="D1115">
        <v>26.370999999999999</v>
      </c>
      <c r="E1115">
        <v>0</v>
      </c>
      <c r="H1115">
        <v>2.5940000000000001E-2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>
      <c r="A1116">
        <f t="shared" si="17"/>
        <v>1115</v>
      </c>
      <c r="B1116" t="s">
        <v>76</v>
      </c>
      <c r="C1116">
        <v>323.10000000000002</v>
      </c>
      <c r="D1116">
        <v>26.581</v>
      </c>
      <c r="E1116">
        <v>0</v>
      </c>
      <c r="H1116">
        <v>2.564E-2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>
      <c r="A1117">
        <f t="shared" si="17"/>
        <v>1116</v>
      </c>
      <c r="B1117" t="s">
        <v>76</v>
      </c>
      <c r="C1117">
        <v>323.10000000000002</v>
      </c>
      <c r="D1117">
        <v>27.111999999999998</v>
      </c>
      <c r="E1117">
        <v>0</v>
      </c>
      <c r="H1117">
        <v>2.64E-2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>
      <c r="A1118">
        <f t="shared" si="17"/>
        <v>1117</v>
      </c>
      <c r="B1118" t="s">
        <v>76</v>
      </c>
      <c r="C1118">
        <v>323.10000000000002</v>
      </c>
      <c r="D1118">
        <v>27.372</v>
      </c>
      <c r="E1118">
        <v>0</v>
      </c>
      <c r="H1118">
        <v>2.6630000000000001E-2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>
      <c r="A1119">
        <f t="shared" si="17"/>
        <v>1118</v>
      </c>
      <c r="B1119" t="s">
        <v>76</v>
      </c>
      <c r="C1119">
        <v>323.10000000000002</v>
      </c>
      <c r="D1119">
        <v>27.445</v>
      </c>
      <c r="E1119">
        <v>0</v>
      </c>
      <c r="H1119">
        <v>2.743E-2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>
      <c r="A1120">
        <f t="shared" si="17"/>
        <v>1119</v>
      </c>
      <c r="B1120" t="s">
        <v>76</v>
      </c>
      <c r="C1120">
        <v>323.10000000000002</v>
      </c>
      <c r="D1120">
        <v>27.554000000000002</v>
      </c>
      <c r="E1120">
        <v>0</v>
      </c>
      <c r="H1120">
        <v>2.7099999999999999E-2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>
      <c r="A1121">
        <f t="shared" si="17"/>
        <v>1120</v>
      </c>
      <c r="B1121" t="s">
        <v>76</v>
      </c>
      <c r="C1121">
        <v>323.10000000000002</v>
      </c>
      <c r="D1121">
        <v>28.061</v>
      </c>
      <c r="E1121">
        <v>0</v>
      </c>
      <c r="H1121">
        <v>2.7789999999999999E-2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>
      <c r="A1122">
        <f t="shared" si="17"/>
        <v>1121</v>
      </c>
      <c r="B1122" t="s">
        <v>76</v>
      </c>
      <c r="C1122">
        <v>323.10000000000002</v>
      </c>
      <c r="D1122">
        <v>28.084</v>
      </c>
      <c r="E1122">
        <v>0</v>
      </c>
      <c r="H1122">
        <v>2.742E-2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>
      <c r="A1123">
        <f t="shared" si="17"/>
        <v>1122</v>
      </c>
      <c r="B1123" t="s">
        <v>76</v>
      </c>
      <c r="C1123">
        <v>323.10000000000002</v>
      </c>
      <c r="D1123">
        <v>28.164999999999999</v>
      </c>
      <c r="E1123">
        <v>0</v>
      </c>
      <c r="H1123">
        <v>2.7220000000000001E-2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>
      <c r="A1124">
        <f t="shared" si="17"/>
        <v>1123</v>
      </c>
      <c r="B1124" t="s">
        <v>76</v>
      </c>
      <c r="C1124">
        <v>323.10000000000002</v>
      </c>
      <c r="D1124">
        <v>28.936999999999998</v>
      </c>
      <c r="E1124">
        <v>0</v>
      </c>
      <c r="H1124">
        <v>2.8219999999999999E-2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>
      <c r="A1125">
        <f t="shared" si="17"/>
        <v>1124</v>
      </c>
      <c r="B1125" t="s">
        <v>76</v>
      </c>
      <c r="C1125">
        <v>333.2</v>
      </c>
      <c r="D1125">
        <v>2.4060000000000001</v>
      </c>
      <c r="E1125">
        <v>0</v>
      </c>
      <c r="H1125">
        <v>2.1099999999999999E-3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>
      <c r="A1126">
        <f t="shared" si="17"/>
        <v>1125</v>
      </c>
      <c r="B1126" t="s">
        <v>76</v>
      </c>
      <c r="C1126">
        <v>333.2</v>
      </c>
      <c r="D1126">
        <v>4.0609999999999999</v>
      </c>
      <c r="E1126">
        <v>0</v>
      </c>
      <c r="H1126">
        <v>3.65E-3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>
      <c r="A1127">
        <f t="shared" si="17"/>
        <v>1126</v>
      </c>
      <c r="B1127" t="s">
        <v>76</v>
      </c>
      <c r="C1127">
        <v>333.2</v>
      </c>
      <c r="D1127">
        <v>5.75</v>
      </c>
      <c r="E1127">
        <v>0</v>
      </c>
      <c r="H1127">
        <v>5.3E-3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>
      <c r="A1128">
        <f t="shared" si="17"/>
        <v>1127</v>
      </c>
      <c r="B1128" t="s">
        <v>76</v>
      </c>
      <c r="C1128">
        <v>333.2</v>
      </c>
      <c r="D1128">
        <v>8.3689999999999998</v>
      </c>
      <c r="E1128">
        <v>0</v>
      </c>
      <c r="H1128">
        <v>7.6899999999999998E-3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>
      <c r="A1129">
        <f t="shared" si="17"/>
        <v>1128</v>
      </c>
      <c r="B1129" t="s">
        <v>76</v>
      </c>
      <c r="C1129">
        <v>333.2</v>
      </c>
      <c r="D1129">
        <v>11.954000000000001</v>
      </c>
      <c r="E1129">
        <v>0</v>
      </c>
      <c r="H1129">
        <v>1.0999999999999999E-2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>
      <c r="A1130">
        <f t="shared" si="17"/>
        <v>1129</v>
      </c>
      <c r="B1130" t="s">
        <v>76</v>
      </c>
      <c r="C1130">
        <v>333.2</v>
      </c>
      <c r="D1130">
        <v>15.417</v>
      </c>
      <c r="E1130">
        <v>0</v>
      </c>
      <c r="H1130">
        <v>1.4250000000000001E-2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>
      <c r="A1131">
        <f t="shared" si="17"/>
        <v>1130</v>
      </c>
      <c r="B1131" t="s">
        <v>76</v>
      </c>
      <c r="C1131">
        <v>333.2</v>
      </c>
      <c r="D1131">
        <v>16.504000000000001</v>
      </c>
      <c r="E1131">
        <v>0</v>
      </c>
      <c r="H1131">
        <v>1.546E-2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>
      <c r="A1132">
        <f t="shared" si="17"/>
        <v>1131</v>
      </c>
      <c r="B1132" t="s">
        <v>76</v>
      </c>
      <c r="C1132">
        <v>333.2</v>
      </c>
      <c r="D1132">
        <v>17.623000000000001</v>
      </c>
      <c r="E1132">
        <v>0</v>
      </c>
      <c r="H1132">
        <v>1.626E-2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>
      <c r="A1133">
        <f t="shared" si="17"/>
        <v>1132</v>
      </c>
      <c r="B1133" t="s">
        <v>76</v>
      </c>
      <c r="C1133">
        <v>333.2</v>
      </c>
      <c r="D1133">
        <v>19.14</v>
      </c>
      <c r="E1133">
        <v>0</v>
      </c>
      <c r="H1133">
        <v>1.779E-2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>
      <c r="A1134">
        <f t="shared" si="17"/>
        <v>1133</v>
      </c>
      <c r="B1134" t="s">
        <v>76</v>
      </c>
      <c r="C1134">
        <v>333.2</v>
      </c>
      <c r="D1134">
        <v>20.155999999999999</v>
      </c>
      <c r="E1134">
        <v>0</v>
      </c>
      <c r="H1134">
        <v>1.8579999999999999E-2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>
      <c r="A1135">
        <f t="shared" si="17"/>
        <v>1134</v>
      </c>
      <c r="B1135" t="s">
        <v>76</v>
      </c>
      <c r="C1135">
        <v>333.2</v>
      </c>
      <c r="D1135">
        <v>20.776</v>
      </c>
      <c r="E1135">
        <v>0</v>
      </c>
      <c r="H1135">
        <v>1.9130000000000001E-2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>
      <c r="A1136">
        <f t="shared" si="17"/>
        <v>1135</v>
      </c>
      <c r="B1136" t="s">
        <v>76</v>
      </c>
      <c r="C1136">
        <v>333.2</v>
      </c>
      <c r="D1136">
        <v>21.052</v>
      </c>
      <c r="E1136">
        <v>0</v>
      </c>
      <c r="H1136">
        <v>1.951E-2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>
      <c r="A1137">
        <f t="shared" si="17"/>
        <v>1136</v>
      </c>
      <c r="B1137" t="s">
        <v>76</v>
      </c>
      <c r="C1137">
        <v>333.2</v>
      </c>
      <c r="D1137">
        <v>21.484000000000002</v>
      </c>
      <c r="E1137">
        <v>0</v>
      </c>
      <c r="H1137">
        <v>1.967E-2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>
      <c r="A1138">
        <f t="shared" si="17"/>
        <v>1137</v>
      </c>
      <c r="B1138" t="s">
        <v>76</v>
      </c>
      <c r="C1138">
        <v>333.2</v>
      </c>
      <c r="D1138">
        <v>22.844999999999999</v>
      </c>
      <c r="E1138">
        <v>0</v>
      </c>
      <c r="H1138">
        <v>2.1180000000000001E-2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>
      <c r="A1139">
        <f t="shared" si="17"/>
        <v>1138</v>
      </c>
      <c r="B1139" t="s">
        <v>76</v>
      </c>
      <c r="C1139">
        <v>333.2</v>
      </c>
      <c r="D1139">
        <v>23.258000000000003</v>
      </c>
      <c r="E1139">
        <v>0</v>
      </c>
      <c r="H1139">
        <v>2.1409999999999998E-2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>
      <c r="A1140">
        <f t="shared" si="17"/>
        <v>1139</v>
      </c>
      <c r="B1140" t="s">
        <v>76</v>
      </c>
      <c r="C1140">
        <v>333.2</v>
      </c>
      <c r="D1140">
        <v>23.465</v>
      </c>
      <c r="E1140">
        <v>0</v>
      </c>
      <c r="H1140">
        <v>2.1680000000000001E-2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>
      <c r="A1141">
        <f t="shared" si="17"/>
        <v>1140</v>
      </c>
      <c r="B1141" t="s">
        <v>76</v>
      </c>
      <c r="C1141">
        <v>333.2</v>
      </c>
      <c r="D1141">
        <v>23.484000000000002</v>
      </c>
      <c r="E1141">
        <v>0</v>
      </c>
      <c r="H1141">
        <v>2.1270000000000001E-2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>
      <c r="A1142">
        <f t="shared" si="17"/>
        <v>1141</v>
      </c>
      <c r="B1142" t="s">
        <v>76</v>
      </c>
      <c r="C1142">
        <v>333.2</v>
      </c>
      <c r="D1142">
        <v>24.44</v>
      </c>
      <c r="E1142">
        <v>0</v>
      </c>
      <c r="H1142">
        <v>2.2210000000000001E-2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>
      <c r="A1143">
        <f t="shared" si="17"/>
        <v>1142</v>
      </c>
      <c r="B1143" t="s">
        <v>76</v>
      </c>
      <c r="C1143">
        <v>333.2</v>
      </c>
      <c r="D1143">
        <v>25.465</v>
      </c>
      <c r="E1143">
        <v>0</v>
      </c>
      <c r="H1143">
        <v>2.3220000000000001E-2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>
      <c r="A1144">
        <f t="shared" si="17"/>
        <v>1143</v>
      </c>
      <c r="B1144" t="s">
        <v>76</v>
      </c>
      <c r="C1144">
        <v>333.2</v>
      </c>
      <c r="D1144">
        <v>25.543000000000003</v>
      </c>
      <c r="E1144">
        <v>0</v>
      </c>
      <c r="H1144">
        <v>2.3040000000000001E-2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>
      <c r="A1145">
        <f t="shared" si="17"/>
        <v>1144</v>
      </c>
      <c r="B1145" t="s">
        <v>76</v>
      </c>
      <c r="C1145">
        <v>333.2</v>
      </c>
      <c r="D1145">
        <v>25.603000000000002</v>
      </c>
      <c r="E1145">
        <v>0</v>
      </c>
      <c r="H1145">
        <v>2.2919999999999999E-2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>
      <c r="A1146">
        <f t="shared" si="17"/>
        <v>1145</v>
      </c>
      <c r="B1146" t="s">
        <v>76</v>
      </c>
      <c r="C1146">
        <v>333.2</v>
      </c>
      <c r="D1146">
        <v>25.673999999999999</v>
      </c>
      <c r="E1146">
        <v>0</v>
      </c>
      <c r="H1146">
        <v>2.333E-2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>
      <c r="A1147">
        <f t="shared" si="17"/>
        <v>1146</v>
      </c>
      <c r="B1147" t="s">
        <v>76</v>
      </c>
      <c r="C1147">
        <v>333.2</v>
      </c>
      <c r="D1147">
        <v>25.69</v>
      </c>
      <c r="E1147">
        <v>0</v>
      </c>
      <c r="H1147">
        <v>2.3279999999999999E-2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>
      <c r="A1148">
        <f t="shared" si="17"/>
        <v>1147</v>
      </c>
      <c r="B1148" t="s">
        <v>76</v>
      </c>
      <c r="C1148">
        <v>333.2</v>
      </c>
      <c r="D1148">
        <v>26.795999999999999</v>
      </c>
      <c r="E1148">
        <v>0</v>
      </c>
      <c r="H1148">
        <v>2.436E-2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>
      <c r="A1149">
        <f t="shared" si="17"/>
        <v>1148</v>
      </c>
      <c r="B1149" t="s">
        <v>76</v>
      </c>
      <c r="C1149">
        <v>333.2</v>
      </c>
      <c r="D1149">
        <v>26.92</v>
      </c>
      <c r="E1149">
        <v>0</v>
      </c>
      <c r="H1149">
        <v>2.4539999999999999E-2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>
      <c r="A1150">
        <f t="shared" si="17"/>
        <v>1149</v>
      </c>
      <c r="B1150" t="s">
        <v>76</v>
      </c>
      <c r="C1150">
        <v>333.2</v>
      </c>
      <c r="D1150">
        <v>26.930999999999997</v>
      </c>
      <c r="E1150">
        <v>0</v>
      </c>
      <c r="H1150">
        <v>2.4379999999999999E-2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>
      <c r="A1151">
        <f t="shared" si="17"/>
        <v>1150</v>
      </c>
      <c r="B1151" t="s">
        <v>76</v>
      </c>
      <c r="C1151">
        <v>333.2</v>
      </c>
      <c r="D1151">
        <v>28.431999999999999</v>
      </c>
      <c r="E1151">
        <v>0</v>
      </c>
      <c r="H1151">
        <v>2.562E-2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>
      <c r="A1152">
        <f t="shared" si="17"/>
        <v>1151</v>
      </c>
      <c r="B1152" t="s">
        <v>76</v>
      </c>
      <c r="C1152">
        <v>333.2</v>
      </c>
      <c r="D1152">
        <v>28.713000000000001</v>
      </c>
      <c r="E1152">
        <v>0</v>
      </c>
      <c r="H1152">
        <v>2.615E-2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>
      <c r="A1153">
        <f t="shared" si="17"/>
        <v>1152</v>
      </c>
      <c r="B1153" t="s">
        <v>76</v>
      </c>
      <c r="C1153">
        <v>333.2</v>
      </c>
      <c r="D1153">
        <v>30.381</v>
      </c>
      <c r="E1153">
        <v>0</v>
      </c>
      <c r="H1153">
        <v>2.717E-2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>
      <c r="A1154">
        <f t="shared" si="17"/>
        <v>1153</v>
      </c>
      <c r="B1154" t="s">
        <v>76</v>
      </c>
      <c r="C1154">
        <v>333.2</v>
      </c>
      <c r="D1154">
        <v>30.986000000000001</v>
      </c>
      <c r="E1154">
        <v>0</v>
      </c>
      <c r="H1154">
        <v>2.7650000000000001E-2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>
      <c r="A1155">
        <f t="shared" si="17"/>
        <v>1154</v>
      </c>
      <c r="B1155" t="s">
        <v>76</v>
      </c>
      <c r="C1155">
        <v>333.2</v>
      </c>
      <c r="D1155">
        <v>31.747</v>
      </c>
      <c r="E1155">
        <v>0</v>
      </c>
      <c r="H1155">
        <v>2.8209999999999999E-2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>
      <c r="A1156">
        <f t="shared" ref="A1156:A1219" si="18">A1155+1</f>
        <v>1155</v>
      </c>
      <c r="B1156" t="s">
        <v>76</v>
      </c>
      <c r="C1156">
        <v>333.2</v>
      </c>
      <c r="D1156">
        <v>32.104999999999997</v>
      </c>
      <c r="E1156">
        <v>0</v>
      </c>
      <c r="H1156">
        <v>2.8629999999999999E-2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>
      <c r="A1157">
        <f t="shared" si="18"/>
        <v>1156</v>
      </c>
      <c r="B1157" t="s">
        <v>76</v>
      </c>
      <c r="C1157">
        <v>333.2</v>
      </c>
      <c r="D1157">
        <v>32.5</v>
      </c>
      <c r="E1157">
        <v>0</v>
      </c>
      <c r="H1157">
        <v>2.9219999999999999E-2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>
      <c r="A1158">
        <f t="shared" si="18"/>
        <v>1157</v>
      </c>
      <c r="B1158" t="s">
        <v>76</v>
      </c>
      <c r="C1158">
        <v>333.2</v>
      </c>
      <c r="D1158">
        <v>32.570999999999998</v>
      </c>
      <c r="E1158">
        <v>0</v>
      </c>
      <c r="H1158">
        <v>2.8850000000000001E-2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>
      <c r="A1159">
        <f t="shared" si="18"/>
        <v>1158</v>
      </c>
      <c r="B1159" t="s">
        <v>76</v>
      </c>
      <c r="C1159">
        <v>333.2</v>
      </c>
      <c r="D1159">
        <v>33.260999999999996</v>
      </c>
      <c r="E1159">
        <v>0</v>
      </c>
      <c r="H1159">
        <v>2.9739999999999999E-2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>
      <c r="A1160">
        <f t="shared" si="18"/>
        <v>1159</v>
      </c>
      <c r="B1160" t="s">
        <v>76</v>
      </c>
      <c r="C1160">
        <v>333.2</v>
      </c>
      <c r="D1160">
        <v>34.156999999999996</v>
      </c>
      <c r="E1160">
        <v>0</v>
      </c>
      <c r="H1160">
        <v>3.0460000000000001E-2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>
      <c r="A1161">
        <f t="shared" si="18"/>
        <v>1160</v>
      </c>
      <c r="B1161" t="s">
        <v>76</v>
      </c>
      <c r="C1161">
        <v>333.2</v>
      </c>
      <c r="D1161">
        <v>34.570999999999998</v>
      </c>
      <c r="E1161">
        <v>0</v>
      </c>
      <c r="H1161">
        <v>3.0519999999999999E-2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>
      <c r="A1162">
        <f t="shared" si="18"/>
        <v>1161</v>
      </c>
      <c r="B1162" t="s">
        <v>76</v>
      </c>
      <c r="C1162">
        <v>333.2</v>
      </c>
      <c r="D1162">
        <v>34.986999999999995</v>
      </c>
      <c r="E1162">
        <v>0</v>
      </c>
      <c r="H1162">
        <v>3.1019999999999999E-2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>
      <c r="A1163">
        <f t="shared" si="18"/>
        <v>1162</v>
      </c>
      <c r="B1163" t="s">
        <v>76</v>
      </c>
      <c r="C1163">
        <v>333.2</v>
      </c>
      <c r="D1163">
        <v>39.619</v>
      </c>
      <c r="E1163">
        <v>0</v>
      </c>
      <c r="H1163">
        <v>3.4020000000000002E-2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>
      <c r="A1164">
        <f t="shared" si="18"/>
        <v>1163</v>
      </c>
      <c r="B1164" t="s">
        <v>76</v>
      </c>
      <c r="C1164">
        <v>333.2</v>
      </c>
      <c r="D1164">
        <v>40.036000000000001</v>
      </c>
      <c r="E1164">
        <v>0</v>
      </c>
      <c r="H1164">
        <v>3.4250000000000003E-2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>
      <c r="A1165">
        <f t="shared" si="18"/>
        <v>1164</v>
      </c>
      <c r="B1165" t="s">
        <v>76</v>
      </c>
      <c r="C1165">
        <v>333.2</v>
      </c>
      <c r="D1165">
        <v>41.118000000000002</v>
      </c>
      <c r="E1165">
        <v>0</v>
      </c>
      <c r="H1165">
        <v>3.4869999999999998E-2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>
      <c r="A1166">
        <f t="shared" si="18"/>
        <v>1165</v>
      </c>
      <c r="B1166" t="s">
        <v>76</v>
      </c>
      <c r="C1166">
        <v>333.2</v>
      </c>
      <c r="D1166">
        <v>41.606000000000002</v>
      </c>
      <c r="E1166">
        <v>0</v>
      </c>
      <c r="H1166">
        <v>3.4970000000000001E-2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>
      <c r="A1167">
        <f t="shared" si="18"/>
        <v>1166</v>
      </c>
      <c r="B1167" t="s">
        <v>76</v>
      </c>
      <c r="C1167">
        <v>333.2</v>
      </c>
      <c r="D1167">
        <v>41.606999999999999</v>
      </c>
      <c r="E1167">
        <v>0</v>
      </c>
      <c r="H1167">
        <v>3.5159999999999997E-2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>
      <c r="A1168">
        <f t="shared" si="18"/>
        <v>1167</v>
      </c>
      <c r="B1168" t="s">
        <v>76</v>
      </c>
      <c r="C1168">
        <v>333.2</v>
      </c>
      <c r="D1168">
        <v>42.171999999999997</v>
      </c>
      <c r="E1168">
        <v>0</v>
      </c>
      <c r="H1168">
        <v>3.5569999999999997E-2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>
      <c r="A1169">
        <f t="shared" si="18"/>
        <v>1168</v>
      </c>
      <c r="B1169" t="s">
        <v>76</v>
      </c>
      <c r="C1169">
        <v>333.2</v>
      </c>
      <c r="D1169">
        <v>42.236000000000004</v>
      </c>
      <c r="E1169">
        <v>0</v>
      </c>
      <c r="H1169">
        <v>3.5529999999999999E-2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>
      <c r="A1170">
        <f t="shared" si="18"/>
        <v>1169</v>
      </c>
      <c r="B1170" t="s">
        <v>76</v>
      </c>
      <c r="C1170">
        <v>333.2</v>
      </c>
      <c r="D1170">
        <v>42.241000000000007</v>
      </c>
      <c r="E1170">
        <v>0</v>
      </c>
      <c r="H1170">
        <v>3.5249999999999997E-2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>
      <c r="A1171">
        <f t="shared" si="18"/>
        <v>1170</v>
      </c>
      <c r="B1171" t="s">
        <v>76</v>
      </c>
      <c r="C1171">
        <v>344.2</v>
      </c>
      <c r="D1171">
        <v>3.7480000000000002</v>
      </c>
      <c r="E1171">
        <v>0</v>
      </c>
      <c r="H1171">
        <v>2.7699999999999999E-3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>
      <c r="A1172">
        <f t="shared" si="18"/>
        <v>1171</v>
      </c>
      <c r="B1172" t="s">
        <v>76</v>
      </c>
      <c r="C1172">
        <v>344.2</v>
      </c>
      <c r="D1172">
        <v>5.4629999999999992</v>
      </c>
      <c r="E1172">
        <v>0</v>
      </c>
      <c r="H1172">
        <v>4.2100000000000002E-3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>
      <c r="A1173">
        <f t="shared" si="18"/>
        <v>1172</v>
      </c>
      <c r="B1173" t="s">
        <v>76</v>
      </c>
      <c r="C1173">
        <v>344.2</v>
      </c>
      <c r="D1173">
        <v>7.609</v>
      </c>
      <c r="E1173">
        <v>0</v>
      </c>
      <c r="H1173">
        <v>5.8300000000000001E-3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>
      <c r="A1174">
        <f t="shared" si="18"/>
        <v>1173</v>
      </c>
      <c r="B1174" t="s">
        <v>76</v>
      </c>
      <c r="C1174">
        <v>344.2</v>
      </c>
      <c r="D1174">
        <v>8.0220000000000002</v>
      </c>
      <c r="E1174">
        <v>0</v>
      </c>
      <c r="H1174">
        <v>6.2199999999999998E-3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>
      <c r="A1175">
        <f t="shared" si="18"/>
        <v>1174</v>
      </c>
      <c r="B1175" t="s">
        <v>76</v>
      </c>
      <c r="C1175">
        <v>344.2</v>
      </c>
      <c r="D1175">
        <v>8.2899999999999991</v>
      </c>
      <c r="E1175">
        <v>0</v>
      </c>
      <c r="H1175">
        <v>6.4700000000000001E-3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>
      <c r="A1176">
        <f t="shared" si="18"/>
        <v>1175</v>
      </c>
      <c r="B1176" t="s">
        <v>76</v>
      </c>
      <c r="C1176">
        <v>344.2</v>
      </c>
      <c r="D1176">
        <v>10.228999999999999</v>
      </c>
      <c r="E1176">
        <v>0</v>
      </c>
      <c r="H1176">
        <v>7.8300000000000002E-3</v>
      </c>
      <c r="N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>
      <c r="A1177">
        <f t="shared" si="18"/>
        <v>1176</v>
      </c>
      <c r="B1177" t="s">
        <v>76</v>
      </c>
      <c r="C1177">
        <v>344.2</v>
      </c>
      <c r="D1177">
        <v>10.505000000000001</v>
      </c>
      <c r="E1177">
        <v>0</v>
      </c>
      <c r="H1177">
        <v>8.1399999999999997E-3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>
      <c r="A1178">
        <f t="shared" si="18"/>
        <v>1177</v>
      </c>
      <c r="B1178" t="s">
        <v>76</v>
      </c>
      <c r="C1178">
        <v>344.2</v>
      </c>
      <c r="D1178">
        <v>11.324000000000002</v>
      </c>
      <c r="E1178">
        <v>0</v>
      </c>
      <c r="H1178">
        <v>9.1400000000000006E-3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>
      <c r="A1179">
        <f t="shared" si="18"/>
        <v>1178</v>
      </c>
      <c r="B1179" t="s">
        <v>76</v>
      </c>
      <c r="C1179">
        <v>344.2</v>
      </c>
      <c r="D1179">
        <v>14.503</v>
      </c>
      <c r="E1179">
        <v>0</v>
      </c>
      <c r="H1179">
        <v>1.1469999999999999E-2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>
      <c r="A1180">
        <f t="shared" si="18"/>
        <v>1179</v>
      </c>
      <c r="B1180" t="s">
        <v>76</v>
      </c>
      <c r="C1180">
        <v>344.2</v>
      </c>
      <c r="D1180">
        <v>14.92</v>
      </c>
      <c r="E1180">
        <v>0</v>
      </c>
      <c r="H1180">
        <v>1.184E-2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>
      <c r="A1181">
        <f t="shared" si="18"/>
        <v>1180</v>
      </c>
      <c r="B1181" t="s">
        <v>76</v>
      </c>
      <c r="C1181">
        <v>344.2</v>
      </c>
      <c r="D1181">
        <v>15.185</v>
      </c>
      <c r="E1181">
        <v>0</v>
      </c>
      <c r="H1181">
        <v>1.21E-2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>
      <c r="A1182">
        <f t="shared" si="18"/>
        <v>1181</v>
      </c>
      <c r="B1182" t="s">
        <v>76</v>
      </c>
      <c r="C1182">
        <v>344.2</v>
      </c>
      <c r="D1182">
        <v>17.805</v>
      </c>
      <c r="E1182">
        <v>0</v>
      </c>
      <c r="H1182">
        <v>1.4290000000000001E-2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>
      <c r="A1183">
        <f t="shared" si="18"/>
        <v>1182</v>
      </c>
      <c r="B1183" t="s">
        <v>76</v>
      </c>
      <c r="C1183">
        <v>344.2</v>
      </c>
      <c r="D1183">
        <v>19.057000000000002</v>
      </c>
      <c r="E1183">
        <v>0</v>
      </c>
      <c r="H1183">
        <v>1.478E-2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>
      <c r="A1184">
        <f t="shared" si="18"/>
        <v>1183</v>
      </c>
      <c r="B1184" t="s">
        <v>76</v>
      </c>
      <c r="C1184">
        <v>344.2</v>
      </c>
      <c r="D1184">
        <v>21.814</v>
      </c>
      <c r="E1184">
        <v>0</v>
      </c>
      <c r="H1184">
        <v>1.72E-2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>
      <c r="A1185">
        <f t="shared" si="18"/>
        <v>1184</v>
      </c>
      <c r="B1185" t="s">
        <v>76</v>
      </c>
      <c r="C1185">
        <v>344.2</v>
      </c>
      <c r="D1185">
        <v>22.149000000000001</v>
      </c>
      <c r="E1185">
        <v>0</v>
      </c>
      <c r="H1185">
        <v>1.7350000000000001E-2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>
      <c r="A1186">
        <f t="shared" si="18"/>
        <v>1185</v>
      </c>
      <c r="B1186" t="s">
        <v>76</v>
      </c>
      <c r="C1186">
        <v>344.2</v>
      </c>
      <c r="D1186">
        <v>25.113000000000003</v>
      </c>
      <c r="E1186">
        <v>0</v>
      </c>
      <c r="H1186">
        <v>1.9810000000000001E-2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>
      <c r="A1187">
        <f t="shared" si="18"/>
        <v>1186</v>
      </c>
      <c r="B1187" t="s">
        <v>76</v>
      </c>
      <c r="C1187">
        <v>344.2</v>
      </c>
      <c r="D1187">
        <v>26.364999999999998</v>
      </c>
      <c r="E1187">
        <v>0</v>
      </c>
      <c r="H1187">
        <v>2.0119999999999999E-2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>
      <c r="A1188">
        <f t="shared" si="18"/>
        <v>1187</v>
      </c>
      <c r="B1188" t="s">
        <v>76</v>
      </c>
      <c r="C1188">
        <v>344.2</v>
      </c>
      <c r="D1188">
        <v>28.774999999999999</v>
      </c>
      <c r="E1188">
        <v>0</v>
      </c>
      <c r="H1188">
        <v>2.23E-2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>
      <c r="A1189">
        <f t="shared" si="18"/>
        <v>1188</v>
      </c>
      <c r="B1189" t="s">
        <v>76</v>
      </c>
      <c r="C1189">
        <v>344.2</v>
      </c>
      <c r="D1189">
        <v>29.191999999999997</v>
      </c>
      <c r="E1189">
        <v>0</v>
      </c>
      <c r="H1189">
        <v>2.2800000000000001E-2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>
      <c r="A1190">
        <f t="shared" si="18"/>
        <v>1189</v>
      </c>
      <c r="B1190" t="s">
        <v>76</v>
      </c>
      <c r="C1190">
        <v>344.2</v>
      </c>
      <c r="D1190">
        <v>30.914999999999999</v>
      </c>
      <c r="E1190">
        <v>0</v>
      </c>
      <c r="H1190">
        <v>2.4060000000000002E-2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>
      <c r="A1191">
        <f t="shared" si="18"/>
        <v>1190</v>
      </c>
      <c r="B1191" t="s">
        <v>76</v>
      </c>
      <c r="C1191">
        <v>344.2</v>
      </c>
      <c r="D1191">
        <v>32.154000000000003</v>
      </c>
      <c r="E1191">
        <v>0</v>
      </c>
      <c r="H1191">
        <v>2.5149999999999999E-2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>
      <c r="A1192">
        <f t="shared" si="18"/>
        <v>1191</v>
      </c>
      <c r="B1192" t="s">
        <v>76</v>
      </c>
      <c r="C1192">
        <v>344.2</v>
      </c>
      <c r="D1192">
        <v>33.811</v>
      </c>
      <c r="E1192">
        <v>0</v>
      </c>
      <c r="H1192">
        <v>2.622E-2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>
      <c r="A1193">
        <f t="shared" si="18"/>
        <v>1192</v>
      </c>
      <c r="B1193" t="s">
        <v>76</v>
      </c>
      <c r="C1193">
        <v>344.2</v>
      </c>
      <c r="D1193">
        <v>35.463000000000001</v>
      </c>
      <c r="E1193">
        <v>0</v>
      </c>
      <c r="H1193">
        <v>2.6460000000000001E-2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>
      <c r="A1194">
        <f t="shared" si="18"/>
        <v>1193</v>
      </c>
      <c r="B1194" t="s">
        <v>76</v>
      </c>
      <c r="C1194">
        <v>344.2</v>
      </c>
      <c r="D1194">
        <v>39.116999999999997</v>
      </c>
      <c r="E1194">
        <v>0</v>
      </c>
      <c r="H1194">
        <v>3.0290000000000001E-2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>
      <c r="A1195">
        <f t="shared" si="18"/>
        <v>1194</v>
      </c>
      <c r="B1195" t="s">
        <v>76</v>
      </c>
      <c r="C1195">
        <v>344.2</v>
      </c>
      <c r="D1195">
        <v>41.943999999999996</v>
      </c>
      <c r="E1195">
        <v>0</v>
      </c>
      <c r="H1195">
        <v>3.1960000000000002E-2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>
      <c r="A1196">
        <f t="shared" si="18"/>
        <v>1195</v>
      </c>
      <c r="B1196" t="s">
        <v>76</v>
      </c>
      <c r="C1196">
        <v>344.2</v>
      </c>
      <c r="D1196">
        <v>47.115000000000002</v>
      </c>
      <c r="E1196">
        <v>0</v>
      </c>
      <c r="H1196">
        <v>3.5459999999999998E-2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>
      <c r="A1197">
        <f t="shared" si="18"/>
        <v>1196</v>
      </c>
      <c r="B1197" t="s">
        <v>76</v>
      </c>
      <c r="C1197">
        <v>344.2</v>
      </c>
      <c r="D1197">
        <v>47.573</v>
      </c>
      <c r="E1197">
        <v>0</v>
      </c>
      <c r="H1197">
        <v>3.5180000000000003E-2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>
      <c r="A1198">
        <f t="shared" si="18"/>
        <v>1197</v>
      </c>
      <c r="B1198" t="s">
        <v>76</v>
      </c>
      <c r="C1198">
        <v>344.2</v>
      </c>
      <c r="D1198">
        <v>50.917000000000002</v>
      </c>
      <c r="E1198">
        <v>0</v>
      </c>
      <c r="H1198">
        <v>3.662E-2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>
      <c r="A1199">
        <f t="shared" si="18"/>
        <v>1198</v>
      </c>
      <c r="B1199" t="s">
        <v>76</v>
      </c>
      <c r="C1199">
        <v>344.2</v>
      </c>
      <c r="D1199">
        <v>51.123000000000005</v>
      </c>
      <c r="E1199">
        <v>0</v>
      </c>
      <c r="H1199">
        <v>3.6940000000000001E-2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>
      <c r="A1200">
        <f t="shared" si="18"/>
        <v>1199</v>
      </c>
      <c r="B1200" t="s">
        <v>76</v>
      </c>
      <c r="C1200">
        <v>344.2</v>
      </c>
      <c r="D1200">
        <v>51.261000000000003</v>
      </c>
      <c r="E1200">
        <v>0</v>
      </c>
      <c r="H1200">
        <v>3.7150000000000002E-2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>
      <c r="A1201">
        <f t="shared" si="18"/>
        <v>1200</v>
      </c>
      <c r="B1201" t="s">
        <v>76</v>
      </c>
      <c r="C1201">
        <v>363.2</v>
      </c>
      <c r="D1201">
        <v>2.3819999999999997</v>
      </c>
      <c r="E1201">
        <v>0</v>
      </c>
      <c r="H1201">
        <v>1.2600000000000001E-3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>
      <c r="A1202">
        <f t="shared" si="18"/>
        <v>1201</v>
      </c>
      <c r="B1202" t="s">
        <v>76</v>
      </c>
      <c r="C1202">
        <v>363.2</v>
      </c>
      <c r="D1202">
        <v>5.14</v>
      </c>
      <c r="E1202">
        <v>0</v>
      </c>
      <c r="H1202">
        <v>3.1700000000000001E-3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>
      <c r="A1203">
        <f t="shared" si="18"/>
        <v>1202</v>
      </c>
      <c r="B1203" t="s">
        <v>76</v>
      </c>
      <c r="C1203">
        <v>363.2</v>
      </c>
      <c r="D1203">
        <v>8.9649999999999999</v>
      </c>
      <c r="E1203">
        <v>0</v>
      </c>
      <c r="H1203">
        <v>5.77E-3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>
      <c r="A1204">
        <f t="shared" si="18"/>
        <v>1203</v>
      </c>
      <c r="B1204" t="s">
        <v>76</v>
      </c>
      <c r="C1204">
        <v>363.2</v>
      </c>
      <c r="D1204">
        <v>12.170999999999999</v>
      </c>
      <c r="E1204">
        <v>0</v>
      </c>
      <c r="H1204">
        <v>7.9299999999999995E-3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>
      <c r="A1205">
        <f t="shared" si="18"/>
        <v>1204</v>
      </c>
      <c r="B1205" t="s">
        <v>76</v>
      </c>
      <c r="C1205">
        <v>363.2</v>
      </c>
      <c r="D1205">
        <v>15.308</v>
      </c>
      <c r="E1205">
        <v>0</v>
      </c>
      <c r="H1205">
        <v>1.0120000000000001E-2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>
      <c r="A1206">
        <f t="shared" si="18"/>
        <v>1205</v>
      </c>
      <c r="B1206" t="s">
        <v>76</v>
      </c>
      <c r="C1206">
        <v>363.2</v>
      </c>
      <c r="D1206">
        <v>18.341999999999999</v>
      </c>
      <c r="E1206">
        <v>0</v>
      </c>
      <c r="H1206">
        <v>1.217E-2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>
      <c r="A1207">
        <f t="shared" si="18"/>
        <v>1206</v>
      </c>
      <c r="B1207" t="s">
        <v>76</v>
      </c>
      <c r="C1207">
        <v>363.2</v>
      </c>
      <c r="D1207">
        <v>21.203000000000003</v>
      </c>
      <c r="E1207">
        <v>0</v>
      </c>
      <c r="H1207">
        <v>1.37E-2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>
      <c r="A1208">
        <f t="shared" si="18"/>
        <v>1207</v>
      </c>
      <c r="B1208" t="s">
        <v>76</v>
      </c>
      <c r="C1208">
        <v>363.2</v>
      </c>
      <c r="D1208">
        <v>23.41</v>
      </c>
      <c r="E1208">
        <v>0</v>
      </c>
      <c r="H1208">
        <v>1.5219999999999999E-2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>
      <c r="A1209">
        <f t="shared" si="18"/>
        <v>1208</v>
      </c>
      <c r="B1209" t="s">
        <v>76</v>
      </c>
      <c r="C1209">
        <v>363.2</v>
      </c>
      <c r="D1209">
        <v>26.166</v>
      </c>
      <c r="E1209">
        <v>0</v>
      </c>
      <c r="H1209">
        <v>1.729E-2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>
      <c r="A1210">
        <f t="shared" si="18"/>
        <v>1209</v>
      </c>
      <c r="B1210" t="s">
        <v>76</v>
      </c>
      <c r="C1210">
        <v>363.2</v>
      </c>
      <c r="D1210">
        <v>27.335999999999999</v>
      </c>
      <c r="E1210">
        <v>0</v>
      </c>
      <c r="H1210">
        <v>1.7860000000000001E-2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>
      <c r="A1211">
        <f t="shared" si="18"/>
        <v>1210</v>
      </c>
      <c r="B1211" t="s">
        <v>76</v>
      </c>
      <c r="C1211">
        <v>363.2</v>
      </c>
      <c r="D1211">
        <v>27.749000000000002</v>
      </c>
      <c r="E1211">
        <v>0</v>
      </c>
      <c r="H1211">
        <v>1.823E-2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>
      <c r="A1212">
        <f t="shared" si="18"/>
        <v>1211</v>
      </c>
      <c r="B1212" t="s">
        <v>76</v>
      </c>
      <c r="C1212">
        <v>363.2</v>
      </c>
      <c r="D1212">
        <v>28.508000000000003</v>
      </c>
      <c r="E1212">
        <v>0</v>
      </c>
      <c r="H1212">
        <v>1.8550000000000001E-2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>
      <c r="A1213">
        <f t="shared" si="18"/>
        <v>1212</v>
      </c>
      <c r="B1213" t="s">
        <v>76</v>
      </c>
      <c r="C1213">
        <v>363.2</v>
      </c>
      <c r="D1213">
        <v>29.888999999999999</v>
      </c>
      <c r="E1213">
        <v>0</v>
      </c>
      <c r="H1213">
        <v>1.959E-2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>
      <c r="A1214">
        <f t="shared" si="18"/>
        <v>1213</v>
      </c>
      <c r="B1214" t="s">
        <v>76</v>
      </c>
      <c r="C1214">
        <v>363.2</v>
      </c>
      <c r="D1214">
        <v>32.164000000000001</v>
      </c>
      <c r="E1214">
        <v>0</v>
      </c>
      <c r="H1214">
        <v>2.0920000000000001E-2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>
      <c r="A1215">
        <f t="shared" si="18"/>
        <v>1214</v>
      </c>
      <c r="B1215" t="s">
        <v>76</v>
      </c>
      <c r="C1215">
        <v>363.2</v>
      </c>
      <c r="D1215">
        <v>32.643999999999998</v>
      </c>
      <c r="E1215">
        <v>0</v>
      </c>
      <c r="H1215">
        <v>2.1420000000000002E-2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>
      <c r="A1216">
        <f t="shared" si="18"/>
        <v>1215</v>
      </c>
      <c r="B1216" t="s">
        <v>76</v>
      </c>
      <c r="C1216">
        <v>363.2</v>
      </c>
      <c r="D1216">
        <v>34.364000000000004</v>
      </c>
      <c r="E1216">
        <v>0</v>
      </c>
      <c r="H1216">
        <v>2.231E-2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>
      <c r="A1217">
        <f t="shared" si="18"/>
        <v>1216</v>
      </c>
      <c r="B1217" t="s">
        <v>76</v>
      </c>
      <c r="C1217">
        <v>363.2</v>
      </c>
      <c r="D1217">
        <v>35.326999999999998</v>
      </c>
      <c r="E1217">
        <v>0</v>
      </c>
      <c r="H1217">
        <v>2.299E-2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>
      <c r="A1218">
        <f t="shared" si="18"/>
        <v>1217</v>
      </c>
      <c r="B1218" t="s">
        <v>76</v>
      </c>
      <c r="C1218">
        <v>363.2</v>
      </c>
      <c r="D1218">
        <v>35.332999999999998</v>
      </c>
      <c r="E1218">
        <v>0</v>
      </c>
      <c r="H1218">
        <v>2.3E-2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>
      <c r="A1219">
        <f t="shared" si="18"/>
        <v>1218</v>
      </c>
      <c r="B1219" t="s">
        <v>76</v>
      </c>
      <c r="C1219">
        <v>363.2</v>
      </c>
      <c r="D1219">
        <v>36.984000000000002</v>
      </c>
      <c r="E1219">
        <v>0</v>
      </c>
      <c r="H1219">
        <v>2.4029999999999999E-2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>
      <c r="A1220">
        <f t="shared" ref="A1220:A1283" si="19">A1219+1</f>
        <v>1219</v>
      </c>
      <c r="B1220" t="s">
        <v>76</v>
      </c>
      <c r="C1220">
        <v>363.2</v>
      </c>
      <c r="D1220">
        <v>38.431999999999995</v>
      </c>
      <c r="E1220">
        <v>0</v>
      </c>
      <c r="H1220">
        <v>2.4809999999999999E-2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>
      <c r="A1221">
        <f t="shared" si="19"/>
        <v>1220</v>
      </c>
      <c r="B1221" t="s">
        <v>76</v>
      </c>
      <c r="C1221">
        <v>363.2</v>
      </c>
      <c r="D1221">
        <v>40.292999999999999</v>
      </c>
      <c r="E1221">
        <v>0</v>
      </c>
      <c r="H1221">
        <v>2.6200000000000001E-2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>
      <c r="A1222">
        <f t="shared" si="19"/>
        <v>1221</v>
      </c>
      <c r="B1222" t="s">
        <v>76</v>
      </c>
      <c r="C1222">
        <v>363.2</v>
      </c>
      <c r="D1222">
        <v>42.223999999999997</v>
      </c>
      <c r="E1222">
        <v>0</v>
      </c>
      <c r="H1222">
        <v>2.7490000000000001E-2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>
      <c r="A1223">
        <f t="shared" si="19"/>
        <v>1222</v>
      </c>
      <c r="B1223" t="s">
        <v>76</v>
      </c>
      <c r="C1223">
        <v>363.2</v>
      </c>
      <c r="D1223">
        <v>42.568999999999996</v>
      </c>
      <c r="E1223">
        <v>0</v>
      </c>
      <c r="H1223">
        <v>2.7560000000000001E-2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>
      <c r="A1224">
        <f t="shared" si="19"/>
        <v>1223</v>
      </c>
      <c r="B1224" t="s">
        <v>76</v>
      </c>
      <c r="C1224">
        <v>363.2</v>
      </c>
      <c r="D1224">
        <v>44.706000000000003</v>
      </c>
      <c r="E1224">
        <v>0</v>
      </c>
      <c r="H1224">
        <v>2.8410000000000001E-2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>
      <c r="A1225">
        <f t="shared" si="19"/>
        <v>1224</v>
      </c>
      <c r="B1225" t="s">
        <v>76</v>
      </c>
      <c r="C1225">
        <v>363.2</v>
      </c>
      <c r="D1225">
        <v>45.74</v>
      </c>
      <c r="E1225">
        <v>0</v>
      </c>
      <c r="H1225">
        <v>2.9250000000000002E-2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>
      <c r="A1226">
        <f t="shared" si="19"/>
        <v>1225</v>
      </c>
      <c r="B1226" t="s">
        <v>76</v>
      </c>
      <c r="C1226">
        <v>363.2</v>
      </c>
      <c r="D1226">
        <v>47.335000000000001</v>
      </c>
      <c r="E1226">
        <v>0</v>
      </c>
      <c r="H1226">
        <v>3.006E-2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>
      <c r="A1227">
        <f t="shared" si="19"/>
        <v>1226</v>
      </c>
      <c r="B1227" t="s">
        <v>76</v>
      </c>
      <c r="C1227">
        <v>363.2</v>
      </c>
      <c r="D1227">
        <v>49.393999999999998</v>
      </c>
      <c r="E1227">
        <v>0</v>
      </c>
      <c r="H1227">
        <v>3.1320000000000001E-2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>
      <c r="A1228">
        <f t="shared" si="19"/>
        <v>1227</v>
      </c>
      <c r="B1228" t="s">
        <v>76</v>
      </c>
      <c r="C1228">
        <v>363.2</v>
      </c>
      <c r="D1228">
        <v>49.542000000000002</v>
      </c>
      <c r="E1228">
        <v>0</v>
      </c>
      <c r="H1228">
        <v>3.1289999999999998E-2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>
      <c r="A1229">
        <f t="shared" si="19"/>
        <v>1228</v>
      </c>
      <c r="B1229" t="s">
        <v>76</v>
      </c>
      <c r="C1229">
        <v>363.2</v>
      </c>
      <c r="D1229">
        <v>50.911000000000001</v>
      </c>
      <c r="E1229">
        <v>0</v>
      </c>
      <c r="H1229">
        <v>3.2050000000000002E-2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>
      <c r="A1230">
        <f t="shared" si="19"/>
        <v>1229</v>
      </c>
      <c r="B1230" t="s">
        <v>76</v>
      </c>
      <c r="C1230">
        <v>363.2</v>
      </c>
      <c r="D1230">
        <v>51.265000000000001</v>
      </c>
      <c r="E1230">
        <v>0</v>
      </c>
      <c r="H1230">
        <v>3.2230000000000002E-2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>
      <c r="A1231">
        <f t="shared" si="19"/>
        <v>1230</v>
      </c>
      <c r="B1231" t="s">
        <v>76</v>
      </c>
      <c r="C1231">
        <v>363.2</v>
      </c>
      <c r="D1231">
        <v>52.29</v>
      </c>
      <c r="E1231">
        <v>0</v>
      </c>
      <c r="H1231">
        <v>3.3110000000000001E-2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>
      <c r="A1232">
        <f t="shared" si="19"/>
        <v>1231</v>
      </c>
      <c r="B1232" t="s">
        <v>76</v>
      </c>
      <c r="C1232">
        <v>363.2</v>
      </c>
      <c r="D1232">
        <v>52.643999999999998</v>
      </c>
      <c r="E1232">
        <v>0</v>
      </c>
      <c r="H1232">
        <v>3.3230000000000003E-2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>
      <c r="A1233">
        <f t="shared" si="19"/>
        <v>1232</v>
      </c>
      <c r="B1233" t="s">
        <v>76</v>
      </c>
      <c r="C1233">
        <v>363.2</v>
      </c>
      <c r="D1233">
        <v>52.773000000000003</v>
      </c>
      <c r="E1233">
        <v>0</v>
      </c>
      <c r="H1233">
        <v>3.3169999999999998E-2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>
      <c r="A1234">
        <f t="shared" si="19"/>
        <v>1233</v>
      </c>
      <c r="B1234" t="s">
        <v>76</v>
      </c>
      <c r="C1234">
        <v>363.2</v>
      </c>
      <c r="D1234">
        <v>55.26</v>
      </c>
      <c r="E1234">
        <v>0</v>
      </c>
      <c r="H1234">
        <v>3.4380000000000001E-2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>
      <c r="A1235">
        <f t="shared" si="19"/>
        <v>1234</v>
      </c>
      <c r="B1235" t="s">
        <v>76</v>
      </c>
      <c r="C1235">
        <v>363.2</v>
      </c>
      <c r="D1235">
        <v>56.088000000000001</v>
      </c>
      <c r="E1235">
        <v>0</v>
      </c>
      <c r="H1235">
        <v>3.456E-2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>
      <c r="A1236">
        <f t="shared" si="19"/>
        <v>1235</v>
      </c>
      <c r="B1236" t="s">
        <v>76</v>
      </c>
      <c r="C1236">
        <v>363.2</v>
      </c>
      <c r="D1236">
        <v>56.091999999999999</v>
      </c>
      <c r="E1236">
        <v>0</v>
      </c>
      <c r="H1236">
        <v>3.4689999999999999E-2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>
      <c r="A1237">
        <f t="shared" si="19"/>
        <v>1236</v>
      </c>
      <c r="B1237" t="s">
        <v>76</v>
      </c>
      <c r="C1237">
        <v>363.2</v>
      </c>
      <c r="D1237">
        <v>56.225000000000001</v>
      </c>
      <c r="E1237">
        <v>0</v>
      </c>
      <c r="H1237">
        <v>3.5000000000000003E-2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>
      <c r="A1238">
        <f t="shared" si="19"/>
        <v>1237</v>
      </c>
      <c r="B1238" t="s">
        <v>76</v>
      </c>
      <c r="C1238">
        <v>363.2</v>
      </c>
      <c r="D1238">
        <v>56.427</v>
      </c>
      <c r="E1238">
        <v>0</v>
      </c>
      <c r="H1238">
        <v>3.5000000000000003E-2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>
      <c r="A1239">
        <f t="shared" si="19"/>
        <v>1238</v>
      </c>
      <c r="B1239" t="s">
        <v>76</v>
      </c>
      <c r="C1239">
        <v>363.2</v>
      </c>
      <c r="D1239">
        <v>57.126000000000005</v>
      </c>
      <c r="E1239">
        <v>0</v>
      </c>
      <c r="H1239">
        <v>3.533E-2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>
      <c r="A1240">
        <f t="shared" si="19"/>
        <v>1239</v>
      </c>
      <c r="B1240" t="s">
        <v>76</v>
      </c>
      <c r="C1240">
        <v>363.2</v>
      </c>
      <c r="D1240">
        <v>58.288000000000004</v>
      </c>
      <c r="E1240">
        <v>0</v>
      </c>
      <c r="H1240">
        <v>3.61E-2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>
      <c r="A1241">
        <f t="shared" si="19"/>
        <v>1240</v>
      </c>
      <c r="B1241" t="s">
        <v>76</v>
      </c>
      <c r="C1241">
        <v>363.2</v>
      </c>
      <c r="D1241">
        <v>60.431000000000004</v>
      </c>
      <c r="E1241">
        <v>0</v>
      </c>
      <c r="H1241">
        <v>3.7089999999999998E-2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>
      <c r="A1242">
        <f t="shared" si="19"/>
        <v>1241</v>
      </c>
      <c r="B1242" t="s">
        <v>76</v>
      </c>
      <c r="C1242">
        <v>363.2</v>
      </c>
      <c r="D1242">
        <v>63.326999999999998</v>
      </c>
      <c r="E1242">
        <v>0</v>
      </c>
      <c r="H1242">
        <v>3.8039999999999997E-2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>
      <c r="A1243">
        <f t="shared" si="19"/>
        <v>1242</v>
      </c>
      <c r="B1243" t="s">
        <v>76</v>
      </c>
      <c r="C1243">
        <v>363.2</v>
      </c>
      <c r="D1243">
        <v>65.739999999999995</v>
      </c>
      <c r="E1243">
        <v>0</v>
      </c>
      <c r="H1243">
        <v>3.943E-2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>
      <c r="A1244">
        <f t="shared" si="19"/>
        <v>1243</v>
      </c>
      <c r="B1244" t="s">
        <v>76</v>
      </c>
      <c r="C1244">
        <v>393.2</v>
      </c>
      <c r="D1244">
        <v>4.9619999999999997</v>
      </c>
      <c r="E1244">
        <v>0</v>
      </c>
      <c r="H1244">
        <v>1.64E-3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>
      <c r="A1245">
        <f t="shared" si="19"/>
        <v>1244</v>
      </c>
      <c r="B1245" t="s">
        <v>76</v>
      </c>
      <c r="C1245">
        <v>393.2</v>
      </c>
      <c r="D1245">
        <v>8.5820000000000007</v>
      </c>
      <c r="E1245">
        <v>0</v>
      </c>
      <c r="H1245">
        <v>3.7499999999999999E-3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>
      <c r="A1246">
        <f t="shared" si="19"/>
        <v>1245</v>
      </c>
      <c r="B1246" t="s">
        <v>76</v>
      </c>
      <c r="C1246">
        <v>393.2</v>
      </c>
      <c r="D1246">
        <v>11.547000000000001</v>
      </c>
      <c r="E1246">
        <v>0</v>
      </c>
      <c r="H1246">
        <v>5.47E-3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>
      <c r="A1247">
        <f t="shared" si="19"/>
        <v>1246</v>
      </c>
      <c r="B1247" t="s">
        <v>76</v>
      </c>
      <c r="C1247">
        <v>393.2</v>
      </c>
      <c r="D1247">
        <v>14.994000000000002</v>
      </c>
      <c r="E1247">
        <v>0</v>
      </c>
      <c r="H1247">
        <v>7.0699999999999999E-3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1:20">
      <c r="A1248">
        <f t="shared" si="19"/>
        <v>1247</v>
      </c>
      <c r="B1248" t="s">
        <v>76</v>
      </c>
      <c r="C1248">
        <v>393.2</v>
      </c>
      <c r="D1248">
        <v>17.620999999999999</v>
      </c>
      <c r="E1248">
        <v>0</v>
      </c>
      <c r="H1248">
        <v>8.6E-3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>
      <c r="A1249">
        <f t="shared" si="19"/>
        <v>1248</v>
      </c>
      <c r="B1249" t="s">
        <v>76</v>
      </c>
      <c r="C1249">
        <v>393.2</v>
      </c>
      <c r="D1249">
        <v>20.723000000000003</v>
      </c>
      <c r="E1249">
        <v>0</v>
      </c>
      <c r="H1249">
        <v>1.0500000000000001E-2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>
      <c r="A1250">
        <f t="shared" si="19"/>
        <v>1249</v>
      </c>
      <c r="B1250" t="s">
        <v>76</v>
      </c>
      <c r="C1250">
        <v>393.2</v>
      </c>
      <c r="D1250">
        <v>24.274000000000001</v>
      </c>
      <c r="E1250">
        <v>0</v>
      </c>
      <c r="H1250">
        <v>1.2359999999999999E-2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>
      <c r="A1251">
        <f t="shared" si="19"/>
        <v>1250</v>
      </c>
      <c r="B1251" t="s">
        <v>76</v>
      </c>
      <c r="C1251">
        <v>393.2</v>
      </c>
      <c r="D1251">
        <v>26.17</v>
      </c>
      <c r="E1251">
        <v>0</v>
      </c>
      <c r="H1251">
        <v>1.367E-2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>
      <c r="A1252">
        <f t="shared" si="19"/>
        <v>1251</v>
      </c>
      <c r="B1252" t="s">
        <v>76</v>
      </c>
      <c r="C1252">
        <v>393.2</v>
      </c>
      <c r="D1252">
        <v>29.411999999999999</v>
      </c>
      <c r="E1252">
        <v>0</v>
      </c>
      <c r="H1252">
        <v>1.536E-2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>
      <c r="A1253">
        <f t="shared" si="19"/>
        <v>1252</v>
      </c>
      <c r="B1253" t="s">
        <v>76</v>
      </c>
      <c r="C1253">
        <v>393.2</v>
      </c>
      <c r="D1253">
        <v>31.963000000000001</v>
      </c>
      <c r="E1253">
        <v>0</v>
      </c>
      <c r="H1253">
        <v>1.6660000000000001E-2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>
      <c r="A1254">
        <f t="shared" si="19"/>
        <v>1253</v>
      </c>
      <c r="B1254" t="s">
        <v>76</v>
      </c>
      <c r="C1254">
        <v>393.2</v>
      </c>
      <c r="D1254">
        <v>35.271999999999998</v>
      </c>
      <c r="E1254">
        <v>0</v>
      </c>
      <c r="H1254">
        <v>1.831E-2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>
      <c r="A1255">
        <f t="shared" si="19"/>
        <v>1254</v>
      </c>
      <c r="B1255" t="s">
        <v>76</v>
      </c>
      <c r="C1255">
        <v>393.2</v>
      </c>
      <c r="D1255">
        <v>36.1</v>
      </c>
      <c r="E1255">
        <v>0</v>
      </c>
      <c r="H1255">
        <v>1.8870000000000001E-2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>
      <c r="A1256">
        <f t="shared" si="19"/>
        <v>1255</v>
      </c>
      <c r="B1256" t="s">
        <v>76</v>
      </c>
      <c r="C1256">
        <v>393.2</v>
      </c>
      <c r="D1256">
        <v>38.919000000000004</v>
      </c>
      <c r="E1256">
        <v>0</v>
      </c>
      <c r="H1256">
        <v>2.043E-2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>
      <c r="A1257">
        <f t="shared" si="19"/>
        <v>1256</v>
      </c>
      <c r="B1257" t="s">
        <v>76</v>
      </c>
      <c r="C1257">
        <v>393.2</v>
      </c>
      <c r="D1257">
        <v>39.546999999999997</v>
      </c>
      <c r="E1257">
        <v>0</v>
      </c>
      <c r="H1257">
        <v>2.0729999999999998E-2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>
      <c r="A1258">
        <f t="shared" si="19"/>
        <v>1257</v>
      </c>
      <c r="B1258" t="s">
        <v>76</v>
      </c>
      <c r="C1258">
        <v>393.2</v>
      </c>
      <c r="D1258">
        <v>40.235999999999997</v>
      </c>
      <c r="E1258">
        <v>0</v>
      </c>
      <c r="H1258">
        <v>2.1160000000000002E-2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>
      <c r="A1259">
        <f t="shared" si="19"/>
        <v>1258</v>
      </c>
      <c r="B1259" t="s">
        <v>76</v>
      </c>
      <c r="C1259">
        <v>393.2</v>
      </c>
      <c r="D1259">
        <v>42.056000000000004</v>
      </c>
      <c r="E1259">
        <v>0</v>
      </c>
      <c r="H1259">
        <v>2.1989999999999999E-2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>
      <c r="A1260">
        <f t="shared" si="19"/>
        <v>1259</v>
      </c>
      <c r="B1260" t="s">
        <v>76</v>
      </c>
      <c r="C1260">
        <v>393.2</v>
      </c>
      <c r="D1260">
        <v>46.433999999999997</v>
      </c>
      <c r="E1260">
        <v>0</v>
      </c>
      <c r="H1260">
        <v>2.426E-2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>
      <c r="A1261">
        <f t="shared" si="19"/>
        <v>1260</v>
      </c>
      <c r="B1261" t="s">
        <v>76</v>
      </c>
      <c r="C1261">
        <v>393.2</v>
      </c>
      <c r="D1261">
        <v>48.498000000000005</v>
      </c>
      <c r="E1261">
        <v>0</v>
      </c>
      <c r="H1261">
        <v>2.545E-2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>
      <c r="A1262">
        <f t="shared" si="19"/>
        <v>1261</v>
      </c>
      <c r="B1262" t="s">
        <v>76</v>
      </c>
      <c r="C1262">
        <v>393.2</v>
      </c>
      <c r="D1262">
        <v>49.192</v>
      </c>
      <c r="E1262">
        <v>0</v>
      </c>
      <c r="H1262">
        <v>2.571E-2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>
      <c r="A1263">
        <f t="shared" si="19"/>
        <v>1262</v>
      </c>
      <c r="B1263" t="s">
        <v>76</v>
      </c>
      <c r="C1263">
        <v>393.2</v>
      </c>
      <c r="D1263">
        <v>49.531999999999996</v>
      </c>
      <c r="E1263">
        <v>0</v>
      </c>
      <c r="H1263">
        <v>2.5899999999999999E-2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>
      <c r="A1264">
        <f t="shared" si="19"/>
        <v>1263</v>
      </c>
      <c r="B1264" t="s">
        <v>76</v>
      </c>
      <c r="C1264">
        <v>393.2</v>
      </c>
      <c r="D1264">
        <v>55.186000000000007</v>
      </c>
      <c r="E1264">
        <v>0</v>
      </c>
      <c r="H1264">
        <v>2.879E-2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>
      <c r="A1265">
        <f t="shared" si="19"/>
        <v>1264</v>
      </c>
      <c r="B1265" t="s">
        <v>76</v>
      </c>
      <c r="C1265">
        <v>393.2</v>
      </c>
      <c r="D1265">
        <v>57.465000000000003</v>
      </c>
      <c r="E1265">
        <v>0</v>
      </c>
      <c r="H1265">
        <v>2.9839999999999998E-2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>
      <c r="A1266">
        <f t="shared" si="19"/>
        <v>1265</v>
      </c>
      <c r="B1266" t="s">
        <v>76</v>
      </c>
      <c r="C1266">
        <v>393.2</v>
      </c>
      <c r="D1266">
        <v>58.633000000000003</v>
      </c>
      <c r="E1266">
        <v>0</v>
      </c>
      <c r="H1266">
        <v>3.0499999999999999E-2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>
      <c r="A1267">
        <f t="shared" si="19"/>
        <v>1266</v>
      </c>
      <c r="B1267" t="s">
        <v>76</v>
      </c>
      <c r="C1267">
        <v>393.2</v>
      </c>
      <c r="D1267">
        <v>59.873999999999995</v>
      </c>
      <c r="E1267">
        <v>0</v>
      </c>
      <c r="H1267">
        <v>3.099E-2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>
      <c r="A1268">
        <f t="shared" si="19"/>
        <v>1267</v>
      </c>
      <c r="B1268" t="s">
        <v>76</v>
      </c>
      <c r="C1268">
        <v>393.2</v>
      </c>
      <c r="D1268">
        <v>60.494999999999997</v>
      </c>
      <c r="E1268">
        <v>0</v>
      </c>
      <c r="H1268">
        <v>3.168E-2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>
      <c r="A1269">
        <f t="shared" si="19"/>
        <v>1268</v>
      </c>
      <c r="B1269" t="s">
        <v>76</v>
      </c>
      <c r="C1269">
        <v>393.2</v>
      </c>
      <c r="D1269">
        <v>61.946999999999996</v>
      </c>
      <c r="E1269">
        <v>0</v>
      </c>
      <c r="H1269">
        <v>3.2059999999999998E-2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>
      <c r="A1270">
        <f t="shared" si="19"/>
        <v>1269</v>
      </c>
      <c r="B1270" t="s">
        <v>76</v>
      </c>
      <c r="C1270">
        <v>393.2</v>
      </c>
      <c r="D1270">
        <v>62.085000000000001</v>
      </c>
      <c r="E1270">
        <v>0</v>
      </c>
      <c r="H1270">
        <v>3.177E-2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>
      <c r="A1271">
        <f t="shared" si="19"/>
        <v>1270</v>
      </c>
      <c r="B1271" t="s">
        <v>76</v>
      </c>
      <c r="C1271">
        <v>393.2</v>
      </c>
      <c r="D1271">
        <v>62.286999999999999</v>
      </c>
      <c r="E1271">
        <v>0</v>
      </c>
      <c r="H1271">
        <v>3.2230000000000002E-2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>
      <c r="A1272">
        <f t="shared" si="19"/>
        <v>1271</v>
      </c>
      <c r="B1272" t="s">
        <v>76</v>
      </c>
      <c r="C1272">
        <v>393.2</v>
      </c>
      <c r="D1272">
        <v>63.946000000000005</v>
      </c>
      <c r="E1272">
        <v>0</v>
      </c>
      <c r="H1272">
        <v>3.3169999999999998E-2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>
      <c r="A1273">
        <f t="shared" si="19"/>
        <v>1272</v>
      </c>
      <c r="B1273" t="s">
        <v>76</v>
      </c>
      <c r="C1273">
        <v>393.2</v>
      </c>
      <c r="D1273">
        <v>63.946999999999996</v>
      </c>
      <c r="E1273">
        <v>0</v>
      </c>
      <c r="H1273">
        <v>3.3149999999999999E-2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>
      <c r="A1274">
        <f t="shared" si="19"/>
        <v>1273</v>
      </c>
      <c r="B1274" t="s">
        <v>76</v>
      </c>
      <c r="C1274">
        <v>393.2</v>
      </c>
      <c r="D1274">
        <v>64.911000000000001</v>
      </c>
      <c r="E1274">
        <v>0</v>
      </c>
      <c r="H1274">
        <v>3.3320000000000002E-2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>
      <c r="A1275">
        <f t="shared" si="19"/>
        <v>1274</v>
      </c>
      <c r="B1275" t="s">
        <v>76</v>
      </c>
      <c r="C1275">
        <v>393.2</v>
      </c>
      <c r="D1275">
        <v>65.73899999999999</v>
      </c>
      <c r="E1275">
        <v>0</v>
      </c>
      <c r="H1275">
        <v>3.3590000000000002E-2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>
      <c r="A1276">
        <f t="shared" si="19"/>
        <v>1275</v>
      </c>
      <c r="B1276" t="s">
        <v>76</v>
      </c>
      <c r="C1276">
        <v>393.2</v>
      </c>
      <c r="D1276">
        <v>65.873000000000005</v>
      </c>
      <c r="E1276">
        <v>0</v>
      </c>
      <c r="H1276">
        <v>3.388E-2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>
      <c r="A1277">
        <f t="shared" si="19"/>
        <v>1276</v>
      </c>
      <c r="B1277" t="s">
        <v>76</v>
      </c>
      <c r="C1277">
        <v>393.2</v>
      </c>
      <c r="D1277">
        <v>66.703999999999994</v>
      </c>
      <c r="E1277">
        <v>0</v>
      </c>
      <c r="H1277">
        <v>3.4160000000000003E-2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>
      <c r="A1278">
        <f t="shared" si="19"/>
        <v>1277</v>
      </c>
      <c r="B1278" t="s">
        <v>76</v>
      </c>
      <c r="C1278">
        <v>423.2</v>
      </c>
      <c r="D1278">
        <v>6.9249999999999998</v>
      </c>
      <c r="E1278">
        <v>0</v>
      </c>
      <c r="H1278">
        <v>9.5E-4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>
      <c r="A1279">
        <f t="shared" si="19"/>
        <v>1278</v>
      </c>
      <c r="B1279" t="s">
        <v>76</v>
      </c>
      <c r="C1279">
        <v>423.2</v>
      </c>
      <c r="D1279">
        <v>9.3379999999999992</v>
      </c>
      <c r="E1279">
        <v>0</v>
      </c>
      <c r="H1279">
        <v>2.16E-3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>
      <c r="A1280">
        <f t="shared" si="19"/>
        <v>1279</v>
      </c>
      <c r="B1280" t="s">
        <v>76</v>
      </c>
      <c r="C1280">
        <v>423.2</v>
      </c>
      <c r="D1280">
        <v>11.544</v>
      </c>
      <c r="E1280">
        <v>0</v>
      </c>
      <c r="H1280">
        <v>3.3300000000000001E-3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>
      <c r="A1281">
        <f t="shared" si="19"/>
        <v>1280</v>
      </c>
      <c r="B1281" t="s">
        <v>76</v>
      </c>
      <c r="C1281">
        <v>423.2</v>
      </c>
      <c r="D1281">
        <v>13.888</v>
      </c>
      <c r="E1281">
        <v>0</v>
      </c>
      <c r="H1281">
        <v>4.4200000000000003E-3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>
      <c r="A1282">
        <f t="shared" si="19"/>
        <v>1281</v>
      </c>
      <c r="B1282" t="s">
        <v>76</v>
      </c>
      <c r="C1282">
        <v>423.2</v>
      </c>
      <c r="D1282">
        <v>14.714</v>
      </c>
      <c r="E1282">
        <v>0</v>
      </c>
      <c r="H1282">
        <v>4.9899999999999996E-3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>
      <c r="A1283">
        <f t="shared" si="19"/>
        <v>1282</v>
      </c>
      <c r="B1283" t="s">
        <v>76</v>
      </c>
      <c r="C1283">
        <v>423.2</v>
      </c>
      <c r="D1283">
        <v>15.689</v>
      </c>
      <c r="E1283">
        <v>0</v>
      </c>
      <c r="H1283">
        <v>5.5199999999999997E-3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>
      <c r="A1284">
        <f t="shared" ref="A1284:A1347" si="20">A1283+1</f>
        <v>1283</v>
      </c>
      <c r="B1284" t="s">
        <v>76</v>
      </c>
      <c r="C1284">
        <v>423.2</v>
      </c>
      <c r="D1284">
        <v>17.41</v>
      </c>
      <c r="E1284">
        <v>0</v>
      </c>
      <c r="H1284">
        <v>6.3499999999999997E-3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>
      <c r="A1285">
        <f t="shared" si="20"/>
        <v>1284</v>
      </c>
      <c r="B1285" t="s">
        <v>76</v>
      </c>
      <c r="C1285">
        <v>423.2</v>
      </c>
      <c r="D1285">
        <v>17.682000000000002</v>
      </c>
      <c r="E1285">
        <v>0</v>
      </c>
      <c r="H1285">
        <v>6.2599999999999999E-3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>
      <c r="A1286">
        <f t="shared" si="20"/>
        <v>1285</v>
      </c>
      <c r="B1286" t="s">
        <v>76</v>
      </c>
      <c r="C1286">
        <v>423.2</v>
      </c>
      <c r="D1286">
        <v>18.989000000000001</v>
      </c>
      <c r="E1286">
        <v>0</v>
      </c>
      <c r="H1286">
        <v>7.4900000000000001E-3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>
      <c r="A1287">
        <f t="shared" si="20"/>
        <v>1286</v>
      </c>
      <c r="B1287" t="s">
        <v>76</v>
      </c>
      <c r="C1287">
        <v>423.2</v>
      </c>
      <c r="D1287">
        <v>20.317999999999998</v>
      </c>
      <c r="E1287">
        <v>0</v>
      </c>
      <c r="H1287">
        <v>7.8700000000000003E-3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>
      <c r="A1288">
        <f t="shared" si="20"/>
        <v>1287</v>
      </c>
      <c r="B1288" t="s">
        <v>76</v>
      </c>
      <c r="C1288">
        <v>423.2</v>
      </c>
      <c r="D1288">
        <v>20.781999999999996</v>
      </c>
      <c r="E1288">
        <v>0</v>
      </c>
      <c r="H1288">
        <v>8.1600000000000006E-3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>
      <c r="A1289">
        <f t="shared" si="20"/>
        <v>1288</v>
      </c>
      <c r="B1289" t="s">
        <v>76</v>
      </c>
      <c r="C1289">
        <v>423.2</v>
      </c>
      <c r="D1289">
        <v>22.236000000000001</v>
      </c>
      <c r="E1289">
        <v>0</v>
      </c>
      <c r="H1289">
        <v>8.6300000000000005E-3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>
      <c r="A1290">
        <f t="shared" si="20"/>
        <v>1289</v>
      </c>
      <c r="B1290" t="s">
        <v>76</v>
      </c>
      <c r="C1290">
        <v>423.2</v>
      </c>
      <c r="D1290">
        <v>22.305</v>
      </c>
      <c r="E1290">
        <v>0</v>
      </c>
      <c r="H1290">
        <v>8.77E-3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>
      <c r="A1291">
        <f t="shared" si="20"/>
        <v>1290</v>
      </c>
      <c r="B1291" t="s">
        <v>76</v>
      </c>
      <c r="C1291">
        <v>423.2</v>
      </c>
      <c r="D1291">
        <v>23.765000000000001</v>
      </c>
      <c r="E1291">
        <v>0</v>
      </c>
      <c r="H1291">
        <v>9.5700000000000004E-3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>
      <c r="A1292">
        <f t="shared" si="20"/>
        <v>1291</v>
      </c>
      <c r="B1292" t="s">
        <v>76</v>
      </c>
      <c r="C1292">
        <v>423.2</v>
      </c>
      <c r="D1292">
        <v>25.751999999999999</v>
      </c>
      <c r="E1292">
        <v>0</v>
      </c>
      <c r="H1292">
        <v>1.0359999999999999E-2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>
      <c r="A1293">
        <f t="shared" si="20"/>
        <v>1292</v>
      </c>
      <c r="B1293" t="s">
        <v>76</v>
      </c>
      <c r="C1293">
        <v>423.2</v>
      </c>
      <c r="D1293">
        <v>27.751999999999999</v>
      </c>
      <c r="E1293">
        <v>0</v>
      </c>
      <c r="H1293">
        <v>1.1469999999999999E-2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>
      <c r="A1294">
        <f t="shared" si="20"/>
        <v>1293</v>
      </c>
      <c r="B1294" t="s">
        <v>76</v>
      </c>
      <c r="C1294">
        <v>423.2</v>
      </c>
      <c r="D1294">
        <v>29.8</v>
      </c>
      <c r="E1294">
        <v>0</v>
      </c>
      <c r="H1294">
        <v>1.268E-2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>
      <c r="A1295">
        <f t="shared" si="20"/>
        <v>1294</v>
      </c>
      <c r="B1295" t="s">
        <v>76</v>
      </c>
      <c r="C1295">
        <v>423.2</v>
      </c>
      <c r="D1295">
        <v>30.51</v>
      </c>
      <c r="E1295">
        <v>0</v>
      </c>
      <c r="H1295">
        <v>1.2829999999999999E-2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>
      <c r="A1296">
        <f t="shared" si="20"/>
        <v>1295</v>
      </c>
      <c r="B1296" t="s">
        <v>76</v>
      </c>
      <c r="C1296">
        <v>423.2</v>
      </c>
      <c r="D1296">
        <v>32.020000000000003</v>
      </c>
      <c r="E1296">
        <v>0</v>
      </c>
      <c r="H1296">
        <v>1.3639999999999999E-2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>
      <c r="A1297">
        <f t="shared" si="20"/>
        <v>1296</v>
      </c>
      <c r="B1297" t="s">
        <v>76</v>
      </c>
      <c r="C1297">
        <v>423.2</v>
      </c>
      <c r="D1297">
        <v>34.501999999999995</v>
      </c>
      <c r="E1297">
        <v>0</v>
      </c>
      <c r="H1297">
        <v>1.498E-2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>
      <c r="A1298">
        <f t="shared" si="20"/>
        <v>1297</v>
      </c>
      <c r="B1298" t="s">
        <v>76</v>
      </c>
      <c r="C1298">
        <v>423.2</v>
      </c>
      <c r="D1298">
        <v>37.398000000000003</v>
      </c>
      <c r="E1298">
        <v>0</v>
      </c>
      <c r="H1298">
        <v>1.644E-2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>
      <c r="A1299">
        <f t="shared" si="20"/>
        <v>1298</v>
      </c>
      <c r="B1299" t="s">
        <v>76</v>
      </c>
      <c r="C1299">
        <v>423.2</v>
      </c>
      <c r="D1299">
        <v>41.052</v>
      </c>
      <c r="E1299">
        <v>0</v>
      </c>
      <c r="H1299">
        <v>1.8460000000000001E-2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>
      <c r="A1300">
        <f t="shared" si="20"/>
        <v>1299</v>
      </c>
      <c r="B1300" t="s">
        <v>76</v>
      </c>
      <c r="C1300">
        <v>423.2</v>
      </c>
      <c r="D1300">
        <v>42.568999999999996</v>
      </c>
      <c r="E1300">
        <v>0</v>
      </c>
      <c r="H1300">
        <v>1.8929999999999999E-2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>
      <c r="A1301">
        <f t="shared" si="20"/>
        <v>1300</v>
      </c>
      <c r="B1301" t="s">
        <v>76</v>
      </c>
      <c r="C1301">
        <v>423.2</v>
      </c>
      <c r="D1301">
        <v>44.033999999999999</v>
      </c>
      <c r="E1301">
        <v>0</v>
      </c>
      <c r="H1301">
        <v>1.9779999999999999E-2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>
      <c r="A1302">
        <f t="shared" si="20"/>
        <v>1301</v>
      </c>
      <c r="B1302" t="s">
        <v>76</v>
      </c>
      <c r="C1302">
        <v>423.2</v>
      </c>
      <c r="D1302">
        <v>46.23</v>
      </c>
      <c r="E1302">
        <v>0</v>
      </c>
      <c r="H1302">
        <v>2.0559999999999998E-2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>
      <c r="A1303">
        <f t="shared" si="20"/>
        <v>1302</v>
      </c>
      <c r="B1303" t="s">
        <v>76</v>
      </c>
      <c r="C1303">
        <v>423.2</v>
      </c>
      <c r="D1303">
        <v>46.918999999999997</v>
      </c>
      <c r="E1303">
        <v>0</v>
      </c>
      <c r="H1303">
        <v>2.1090000000000001E-2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>
      <c r="A1304">
        <f t="shared" si="20"/>
        <v>1303</v>
      </c>
      <c r="B1304" t="s">
        <v>76</v>
      </c>
      <c r="C1304">
        <v>423.2</v>
      </c>
      <c r="D1304">
        <v>51.332000000000001</v>
      </c>
      <c r="E1304">
        <v>0</v>
      </c>
      <c r="H1304">
        <v>2.324E-2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>
      <c r="A1305">
        <f t="shared" si="20"/>
        <v>1304</v>
      </c>
      <c r="B1305" t="s">
        <v>76</v>
      </c>
      <c r="C1305">
        <v>423.2</v>
      </c>
      <c r="D1305">
        <v>52.228000000000002</v>
      </c>
      <c r="E1305">
        <v>0</v>
      </c>
      <c r="H1305">
        <v>2.3470000000000001E-2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>
      <c r="A1306">
        <f t="shared" si="20"/>
        <v>1305</v>
      </c>
      <c r="B1306" t="s">
        <v>76</v>
      </c>
      <c r="C1306">
        <v>423.2</v>
      </c>
      <c r="D1306">
        <v>55.601999999999997</v>
      </c>
      <c r="E1306">
        <v>0</v>
      </c>
      <c r="H1306">
        <v>2.52E-2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>
      <c r="A1307">
        <f t="shared" si="20"/>
        <v>1306</v>
      </c>
      <c r="B1307" t="s">
        <v>76</v>
      </c>
      <c r="C1307">
        <v>423.2</v>
      </c>
      <c r="D1307">
        <v>58.636000000000003</v>
      </c>
      <c r="E1307">
        <v>0</v>
      </c>
      <c r="H1307">
        <v>2.6499999999999999E-2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>
      <c r="A1308">
        <f t="shared" si="20"/>
        <v>1307</v>
      </c>
      <c r="B1308" t="s">
        <v>76</v>
      </c>
      <c r="C1308">
        <v>423.2</v>
      </c>
      <c r="D1308">
        <v>62.773000000000003</v>
      </c>
      <c r="E1308">
        <v>0</v>
      </c>
      <c r="H1308">
        <v>2.8219999999999999E-2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>
      <c r="A1309">
        <f t="shared" si="20"/>
        <v>1308</v>
      </c>
      <c r="B1309" t="s">
        <v>76</v>
      </c>
      <c r="C1309">
        <v>423.2</v>
      </c>
      <c r="D1309">
        <v>63.393000000000001</v>
      </c>
      <c r="E1309">
        <v>0</v>
      </c>
      <c r="H1309">
        <v>2.896E-2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>
      <c r="A1310">
        <f t="shared" si="20"/>
        <v>1309</v>
      </c>
      <c r="B1310" t="s">
        <v>76</v>
      </c>
      <c r="C1310">
        <v>423.2</v>
      </c>
      <c r="D1310">
        <v>64.013999999999996</v>
      </c>
      <c r="E1310">
        <v>0</v>
      </c>
      <c r="H1310">
        <v>2.8969999999999999E-2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>
      <c r="A1311">
        <f t="shared" si="20"/>
        <v>1310</v>
      </c>
      <c r="B1311" t="s">
        <v>76</v>
      </c>
      <c r="C1311">
        <v>423.2</v>
      </c>
      <c r="D1311">
        <v>66.013000000000005</v>
      </c>
      <c r="E1311">
        <v>0</v>
      </c>
      <c r="H1311">
        <v>2.9929999999999998E-2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>
      <c r="A1312">
        <f t="shared" si="20"/>
        <v>1311</v>
      </c>
      <c r="B1312" t="s">
        <v>76</v>
      </c>
      <c r="C1312">
        <v>453.2</v>
      </c>
      <c r="D1312">
        <v>10.712999999999999</v>
      </c>
      <c r="E1312">
        <v>0</v>
      </c>
      <c r="H1312">
        <v>3.2000000000000003E-4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>
      <c r="A1313">
        <f t="shared" si="20"/>
        <v>1312</v>
      </c>
      <c r="B1313" t="s">
        <v>76</v>
      </c>
      <c r="C1313">
        <v>453.2</v>
      </c>
      <c r="D1313">
        <v>14.229000000000001</v>
      </c>
      <c r="E1313">
        <v>0</v>
      </c>
      <c r="H1313">
        <v>1.99E-3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>
      <c r="A1314">
        <f t="shared" si="20"/>
        <v>1313</v>
      </c>
      <c r="B1314" t="s">
        <v>76</v>
      </c>
      <c r="C1314">
        <v>453.2</v>
      </c>
      <c r="D1314">
        <v>18.651</v>
      </c>
      <c r="E1314">
        <v>0</v>
      </c>
      <c r="H1314">
        <v>3.9699999999999996E-3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>
      <c r="A1315">
        <f t="shared" si="20"/>
        <v>1314</v>
      </c>
      <c r="B1315" t="s">
        <v>76</v>
      </c>
      <c r="C1315">
        <v>453.2</v>
      </c>
      <c r="D1315">
        <v>21.546999999999997</v>
      </c>
      <c r="E1315">
        <v>0</v>
      </c>
      <c r="H1315">
        <v>5.3099999999999996E-3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 spans="1:20">
      <c r="A1316">
        <f t="shared" si="20"/>
        <v>1315</v>
      </c>
      <c r="B1316" t="s">
        <v>76</v>
      </c>
      <c r="C1316">
        <v>453.2</v>
      </c>
      <c r="D1316">
        <v>23.545999999999999</v>
      </c>
      <c r="E1316">
        <v>0</v>
      </c>
      <c r="H1316">
        <v>6.2100000000000002E-3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>
      <c r="A1317">
        <f t="shared" si="20"/>
        <v>1316</v>
      </c>
      <c r="B1317" t="s">
        <v>76</v>
      </c>
      <c r="C1317">
        <v>453.2</v>
      </c>
      <c r="D1317">
        <v>24.510999999999999</v>
      </c>
      <c r="E1317">
        <v>0</v>
      </c>
      <c r="H1317">
        <v>6.5700000000000003E-3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>
      <c r="A1318">
        <f t="shared" si="20"/>
        <v>1317</v>
      </c>
      <c r="B1318" t="s">
        <v>76</v>
      </c>
      <c r="C1318">
        <v>453.2</v>
      </c>
      <c r="D1318">
        <v>25.408000000000001</v>
      </c>
      <c r="E1318">
        <v>0</v>
      </c>
      <c r="H1318">
        <v>7.0000000000000001E-3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>
      <c r="A1319">
        <f t="shared" si="20"/>
        <v>1318</v>
      </c>
      <c r="B1319" t="s">
        <v>76</v>
      </c>
      <c r="C1319">
        <v>453.2</v>
      </c>
      <c r="D1319">
        <v>26.293000000000003</v>
      </c>
      <c r="E1319">
        <v>0</v>
      </c>
      <c r="H1319">
        <v>7.4200000000000004E-3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 spans="1:20">
      <c r="A1320">
        <f t="shared" si="20"/>
        <v>1319</v>
      </c>
      <c r="B1320" t="s">
        <v>76</v>
      </c>
      <c r="C1320">
        <v>453.2</v>
      </c>
      <c r="D1320">
        <v>32.292000000000002</v>
      </c>
      <c r="E1320">
        <v>0</v>
      </c>
      <c r="H1320">
        <v>1.0330000000000001E-2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>
      <c r="A1321">
        <f t="shared" si="20"/>
        <v>1320</v>
      </c>
      <c r="B1321" t="s">
        <v>76</v>
      </c>
      <c r="C1321">
        <v>453.2</v>
      </c>
      <c r="D1321">
        <v>34.843000000000004</v>
      </c>
      <c r="E1321">
        <v>0</v>
      </c>
      <c r="H1321">
        <v>1.158E-2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>
      <c r="A1322">
        <f t="shared" si="20"/>
        <v>1321</v>
      </c>
      <c r="B1322" t="s">
        <v>76</v>
      </c>
      <c r="C1322">
        <v>453.2</v>
      </c>
      <c r="D1322">
        <v>39.116999999999997</v>
      </c>
      <c r="E1322">
        <v>0</v>
      </c>
      <c r="H1322">
        <v>1.3559999999999999E-2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>
      <c r="A1323">
        <f t="shared" si="20"/>
        <v>1322</v>
      </c>
      <c r="B1323" t="s">
        <v>76</v>
      </c>
      <c r="C1323">
        <v>453.2</v>
      </c>
      <c r="D1323">
        <v>42.427</v>
      </c>
      <c r="E1323">
        <v>0</v>
      </c>
      <c r="H1323">
        <v>1.4970000000000001E-2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>
      <c r="A1324">
        <f t="shared" si="20"/>
        <v>1323</v>
      </c>
      <c r="B1324" t="s">
        <v>76</v>
      </c>
      <c r="C1324">
        <v>453.2</v>
      </c>
      <c r="D1324">
        <v>46.15</v>
      </c>
      <c r="E1324">
        <v>0</v>
      </c>
      <c r="H1324">
        <v>1.6500000000000001E-2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>
      <c r="A1325">
        <f t="shared" si="20"/>
        <v>1324</v>
      </c>
      <c r="B1325" t="s">
        <v>76</v>
      </c>
      <c r="C1325">
        <v>453.2</v>
      </c>
      <c r="D1325">
        <v>50.768999999999998</v>
      </c>
      <c r="E1325">
        <v>0</v>
      </c>
      <c r="H1325">
        <v>1.866E-2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>
      <c r="A1326">
        <f t="shared" si="20"/>
        <v>1325</v>
      </c>
      <c r="B1326" t="s">
        <v>76</v>
      </c>
      <c r="C1326">
        <v>453.2</v>
      </c>
      <c r="D1326">
        <v>54.216999999999999</v>
      </c>
      <c r="E1326">
        <v>0</v>
      </c>
      <c r="H1326">
        <v>2.0289999999999999E-2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>
      <c r="A1327">
        <f t="shared" si="20"/>
        <v>1326</v>
      </c>
      <c r="B1327" t="s">
        <v>76</v>
      </c>
      <c r="C1327">
        <v>453.2</v>
      </c>
      <c r="D1327">
        <v>59.181000000000004</v>
      </c>
      <c r="E1327">
        <v>0</v>
      </c>
      <c r="H1327">
        <v>2.257E-2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>
      <c r="A1328">
        <f t="shared" si="20"/>
        <v>1327</v>
      </c>
      <c r="B1328" t="s">
        <v>76</v>
      </c>
      <c r="C1328">
        <v>363.2</v>
      </c>
      <c r="D1328">
        <v>19.21</v>
      </c>
      <c r="E1328">
        <v>0</v>
      </c>
      <c r="F1328">
        <v>3.8599999999999968E-2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>
      <c r="A1329">
        <f t="shared" si="20"/>
        <v>1328</v>
      </c>
      <c r="B1329" t="s">
        <v>76</v>
      </c>
      <c r="C1329">
        <v>363.2</v>
      </c>
      <c r="D1329">
        <v>20.11</v>
      </c>
      <c r="E1329">
        <v>0</v>
      </c>
      <c r="F1329">
        <v>3.9399999999999991E-2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>
      <c r="A1330">
        <f t="shared" si="20"/>
        <v>1329</v>
      </c>
      <c r="B1330" t="s">
        <v>76</v>
      </c>
      <c r="C1330">
        <v>363.2</v>
      </c>
      <c r="D1330">
        <v>23.89</v>
      </c>
      <c r="E1330">
        <v>0</v>
      </c>
      <c r="F1330">
        <v>2.9100000000000015E-2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>
      <c r="A1331">
        <f t="shared" si="20"/>
        <v>1330</v>
      </c>
      <c r="B1331" t="s">
        <v>76</v>
      </c>
      <c r="C1331">
        <v>393.2</v>
      </c>
      <c r="D1331">
        <v>14.86</v>
      </c>
      <c r="E1331">
        <v>0</v>
      </c>
      <c r="F1331">
        <v>0.11350000000000005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>
      <c r="A1332">
        <f t="shared" si="20"/>
        <v>1331</v>
      </c>
      <c r="B1332" t="s">
        <v>76</v>
      </c>
      <c r="C1332">
        <v>393.2</v>
      </c>
      <c r="D1332">
        <v>25</v>
      </c>
      <c r="E1332">
        <v>0</v>
      </c>
      <c r="F1332">
        <v>7.020000000000004E-2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>
      <c r="A1333">
        <f t="shared" si="20"/>
        <v>1332</v>
      </c>
      <c r="B1333" t="s">
        <v>76</v>
      </c>
      <c r="C1333">
        <v>393.2</v>
      </c>
      <c r="D1333">
        <v>31.61</v>
      </c>
      <c r="E1333">
        <v>0</v>
      </c>
      <c r="F1333">
        <v>5.8499999999999996E-2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>
      <c r="A1334">
        <f t="shared" si="20"/>
        <v>1333</v>
      </c>
      <c r="B1334" t="s">
        <v>76</v>
      </c>
      <c r="C1334">
        <v>393.2</v>
      </c>
      <c r="D1334">
        <v>31.74</v>
      </c>
      <c r="E1334">
        <v>0</v>
      </c>
      <c r="F1334">
        <v>4.7100000000000031E-2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>
      <c r="A1335">
        <f t="shared" si="20"/>
        <v>1334</v>
      </c>
      <c r="B1335" t="s">
        <v>76</v>
      </c>
      <c r="C1335">
        <v>393.2</v>
      </c>
      <c r="D1335">
        <v>32.299999999999997</v>
      </c>
      <c r="E1335">
        <v>0</v>
      </c>
      <c r="F1335">
        <v>6.8599999999999994E-2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>
      <c r="A1336">
        <f t="shared" si="20"/>
        <v>1335</v>
      </c>
      <c r="B1336" t="s">
        <v>76</v>
      </c>
      <c r="C1336">
        <v>393.2</v>
      </c>
      <c r="D1336">
        <v>34.01</v>
      </c>
      <c r="E1336">
        <v>0</v>
      </c>
      <c r="F1336">
        <v>4.7399999999999998E-2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>
      <c r="A1337">
        <f t="shared" si="20"/>
        <v>1336</v>
      </c>
      <c r="B1337" t="s">
        <v>76</v>
      </c>
      <c r="C1337">
        <v>423.2</v>
      </c>
      <c r="D1337">
        <v>19.420000000000002</v>
      </c>
      <c r="E1337">
        <v>0</v>
      </c>
      <c r="F1337">
        <v>0.2591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>
      <c r="A1338">
        <f t="shared" si="20"/>
        <v>1337</v>
      </c>
      <c r="B1338" t="s">
        <v>76</v>
      </c>
      <c r="C1338">
        <v>423.2</v>
      </c>
      <c r="D1338">
        <v>21.96</v>
      </c>
      <c r="E1338">
        <v>0</v>
      </c>
      <c r="F1338">
        <v>0.21879999999999999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 spans="1:20">
      <c r="A1339">
        <f t="shared" si="20"/>
        <v>1338</v>
      </c>
      <c r="B1339" t="s">
        <v>76</v>
      </c>
      <c r="C1339">
        <v>423.2</v>
      </c>
      <c r="D1339">
        <v>26.24</v>
      </c>
      <c r="E1339">
        <v>0</v>
      </c>
      <c r="F1339">
        <v>0.18010000000000004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>
      <c r="A1340">
        <f t="shared" si="20"/>
        <v>1339</v>
      </c>
      <c r="B1340" t="s">
        <v>76</v>
      </c>
      <c r="C1340">
        <v>423.2</v>
      </c>
      <c r="D1340">
        <v>26.99</v>
      </c>
      <c r="E1340">
        <v>0</v>
      </c>
      <c r="F1340">
        <v>0.16269999999999996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 spans="1:20">
      <c r="A1341">
        <f t="shared" si="20"/>
        <v>1340</v>
      </c>
      <c r="B1341" t="s">
        <v>76</v>
      </c>
      <c r="C1341">
        <v>423.2</v>
      </c>
      <c r="D1341">
        <v>30.03</v>
      </c>
      <c r="E1341">
        <v>0</v>
      </c>
      <c r="F1341">
        <v>0.17079999999999995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>
      <c r="A1342">
        <f t="shared" si="20"/>
        <v>1341</v>
      </c>
      <c r="B1342" t="s">
        <v>76</v>
      </c>
      <c r="C1342">
        <v>423.2</v>
      </c>
      <c r="D1342">
        <v>30.79</v>
      </c>
      <c r="E1342">
        <v>0</v>
      </c>
      <c r="F1342">
        <v>0.16439999999999999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>
      <c r="A1343">
        <f t="shared" si="20"/>
        <v>1342</v>
      </c>
      <c r="B1343" t="s">
        <v>78</v>
      </c>
      <c r="C1343">
        <v>298.14999999999998</v>
      </c>
      <c r="D1343">
        <v>25.33</v>
      </c>
      <c r="E1343">
        <v>0</v>
      </c>
      <c r="I1343">
        <v>2.4899999999999998E-4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</row>
    <row r="1344" spans="1:20">
      <c r="A1344">
        <f t="shared" si="20"/>
        <v>1343</v>
      </c>
      <c r="B1344" t="s">
        <v>78</v>
      </c>
      <c r="C1344">
        <v>298.14999999999998</v>
      </c>
      <c r="D1344">
        <v>50.66</v>
      </c>
      <c r="E1344">
        <v>0</v>
      </c>
      <c r="I1344">
        <v>4.8099999999999998E-4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</row>
    <row r="1345" spans="1:20">
      <c r="A1345">
        <f t="shared" si="20"/>
        <v>1344</v>
      </c>
      <c r="B1345" t="s">
        <v>78</v>
      </c>
      <c r="C1345">
        <v>298.14999999999998</v>
      </c>
      <c r="D1345">
        <v>101.33</v>
      </c>
      <c r="E1345">
        <v>0</v>
      </c>
      <c r="I1345">
        <v>9.0200000000000002E-4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</row>
    <row r="1346" spans="1:20">
      <c r="A1346">
        <f t="shared" si="20"/>
        <v>1345</v>
      </c>
      <c r="B1346" t="s">
        <v>78</v>
      </c>
      <c r="C1346">
        <v>298.14999999999998</v>
      </c>
      <c r="D1346">
        <v>202.65</v>
      </c>
      <c r="E1346">
        <v>0</v>
      </c>
      <c r="I1346">
        <v>1.6100000000000001E-3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</row>
    <row r="1347" spans="1:20">
      <c r="A1347">
        <f t="shared" si="20"/>
        <v>1346</v>
      </c>
      <c r="B1347" t="s">
        <v>78</v>
      </c>
      <c r="C1347">
        <v>298.14999999999998</v>
      </c>
      <c r="D1347">
        <v>303.97000000000003</v>
      </c>
      <c r="E1347">
        <v>0</v>
      </c>
      <c r="I1347">
        <v>2.183E-3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</row>
    <row r="1348" spans="1:20">
      <c r="A1348">
        <f t="shared" ref="A1348:A1411" si="21">A1347+1</f>
        <v>1347</v>
      </c>
      <c r="B1348" t="s">
        <v>78</v>
      </c>
      <c r="C1348">
        <v>298.14999999999998</v>
      </c>
      <c r="D1348">
        <v>506.62</v>
      </c>
      <c r="E1348">
        <v>0</v>
      </c>
      <c r="I1348">
        <v>3.1630000000000004E-3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</row>
    <row r="1349" spans="1:20">
      <c r="A1349">
        <f t="shared" si="21"/>
        <v>1348</v>
      </c>
      <c r="B1349" t="s">
        <v>78</v>
      </c>
      <c r="C1349">
        <v>298.14999999999998</v>
      </c>
      <c r="D1349">
        <v>810.6</v>
      </c>
      <c r="E1349">
        <v>0</v>
      </c>
      <c r="I1349">
        <v>4.3639999999999998E-3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</row>
    <row r="1350" spans="1:20">
      <c r="A1350">
        <f t="shared" si="21"/>
        <v>1349</v>
      </c>
      <c r="B1350" t="s">
        <v>78</v>
      </c>
      <c r="C1350">
        <v>298.14999999999998</v>
      </c>
      <c r="D1350">
        <v>1013.25</v>
      </c>
      <c r="E1350">
        <v>0</v>
      </c>
      <c r="I1350">
        <v>5.0829999999999998E-3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</row>
    <row r="1351" spans="1:20">
      <c r="A1351">
        <f t="shared" si="21"/>
        <v>1350</v>
      </c>
      <c r="B1351" t="s">
        <v>78</v>
      </c>
      <c r="C1351">
        <v>323.14999999999998</v>
      </c>
      <c r="D1351">
        <v>25.33</v>
      </c>
      <c r="E1351">
        <v>0</v>
      </c>
      <c r="I1351">
        <v>1.95E-4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</row>
    <row r="1352" spans="1:20">
      <c r="A1352">
        <f t="shared" si="21"/>
        <v>1351</v>
      </c>
      <c r="B1352" t="s">
        <v>78</v>
      </c>
      <c r="C1352">
        <v>323.14999999999998</v>
      </c>
      <c r="D1352">
        <v>50.66</v>
      </c>
      <c r="E1352">
        <v>0</v>
      </c>
      <c r="I1352">
        <v>3.8100000000000005E-4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</row>
    <row r="1353" spans="1:20">
      <c r="A1353">
        <f t="shared" si="21"/>
        <v>1352</v>
      </c>
      <c r="B1353" t="s">
        <v>78</v>
      </c>
      <c r="C1353">
        <v>323.14999999999998</v>
      </c>
      <c r="D1353">
        <v>101.33</v>
      </c>
      <c r="E1353">
        <v>0</v>
      </c>
      <c r="I1353">
        <v>7.2199999999999999E-4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</row>
    <row r="1354" spans="1:20">
      <c r="A1354">
        <f t="shared" si="21"/>
        <v>1353</v>
      </c>
      <c r="B1354" t="s">
        <v>78</v>
      </c>
      <c r="C1354">
        <v>323.14999999999998</v>
      </c>
      <c r="D1354">
        <v>202.65</v>
      </c>
      <c r="E1354">
        <v>0</v>
      </c>
      <c r="I1354">
        <v>1.3059999999999999E-3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</row>
    <row r="1355" spans="1:20">
      <c r="A1355">
        <f t="shared" si="21"/>
        <v>1354</v>
      </c>
      <c r="B1355" t="s">
        <v>78</v>
      </c>
      <c r="C1355">
        <v>323.14999999999998</v>
      </c>
      <c r="D1355">
        <v>303.97000000000003</v>
      </c>
      <c r="E1355">
        <v>0</v>
      </c>
      <c r="I1355">
        <v>1.807E-3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</row>
    <row r="1356" spans="1:20">
      <c r="A1356">
        <f t="shared" si="21"/>
        <v>1355</v>
      </c>
      <c r="B1356" t="s">
        <v>78</v>
      </c>
      <c r="C1356">
        <v>323.14999999999998</v>
      </c>
      <c r="D1356">
        <v>506.62</v>
      </c>
      <c r="E1356">
        <v>0</v>
      </c>
      <c r="I1356">
        <v>2.6510000000000001E-3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</row>
    <row r="1357" spans="1:20">
      <c r="A1357">
        <f t="shared" si="21"/>
        <v>1356</v>
      </c>
      <c r="B1357" t="s">
        <v>78</v>
      </c>
      <c r="C1357">
        <v>323.14999999999998</v>
      </c>
      <c r="D1357">
        <v>810.6</v>
      </c>
      <c r="E1357">
        <v>0</v>
      </c>
      <c r="I1357">
        <v>3.7169999999999998E-3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</row>
    <row r="1358" spans="1:20">
      <c r="A1358">
        <f t="shared" si="21"/>
        <v>1357</v>
      </c>
      <c r="B1358" t="s">
        <v>78</v>
      </c>
      <c r="C1358">
        <v>323.14999999999998</v>
      </c>
      <c r="D1358">
        <v>1013.25</v>
      </c>
      <c r="E1358">
        <v>0</v>
      </c>
      <c r="I1358">
        <v>4.3559999999999996E-3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</row>
    <row r="1359" spans="1:20">
      <c r="A1359">
        <f t="shared" si="21"/>
        <v>1358</v>
      </c>
      <c r="B1359" t="s">
        <v>78</v>
      </c>
      <c r="C1359">
        <v>348.15</v>
      </c>
      <c r="D1359">
        <v>25.33</v>
      </c>
      <c r="E1359">
        <v>0</v>
      </c>
      <c r="I1359">
        <v>1.8100000000000001E-4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</row>
    <row r="1360" spans="1:20">
      <c r="A1360">
        <f t="shared" si="21"/>
        <v>1359</v>
      </c>
      <c r="B1360" t="s">
        <v>78</v>
      </c>
      <c r="C1360">
        <v>348.15</v>
      </c>
      <c r="D1360">
        <v>50.66</v>
      </c>
      <c r="E1360">
        <v>0</v>
      </c>
      <c r="I1360">
        <v>3.5299999999999996E-4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</row>
    <row r="1361" spans="1:20">
      <c r="A1361">
        <f t="shared" si="21"/>
        <v>1360</v>
      </c>
      <c r="B1361" t="s">
        <v>78</v>
      </c>
      <c r="C1361">
        <v>348.15</v>
      </c>
      <c r="D1361">
        <v>101.33</v>
      </c>
      <c r="E1361">
        <v>0</v>
      </c>
      <c r="I1361">
        <v>6.7599999999999995E-4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</row>
    <row r="1362" spans="1:20">
      <c r="A1362">
        <f t="shared" si="21"/>
        <v>1361</v>
      </c>
      <c r="B1362" t="s">
        <v>78</v>
      </c>
      <c r="C1362">
        <v>348.15</v>
      </c>
      <c r="D1362">
        <v>202.65</v>
      </c>
      <c r="E1362">
        <v>0</v>
      </c>
      <c r="I1362">
        <v>1.2360000000000001E-3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</row>
    <row r="1363" spans="1:20">
      <c r="A1363">
        <f t="shared" si="21"/>
        <v>1362</v>
      </c>
      <c r="B1363" t="s">
        <v>78</v>
      </c>
      <c r="C1363">
        <v>348.15</v>
      </c>
      <c r="D1363">
        <v>303.97000000000003</v>
      </c>
      <c r="E1363">
        <v>0</v>
      </c>
      <c r="I1363">
        <v>1.7210000000000001E-3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</row>
    <row r="1364" spans="1:20">
      <c r="A1364">
        <f t="shared" si="21"/>
        <v>1363</v>
      </c>
      <c r="B1364" t="s">
        <v>78</v>
      </c>
      <c r="C1364">
        <v>348.15</v>
      </c>
      <c r="D1364">
        <v>506.62</v>
      </c>
      <c r="E1364">
        <v>0</v>
      </c>
      <c r="I1364">
        <v>2.5540000000000003E-3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</row>
    <row r="1365" spans="1:20">
      <c r="A1365">
        <f t="shared" si="21"/>
        <v>1364</v>
      </c>
      <c r="B1365" t="s">
        <v>78</v>
      </c>
      <c r="C1365">
        <v>348.15</v>
      </c>
      <c r="D1365">
        <v>810.6</v>
      </c>
      <c r="E1365">
        <v>0</v>
      </c>
      <c r="I1365">
        <v>3.604E-3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</row>
    <row r="1366" spans="1:20">
      <c r="A1366">
        <f t="shared" si="21"/>
        <v>1365</v>
      </c>
      <c r="B1366" t="s">
        <v>78</v>
      </c>
      <c r="C1366">
        <v>348.15</v>
      </c>
      <c r="D1366">
        <v>1013.25</v>
      </c>
      <c r="E1366">
        <v>0</v>
      </c>
      <c r="I1366">
        <v>4.2220000000000001E-3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</row>
    <row r="1367" spans="1:20">
      <c r="A1367">
        <f t="shared" si="21"/>
        <v>1366</v>
      </c>
      <c r="B1367" t="s">
        <v>78</v>
      </c>
      <c r="C1367">
        <v>373.15</v>
      </c>
      <c r="D1367">
        <v>25.33</v>
      </c>
      <c r="E1367">
        <v>0</v>
      </c>
      <c r="I1367">
        <v>1.8999999999999998E-4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</row>
    <row r="1368" spans="1:20">
      <c r="A1368">
        <f t="shared" si="21"/>
        <v>1367</v>
      </c>
      <c r="B1368" t="s">
        <v>78</v>
      </c>
      <c r="C1368">
        <v>373.15</v>
      </c>
      <c r="D1368">
        <v>50.66</v>
      </c>
      <c r="E1368">
        <v>0</v>
      </c>
      <c r="I1368">
        <v>3.6900000000000002E-4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</row>
    <row r="1369" spans="1:20">
      <c r="A1369">
        <f t="shared" si="21"/>
        <v>1368</v>
      </c>
      <c r="B1369" t="s">
        <v>78</v>
      </c>
      <c r="C1369">
        <v>373.15</v>
      </c>
      <c r="D1369">
        <v>101.33</v>
      </c>
      <c r="E1369">
        <v>0</v>
      </c>
      <c r="I1369">
        <v>7.0400000000000009E-4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</row>
    <row r="1370" spans="1:20">
      <c r="A1370">
        <f t="shared" si="21"/>
        <v>1369</v>
      </c>
      <c r="B1370" t="s">
        <v>78</v>
      </c>
      <c r="C1370">
        <v>373.15</v>
      </c>
      <c r="D1370">
        <v>202.65</v>
      </c>
      <c r="E1370">
        <v>0</v>
      </c>
      <c r="I1370">
        <v>1.2999999999999999E-3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</row>
    <row r="1371" spans="1:20">
      <c r="A1371">
        <f t="shared" si="21"/>
        <v>1370</v>
      </c>
      <c r="B1371" t="s">
        <v>78</v>
      </c>
      <c r="C1371">
        <v>373.15</v>
      </c>
      <c r="D1371">
        <v>303.97000000000003</v>
      </c>
      <c r="E1371">
        <v>0</v>
      </c>
      <c r="I1371">
        <v>1.8160000000000001E-3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</row>
    <row r="1372" spans="1:20">
      <c r="A1372">
        <f t="shared" si="21"/>
        <v>1371</v>
      </c>
      <c r="B1372" t="s">
        <v>78</v>
      </c>
      <c r="C1372">
        <v>373.15</v>
      </c>
      <c r="D1372">
        <v>506.62</v>
      </c>
      <c r="E1372">
        <v>0</v>
      </c>
      <c r="I1372">
        <v>2.7069999999999998E-3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</row>
    <row r="1373" spans="1:20">
      <c r="A1373">
        <f t="shared" si="21"/>
        <v>1372</v>
      </c>
      <c r="B1373" t="s">
        <v>78</v>
      </c>
      <c r="C1373">
        <v>373.15</v>
      </c>
      <c r="D1373">
        <v>810.6</v>
      </c>
      <c r="E1373">
        <v>0</v>
      </c>
      <c r="I1373">
        <v>3.8190000000000003E-3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</row>
    <row r="1374" spans="1:20">
      <c r="A1374">
        <f t="shared" si="21"/>
        <v>1373</v>
      </c>
      <c r="B1374" t="s">
        <v>78</v>
      </c>
      <c r="C1374">
        <v>373.15</v>
      </c>
      <c r="D1374">
        <v>1013.25</v>
      </c>
      <c r="E1374">
        <v>0</v>
      </c>
      <c r="I1374">
        <v>4.45E-3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</row>
    <row r="1375" spans="1:20">
      <c r="A1375">
        <f t="shared" si="21"/>
        <v>1374</v>
      </c>
      <c r="B1375" t="s">
        <v>79</v>
      </c>
      <c r="C1375">
        <v>338.15</v>
      </c>
      <c r="D1375">
        <v>101.3</v>
      </c>
      <c r="E1375">
        <v>0</v>
      </c>
      <c r="I1375">
        <v>6.9999999999999999E-4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</row>
    <row r="1376" spans="1:20">
      <c r="A1376">
        <f t="shared" si="21"/>
        <v>1375</v>
      </c>
      <c r="B1376" t="s">
        <v>79</v>
      </c>
      <c r="C1376">
        <v>353.15</v>
      </c>
      <c r="D1376">
        <v>101.3</v>
      </c>
      <c r="E1376">
        <v>0</v>
      </c>
      <c r="I1376">
        <v>6.9800000000000005E-4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</row>
    <row r="1377" spans="1:20">
      <c r="A1377">
        <f t="shared" si="21"/>
        <v>1376</v>
      </c>
      <c r="B1377" t="s">
        <v>79</v>
      </c>
      <c r="C1377">
        <v>398.15</v>
      </c>
      <c r="D1377">
        <v>101.3</v>
      </c>
      <c r="E1377">
        <v>0</v>
      </c>
      <c r="I1377">
        <v>8.5499999999999997E-4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</row>
    <row r="1378" spans="1:20">
      <c r="A1378">
        <f t="shared" si="21"/>
        <v>1377</v>
      </c>
      <c r="B1378" t="s">
        <v>79</v>
      </c>
      <c r="C1378">
        <v>453.15</v>
      </c>
      <c r="D1378">
        <v>101.3</v>
      </c>
      <c r="E1378">
        <v>0</v>
      </c>
      <c r="I1378">
        <v>1.173E-3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</row>
    <row r="1379" spans="1:20">
      <c r="A1379">
        <f t="shared" si="21"/>
        <v>1378</v>
      </c>
      <c r="B1379" t="s">
        <v>79</v>
      </c>
      <c r="C1379">
        <v>483.15</v>
      </c>
      <c r="D1379">
        <v>101.3</v>
      </c>
      <c r="E1379">
        <v>0</v>
      </c>
      <c r="I1379">
        <v>1.297E-3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</row>
    <row r="1380" spans="1:20">
      <c r="A1380">
        <f t="shared" si="21"/>
        <v>1379</v>
      </c>
      <c r="B1380" t="s">
        <v>79</v>
      </c>
      <c r="C1380">
        <v>513.15</v>
      </c>
      <c r="D1380">
        <v>101.3</v>
      </c>
      <c r="E1380">
        <v>0</v>
      </c>
      <c r="I1380">
        <v>1.446E-3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</row>
    <row r="1381" spans="1:20">
      <c r="A1381">
        <f t="shared" si="21"/>
        <v>1380</v>
      </c>
      <c r="B1381" t="s">
        <v>79</v>
      </c>
      <c r="C1381">
        <v>323.14999999999998</v>
      </c>
      <c r="D1381">
        <v>202.7</v>
      </c>
      <c r="E1381">
        <v>0</v>
      </c>
      <c r="I1381">
        <v>1.2899999999999999E-3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</row>
    <row r="1382" spans="1:20">
      <c r="A1382">
        <f t="shared" si="21"/>
        <v>1381</v>
      </c>
      <c r="B1382" t="s">
        <v>79</v>
      </c>
      <c r="C1382">
        <v>353.15</v>
      </c>
      <c r="D1382">
        <v>202.7</v>
      </c>
      <c r="E1382">
        <v>0</v>
      </c>
      <c r="I1382">
        <v>1.248E-3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</row>
    <row r="1383" spans="1:20">
      <c r="A1383">
        <f t="shared" si="21"/>
        <v>1382</v>
      </c>
      <c r="B1383" t="s">
        <v>79</v>
      </c>
      <c r="C1383">
        <v>373.15</v>
      </c>
      <c r="D1383">
        <v>202.7</v>
      </c>
      <c r="E1383">
        <v>0</v>
      </c>
      <c r="I1383">
        <v>1.302E-3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</row>
    <row r="1384" spans="1:20">
      <c r="A1384">
        <f t="shared" si="21"/>
        <v>1383</v>
      </c>
      <c r="B1384" t="s">
        <v>79</v>
      </c>
      <c r="C1384">
        <v>423.15</v>
      </c>
      <c r="D1384">
        <v>202.7</v>
      </c>
      <c r="E1384">
        <v>0</v>
      </c>
      <c r="I1384">
        <v>1.5499999999999999E-3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</row>
    <row r="1385" spans="1:20">
      <c r="A1385">
        <f t="shared" si="21"/>
        <v>1384</v>
      </c>
      <c r="B1385" t="s">
        <v>79</v>
      </c>
      <c r="C1385">
        <v>473.15</v>
      </c>
      <c r="D1385">
        <v>202.7</v>
      </c>
      <c r="E1385">
        <v>0</v>
      </c>
      <c r="I1385">
        <v>2.343E-3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</row>
    <row r="1386" spans="1:20">
      <c r="A1386">
        <f t="shared" si="21"/>
        <v>1385</v>
      </c>
      <c r="B1386" t="s">
        <v>79</v>
      </c>
      <c r="C1386">
        <v>513.15</v>
      </c>
      <c r="D1386">
        <v>202.7</v>
      </c>
      <c r="E1386">
        <v>0</v>
      </c>
      <c r="I1386">
        <v>3.1189999999999998E-3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</row>
    <row r="1387" spans="1:20">
      <c r="A1387">
        <f t="shared" si="21"/>
        <v>1386</v>
      </c>
      <c r="B1387" t="s">
        <v>79</v>
      </c>
      <c r="C1387">
        <v>323.14999999999998</v>
      </c>
      <c r="D1387">
        <v>304</v>
      </c>
      <c r="E1387">
        <v>0</v>
      </c>
      <c r="I1387">
        <v>1.8339999999999999E-3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</row>
    <row r="1388" spans="1:20">
      <c r="A1388">
        <f t="shared" si="21"/>
        <v>1387</v>
      </c>
      <c r="B1388" t="s">
        <v>79</v>
      </c>
      <c r="C1388">
        <v>343.15</v>
      </c>
      <c r="D1388">
        <v>304</v>
      </c>
      <c r="E1388">
        <v>0</v>
      </c>
      <c r="I1388">
        <v>1.73E-3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</row>
    <row r="1389" spans="1:20">
      <c r="A1389">
        <f t="shared" si="21"/>
        <v>1388</v>
      </c>
      <c r="B1389" t="s">
        <v>79</v>
      </c>
      <c r="C1389">
        <v>378.15</v>
      </c>
      <c r="D1389">
        <v>304</v>
      </c>
      <c r="E1389">
        <v>0</v>
      </c>
      <c r="I1389">
        <v>1.853E-3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</row>
    <row r="1390" spans="1:20">
      <c r="A1390">
        <f t="shared" si="21"/>
        <v>1389</v>
      </c>
      <c r="B1390" t="s">
        <v>79</v>
      </c>
      <c r="C1390">
        <v>408.15</v>
      </c>
      <c r="D1390">
        <v>304</v>
      </c>
      <c r="E1390">
        <v>0</v>
      </c>
      <c r="I1390">
        <v>2.2300000000000002E-3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</row>
    <row r="1391" spans="1:20">
      <c r="A1391">
        <f t="shared" si="21"/>
        <v>1390</v>
      </c>
      <c r="B1391" t="s">
        <v>79</v>
      </c>
      <c r="C1391">
        <v>438.15</v>
      </c>
      <c r="D1391">
        <v>304</v>
      </c>
      <c r="E1391">
        <v>0</v>
      </c>
      <c r="I1391">
        <v>2.7829999999999999E-3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</row>
    <row r="1392" spans="1:20">
      <c r="A1392">
        <f t="shared" si="21"/>
        <v>1391</v>
      </c>
      <c r="B1392" t="s">
        <v>79</v>
      </c>
      <c r="C1392">
        <v>503.15</v>
      </c>
      <c r="D1392">
        <v>304</v>
      </c>
      <c r="E1392">
        <v>0</v>
      </c>
      <c r="I1392">
        <v>4.313E-3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</row>
    <row r="1393" spans="1:20">
      <c r="A1393">
        <f t="shared" si="21"/>
        <v>1392</v>
      </c>
      <c r="B1393" t="s">
        <v>81</v>
      </c>
      <c r="C1393">
        <v>324.64999999999998</v>
      </c>
      <c r="D1393">
        <v>101.3</v>
      </c>
      <c r="E1393">
        <v>0</v>
      </c>
      <c r="I1393">
        <v>8.0999999999999996E-4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</row>
    <row r="1394" spans="1:20">
      <c r="A1394">
        <f t="shared" si="21"/>
        <v>1393</v>
      </c>
      <c r="B1394" t="s">
        <v>81</v>
      </c>
      <c r="C1394">
        <v>324.64999999999998</v>
      </c>
      <c r="D1394">
        <v>202.6</v>
      </c>
      <c r="E1394">
        <v>0</v>
      </c>
      <c r="I1394">
        <v>1.47E-3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</row>
    <row r="1395" spans="1:20">
      <c r="A1395">
        <f t="shared" si="21"/>
        <v>1394</v>
      </c>
      <c r="B1395" t="s">
        <v>81</v>
      </c>
      <c r="C1395">
        <v>324.64999999999998</v>
      </c>
      <c r="D1395">
        <v>304</v>
      </c>
      <c r="E1395">
        <v>0</v>
      </c>
      <c r="I1395">
        <v>2.0500000000000002E-3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</row>
    <row r="1396" spans="1:20">
      <c r="A1396">
        <f t="shared" si="21"/>
        <v>1395</v>
      </c>
      <c r="B1396" t="s">
        <v>81</v>
      </c>
      <c r="C1396">
        <v>324.64999999999998</v>
      </c>
      <c r="D1396">
        <v>405.3</v>
      </c>
      <c r="E1396">
        <v>0</v>
      </c>
      <c r="I1396">
        <v>2.5400000000000002E-3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</row>
    <row r="1397" spans="1:20">
      <c r="A1397">
        <f t="shared" si="21"/>
        <v>1396</v>
      </c>
      <c r="B1397" t="s">
        <v>81</v>
      </c>
      <c r="C1397">
        <v>324.64999999999998</v>
      </c>
      <c r="D1397">
        <v>506.6</v>
      </c>
      <c r="E1397">
        <v>0</v>
      </c>
      <c r="I1397">
        <v>3.0000000000000001E-3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</row>
    <row r="1398" spans="1:20">
      <c r="A1398">
        <f t="shared" si="21"/>
        <v>1397</v>
      </c>
      <c r="B1398" t="s">
        <v>81</v>
      </c>
      <c r="C1398">
        <v>324.64999999999998</v>
      </c>
      <c r="D1398">
        <v>607.9</v>
      </c>
      <c r="E1398">
        <v>0</v>
      </c>
      <c r="I1398">
        <v>3.4399999999999999E-3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</row>
    <row r="1399" spans="1:20">
      <c r="A1399">
        <f t="shared" si="21"/>
        <v>1398</v>
      </c>
      <c r="B1399" t="s">
        <v>81</v>
      </c>
      <c r="C1399">
        <v>324.64999999999998</v>
      </c>
      <c r="D1399">
        <v>101.3</v>
      </c>
      <c r="E1399">
        <v>1</v>
      </c>
      <c r="I1399">
        <v>5.9999999999999995E-4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</row>
    <row r="1400" spans="1:20">
      <c r="A1400">
        <f t="shared" si="21"/>
        <v>1399</v>
      </c>
      <c r="B1400" t="s">
        <v>81</v>
      </c>
      <c r="C1400">
        <v>324.64999999999998</v>
      </c>
      <c r="D1400">
        <v>202.6</v>
      </c>
      <c r="E1400">
        <v>1</v>
      </c>
      <c r="I1400">
        <v>1.09E-3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</row>
    <row r="1401" spans="1:20">
      <c r="A1401">
        <f t="shared" si="21"/>
        <v>1400</v>
      </c>
      <c r="B1401" t="s">
        <v>81</v>
      </c>
      <c r="C1401">
        <v>324.64999999999998</v>
      </c>
      <c r="D1401">
        <v>304</v>
      </c>
      <c r="E1401">
        <v>1</v>
      </c>
      <c r="I1401">
        <v>1.5199999999999999E-3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</row>
    <row r="1402" spans="1:20">
      <c r="A1402">
        <f t="shared" si="21"/>
        <v>1401</v>
      </c>
      <c r="B1402" t="s">
        <v>81</v>
      </c>
      <c r="C1402">
        <v>324.64999999999998</v>
      </c>
      <c r="D1402">
        <v>405.3</v>
      </c>
      <c r="E1402">
        <v>1</v>
      </c>
      <c r="I1402">
        <v>1.9E-3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</row>
    <row r="1403" spans="1:20">
      <c r="A1403">
        <f t="shared" si="21"/>
        <v>1402</v>
      </c>
      <c r="B1403" t="s">
        <v>81</v>
      </c>
      <c r="C1403">
        <v>324.64999999999998</v>
      </c>
      <c r="D1403">
        <v>506.6</v>
      </c>
      <c r="E1403">
        <v>1</v>
      </c>
      <c r="I1403">
        <v>2.2600000000000003E-3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</row>
    <row r="1404" spans="1:20">
      <c r="A1404">
        <f t="shared" si="21"/>
        <v>1403</v>
      </c>
      <c r="B1404" t="s">
        <v>81</v>
      </c>
      <c r="C1404">
        <v>324.64999999999998</v>
      </c>
      <c r="D1404">
        <v>607.9</v>
      </c>
      <c r="E1404">
        <v>1</v>
      </c>
      <c r="I1404">
        <v>2.5899999999999999E-3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</row>
    <row r="1405" spans="1:20">
      <c r="A1405">
        <f t="shared" si="21"/>
        <v>1404</v>
      </c>
      <c r="B1405" t="s">
        <v>81</v>
      </c>
      <c r="C1405">
        <v>375.65</v>
      </c>
      <c r="D1405">
        <v>102.3</v>
      </c>
      <c r="E1405">
        <v>1</v>
      </c>
      <c r="I1405">
        <v>6.0999999999999997E-4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</row>
    <row r="1406" spans="1:20">
      <c r="A1406">
        <f t="shared" si="21"/>
        <v>1405</v>
      </c>
      <c r="B1406" t="s">
        <v>81</v>
      </c>
      <c r="C1406">
        <v>375.65</v>
      </c>
      <c r="D1406">
        <v>203.7</v>
      </c>
      <c r="E1406">
        <v>1</v>
      </c>
      <c r="I1406">
        <v>1.1300000000000001E-3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</row>
    <row r="1407" spans="1:20">
      <c r="A1407">
        <f t="shared" si="21"/>
        <v>1406</v>
      </c>
      <c r="B1407" t="s">
        <v>81</v>
      </c>
      <c r="C1407">
        <v>375.65</v>
      </c>
      <c r="D1407">
        <v>306</v>
      </c>
      <c r="E1407">
        <v>1</v>
      </c>
      <c r="I1407">
        <v>1.56E-3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</row>
    <row r="1408" spans="1:20">
      <c r="A1408">
        <f t="shared" si="21"/>
        <v>1407</v>
      </c>
      <c r="B1408" t="s">
        <v>81</v>
      </c>
      <c r="C1408">
        <v>375.65</v>
      </c>
      <c r="D1408">
        <v>408.3</v>
      </c>
      <c r="E1408">
        <v>1</v>
      </c>
      <c r="I1408">
        <v>1.9499999999999999E-3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</row>
    <row r="1409" spans="1:20">
      <c r="A1409">
        <f t="shared" si="21"/>
        <v>1408</v>
      </c>
      <c r="B1409" t="s">
        <v>81</v>
      </c>
      <c r="C1409">
        <v>375.65</v>
      </c>
      <c r="D1409">
        <v>509.7</v>
      </c>
      <c r="E1409">
        <v>1</v>
      </c>
      <c r="I1409">
        <v>2.3E-3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</row>
    <row r="1410" spans="1:20">
      <c r="A1410">
        <f t="shared" si="21"/>
        <v>1409</v>
      </c>
      <c r="B1410" t="s">
        <v>81</v>
      </c>
      <c r="C1410">
        <v>375.65</v>
      </c>
      <c r="D1410">
        <v>612</v>
      </c>
      <c r="E1410">
        <v>1</v>
      </c>
      <c r="I1410">
        <v>2.66E-3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</row>
    <row r="1411" spans="1:20">
      <c r="A1411">
        <f t="shared" si="21"/>
        <v>1410</v>
      </c>
      <c r="B1411" t="s">
        <v>84</v>
      </c>
      <c r="C1411">
        <v>298.14999999999998</v>
      </c>
      <c r="D1411">
        <v>25.33</v>
      </c>
      <c r="E1411">
        <v>0</v>
      </c>
      <c r="J1411">
        <v>3.1100000000000002E-4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</row>
    <row r="1412" spans="1:20">
      <c r="A1412">
        <f t="shared" ref="A1412:A1475" si="22">A1411+1</f>
        <v>1411</v>
      </c>
      <c r="B1412" t="s">
        <v>84</v>
      </c>
      <c r="C1412">
        <v>298.14999999999998</v>
      </c>
      <c r="D1412">
        <v>50.66</v>
      </c>
      <c r="E1412">
        <v>0</v>
      </c>
      <c r="J1412">
        <v>6.1899999999999998E-4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</row>
    <row r="1413" spans="1:20">
      <c r="A1413">
        <f t="shared" si="22"/>
        <v>1412</v>
      </c>
      <c r="B1413" t="s">
        <v>84</v>
      </c>
      <c r="C1413">
        <v>298.14999999999998</v>
      </c>
      <c r="D1413">
        <v>101.3</v>
      </c>
      <c r="E1413">
        <v>0</v>
      </c>
      <c r="J1413">
        <v>1.2330000000000002E-3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</row>
    <row r="1414" spans="1:20">
      <c r="A1414">
        <f t="shared" si="22"/>
        <v>1413</v>
      </c>
      <c r="B1414" t="s">
        <v>84</v>
      </c>
      <c r="C1414">
        <v>298.14999999999998</v>
      </c>
      <c r="D1414">
        <v>202.6</v>
      </c>
      <c r="E1414">
        <v>0</v>
      </c>
      <c r="J1414">
        <v>2.4169999999999999E-3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</row>
    <row r="1415" spans="1:20">
      <c r="A1415">
        <f t="shared" si="22"/>
        <v>1414</v>
      </c>
      <c r="B1415" t="s">
        <v>84</v>
      </c>
      <c r="C1415">
        <v>298.14999999999998</v>
      </c>
      <c r="D1415">
        <v>405.3</v>
      </c>
      <c r="E1415">
        <v>0</v>
      </c>
      <c r="J1415">
        <v>4.6730000000000001E-3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</row>
    <row r="1416" spans="1:20">
      <c r="A1416">
        <f t="shared" si="22"/>
        <v>1415</v>
      </c>
      <c r="B1416" t="s">
        <v>84</v>
      </c>
      <c r="C1416">
        <v>298.14999999999998</v>
      </c>
      <c r="D1416">
        <v>607.9</v>
      </c>
      <c r="E1416">
        <v>0</v>
      </c>
      <c r="J1416">
        <v>6.7990000000000004E-3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</row>
    <row r="1417" spans="1:20">
      <c r="A1417">
        <f t="shared" si="22"/>
        <v>1416</v>
      </c>
      <c r="B1417" t="s">
        <v>84</v>
      </c>
      <c r="C1417">
        <v>298.14999999999998</v>
      </c>
      <c r="D1417">
        <v>810.6</v>
      </c>
      <c r="E1417">
        <v>0</v>
      </c>
      <c r="J1417">
        <v>8.8249999999999995E-3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</row>
    <row r="1418" spans="1:20">
      <c r="A1418">
        <f t="shared" si="22"/>
        <v>1417</v>
      </c>
      <c r="B1418" t="s">
        <v>84</v>
      </c>
      <c r="C1418">
        <v>298.14999999999998</v>
      </c>
      <c r="D1418">
        <v>1013.3</v>
      </c>
      <c r="E1418">
        <v>0</v>
      </c>
      <c r="J1418">
        <v>1.0744999999999999E-2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</row>
    <row r="1419" spans="1:20">
      <c r="A1419">
        <f t="shared" si="22"/>
        <v>1418</v>
      </c>
      <c r="B1419" t="s">
        <v>85</v>
      </c>
      <c r="C1419">
        <v>273.14999999999998</v>
      </c>
      <c r="D1419">
        <v>25.33</v>
      </c>
      <c r="E1419">
        <v>0</v>
      </c>
      <c r="J1419">
        <v>3.8299999999999999E-4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</row>
    <row r="1420" spans="1:20">
      <c r="A1420">
        <f t="shared" si="22"/>
        <v>1419</v>
      </c>
      <c r="B1420" t="s">
        <v>85</v>
      </c>
      <c r="C1420">
        <v>273.14999999999998</v>
      </c>
      <c r="D1420">
        <v>50.66</v>
      </c>
      <c r="E1420">
        <v>0</v>
      </c>
      <c r="J1420">
        <v>7.6800000000000002E-4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</row>
    <row r="1421" spans="1:20">
      <c r="A1421">
        <f t="shared" si="22"/>
        <v>1420</v>
      </c>
      <c r="B1421" t="s">
        <v>85</v>
      </c>
      <c r="C1421">
        <v>273.14999999999998</v>
      </c>
      <c r="D1421">
        <v>101.33</v>
      </c>
      <c r="E1421">
        <v>0</v>
      </c>
      <c r="J1421">
        <v>1.5200000000000001E-3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</row>
    <row r="1422" spans="1:20">
      <c r="A1422">
        <f t="shared" si="22"/>
        <v>1421</v>
      </c>
      <c r="B1422" t="s">
        <v>85</v>
      </c>
      <c r="C1422">
        <v>273.14999999999998</v>
      </c>
      <c r="D1422">
        <v>202.65</v>
      </c>
      <c r="E1422">
        <v>0</v>
      </c>
      <c r="J1422">
        <v>2.983E-3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</row>
    <row r="1423" spans="1:20">
      <c r="A1423">
        <f t="shared" si="22"/>
        <v>1422</v>
      </c>
      <c r="B1423" t="s">
        <v>85</v>
      </c>
      <c r="C1423">
        <v>273.14999999999998</v>
      </c>
      <c r="D1423">
        <v>405.3</v>
      </c>
      <c r="E1423">
        <v>0</v>
      </c>
      <c r="J1423">
        <v>5.6899999999999997E-3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</row>
    <row r="1424" spans="1:20">
      <c r="A1424">
        <f t="shared" si="22"/>
        <v>1423</v>
      </c>
      <c r="B1424" t="s">
        <v>85</v>
      </c>
      <c r="C1424">
        <v>273.14999999999998</v>
      </c>
      <c r="D1424">
        <v>607.95000000000005</v>
      </c>
      <c r="E1424">
        <v>0</v>
      </c>
      <c r="J1424">
        <v>8.2389999999999998E-3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</row>
    <row r="1425" spans="1:20">
      <c r="A1425">
        <f t="shared" si="22"/>
        <v>1424</v>
      </c>
      <c r="B1425" t="s">
        <v>85</v>
      </c>
      <c r="C1425">
        <v>273.14999999999998</v>
      </c>
      <c r="D1425">
        <v>810.6</v>
      </c>
      <c r="E1425">
        <v>0</v>
      </c>
      <c r="J1425">
        <v>1.0619E-2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</row>
    <row r="1426" spans="1:20">
      <c r="A1426">
        <f t="shared" si="22"/>
        <v>1425</v>
      </c>
      <c r="B1426" t="s">
        <v>85</v>
      </c>
      <c r="C1426">
        <v>273.14999999999998</v>
      </c>
      <c r="D1426">
        <v>1013.25</v>
      </c>
      <c r="E1426">
        <v>0</v>
      </c>
      <c r="J1426">
        <v>1.2699999999999999E-2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</row>
    <row r="1427" spans="1:20">
      <c r="A1427">
        <f t="shared" si="22"/>
        <v>1426</v>
      </c>
      <c r="B1427" t="s">
        <v>85</v>
      </c>
      <c r="C1427">
        <v>298.14999999999998</v>
      </c>
      <c r="D1427">
        <v>25.33</v>
      </c>
      <c r="E1427">
        <v>0</v>
      </c>
      <c r="J1427">
        <v>3.1100000000000002E-4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</row>
    <row r="1428" spans="1:20">
      <c r="A1428">
        <f t="shared" si="22"/>
        <v>1427</v>
      </c>
      <c r="B1428" t="s">
        <v>85</v>
      </c>
      <c r="C1428">
        <v>298.14999999999998</v>
      </c>
      <c r="D1428">
        <v>50.66</v>
      </c>
      <c r="E1428">
        <v>0</v>
      </c>
      <c r="J1428">
        <v>6.1899999999999998E-4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</row>
    <row r="1429" spans="1:20">
      <c r="A1429">
        <f t="shared" si="22"/>
        <v>1428</v>
      </c>
      <c r="B1429" t="s">
        <v>85</v>
      </c>
      <c r="C1429">
        <v>298.14999999999998</v>
      </c>
      <c r="D1429">
        <v>101.33</v>
      </c>
      <c r="E1429">
        <v>0</v>
      </c>
      <c r="J1429">
        <v>1.2329999999999999E-3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</row>
    <row r="1430" spans="1:20">
      <c r="A1430">
        <f t="shared" si="22"/>
        <v>1429</v>
      </c>
      <c r="B1430" t="s">
        <v>85</v>
      </c>
      <c r="C1430">
        <v>298.14999999999998</v>
      </c>
      <c r="D1430">
        <v>202.65</v>
      </c>
      <c r="E1430">
        <v>0</v>
      </c>
      <c r="J1430">
        <v>2.4169999999999999E-3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</row>
    <row r="1431" spans="1:20">
      <c r="A1431">
        <f t="shared" si="22"/>
        <v>1430</v>
      </c>
      <c r="B1431" t="s">
        <v>85</v>
      </c>
      <c r="C1431">
        <v>298.14999999999998</v>
      </c>
      <c r="D1431">
        <v>405.3</v>
      </c>
      <c r="E1431">
        <v>0</v>
      </c>
      <c r="J1431">
        <v>4.6730000000000001E-3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</row>
    <row r="1432" spans="1:20">
      <c r="A1432">
        <f t="shared" si="22"/>
        <v>1431</v>
      </c>
      <c r="B1432" t="s">
        <v>85</v>
      </c>
      <c r="C1432">
        <v>298.14999999999998</v>
      </c>
      <c r="D1432">
        <v>607.95000000000005</v>
      </c>
      <c r="E1432">
        <v>0</v>
      </c>
      <c r="J1432">
        <v>6.7990000000000004E-3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</row>
    <row r="1433" spans="1:20">
      <c r="A1433">
        <f t="shared" si="22"/>
        <v>1432</v>
      </c>
      <c r="B1433" t="s">
        <v>85</v>
      </c>
      <c r="C1433">
        <v>298.14999999999998</v>
      </c>
      <c r="D1433">
        <v>810.6</v>
      </c>
      <c r="E1433">
        <v>0</v>
      </c>
      <c r="J1433">
        <v>8.8249999999999995E-3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</row>
    <row r="1434" spans="1:20">
      <c r="A1434">
        <f t="shared" si="22"/>
        <v>1433</v>
      </c>
      <c r="B1434" t="s">
        <v>85</v>
      </c>
      <c r="C1434">
        <v>298.14999999999998</v>
      </c>
      <c r="D1434">
        <v>1013.25</v>
      </c>
      <c r="E1434">
        <v>0</v>
      </c>
      <c r="J1434">
        <v>1.0744999999999999E-2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</row>
    <row r="1435" spans="1:20">
      <c r="A1435">
        <f t="shared" si="22"/>
        <v>1434</v>
      </c>
      <c r="B1435" t="s">
        <v>85</v>
      </c>
      <c r="C1435">
        <v>323.14999999999998</v>
      </c>
      <c r="D1435">
        <v>25.33</v>
      </c>
      <c r="E1435">
        <v>0</v>
      </c>
      <c r="J1435">
        <v>2.9E-4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</row>
    <row r="1436" spans="1:20">
      <c r="A1436">
        <f t="shared" si="22"/>
        <v>1435</v>
      </c>
      <c r="B1436" t="s">
        <v>85</v>
      </c>
      <c r="C1436">
        <v>323.14999999999998</v>
      </c>
      <c r="D1436">
        <v>50.66</v>
      </c>
      <c r="E1436">
        <v>0</v>
      </c>
      <c r="J1436">
        <v>5.7799999999999995E-4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</row>
    <row r="1437" spans="1:20">
      <c r="A1437">
        <f t="shared" si="22"/>
        <v>1436</v>
      </c>
      <c r="B1437" t="s">
        <v>85</v>
      </c>
      <c r="C1437">
        <v>323.14999999999998</v>
      </c>
      <c r="D1437">
        <v>101.33</v>
      </c>
      <c r="E1437">
        <v>0</v>
      </c>
      <c r="J1437">
        <v>1.1509999999999999E-3</v>
      </c>
      <c r="N1437">
        <v>0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</row>
    <row r="1438" spans="1:20">
      <c r="A1438">
        <f t="shared" si="22"/>
        <v>1437</v>
      </c>
      <c r="B1438" t="s">
        <v>85</v>
      </c>
      <c r="C1438">
        <v>323.14999999999998</v>
      </c>
      <c r="D1438">
        <v>202.65</v>
      </c>
      <c r="E1438">
        <v>0</v>
      </c>
      <c r="J1438">
        <v>2.2560000000000002E-3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</row>
    <row r="1439" spans="1:20">
      <c r="A1439">
        <f t="shared" si="22"/>
        <v>1438</v>
      </c>
      <c r="B1439" t="s">
        <v>85</v>
      </c>
      <c r="C1439">
        <v>323.14999999999998</v>
      </c>
      <c r="D1439">
        <v>405.3</v>
      </c>
      <c r="E1439">
        <v>0</v>
      </c>
      <c r="J1439">
        <v>4.3870000000000003E-3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</row>
    <row r="1440" spans="1:20">
      <c r="A1440">
        <f t="shared" si="22"/>
        <v>1439</v>
      </c>
      <c r="B1440" t="s">
        <v>85</v>
      </c>
      <c r="C1440">
        <v>323.14999999999998</v>
      </c>
      <c r="D1440">
        <v>607.95000000000005</v>
      </c>
      <c r="E1440">
        <v>0</v>
      </c>
      <c r="J1440">
        <v>6.4019999999999997E-3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</row>
    <row r="1441" spans="1:20">
      <c r="A1441">
        <f t="shared" si="22"/>
        <v>1440</v>
      </c>
      <c r="B1441" t="s">
        <v>85</v>
      </c>
      <c r="C1441">
        <v>323.14999999999998</v>
      </c>
      <c r="D1441">
        <v>810.6</v>
      </c>
      <c r="E1441">
        <v>0</v>
      </c>
      <c r="J1441">
        <v>8.3160000000000005E-3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</row>
    <row r="1442" spans="1:20">
      <c r="A1442">
        <f t="shared" si="22"/>
        <v>1441</v>
      </c>
      <c r="B1442" t="s">
        <v>85</v>
      </c>
      <c r="C1442">
        <v>323.14999999999998</v>
      </c>
      <c r="D1442">
        <v>1013.25</v>
      </c>
      <c r="E1442">
        <v>0</v>
      </c>
      <c r="J1442">
        <v>1.0187999999999999E-2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</row>
    <row r="1443" spans="1:20">
      <c r="A1443">
        <f t="shared" si="22"/>
        <v>1442</v>
      </c>
      <c r="B1443" t="s">
        <v>85</v>
      </c>
      <c r="C1443">
        <v>348.15</v>
      </c>
      <c r="D1443">
        <v>25.33</v>
      </c>
      <c r="E1443">
        <v>0</v>
      </c>
      <c r="J1443">
        <v>2.9500000000000001E-4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</row>
    <row r="1444" spans="1:20">
      <c r="A1444">
        <f t="shared" si="22"/>
        <v>1443</v>
      </c>
      <c r="B1444" t="s">
        <v>85</v>
      </c>
      <c r="C1444">
        <v>348.15</v>
      </c>
      <c r="D1444">
        <v>50.66</v>
      </c>
      <c r="E1444">
        <v>0</v>
      </c>
      <c r="J1444">
        <v>5.9000000000000003E-4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</row>
    <row r="1445" spans="1:20">
      <c r="A1445">
        <f t="shared" si="22"/>
        <v>1444</v>
      </c>
      <c r="B1445" t="s">
        <v>85</v>
      </c>
      <c r="C1445">
        <v>348.15</v>
      </c>
      <c r="D1445">
        <v>101.32</v>
      </c>
      <c r="E1445">
        <v>0</v>
      </c>
      <c r="J1445">
        <v>1.173E-3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</row>
    <row r="1446" spans="1:20">
      <c r="A1446">
        <f t="shared" si="22"/>
        <v>1445</v>
      </c>
      <c r="B1446" t="s">
        <v>85</v>
      </c>
      <c r="C1446">
        <v>348.15</v>
      </c>
      <c r="D1446">
        <v>202.65</v>
      </c>
      <c r="E1446">
        <v>0</v>
      </c>
      <c r="J1446">
        <v>2.31E-3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</row>
    <row r="1447" spans="1:20">
      <c r="A1447">
        <f t="shared" si="22"/>
        <v>1446</v>
      </c>
      <c r="B1447" t="s">
        <v>85</v>
      </c>
      <c r="C1447">
        <v>348.15</v>
      </c>
      <c r="D1447">
        <v>405.3</v>
      </c>
      <c r="E1447">
        <v>0</v>
      </c>
      <c r="J1447">
        <v>4.4869999999999997E-3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</row>
    <row r="1448" spans="1:20">
      <c r="A1448">
        <f t="shared" si="22"/>
        <v>1447</v>
      </c>
      <c r="B1448" t="s">
        <v>85</v>
      </c>
      <c r="C1448">
        <v>348.15</v>
      </c>
      <c r="D1448">
        <v>607.95000000000005</v>
      </c>
      <c r="E1448">
        <v>0</v>
      </c>
      <c r="J1448">
        <v>6.5449999999999996E-3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</row>
    <row r="1449" spans="1:20">
      <c r="A1449">
        <f t="shared" si="22"/>
        <v>1448</v>
      </c>
      <c r="B1449" t="s">
        <v>85</v>
      </c>
      <c r="C1449">
        <v>348.15</v>
      </c>
      <c r="D1449">
        <v>810.6</v>
      </c>
      <c r="E1449">
        <v>0</v>
      </c>
      <c r="J1449">
        <v>8.5039999999999994E-3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</row>
    <row r="1450" spans="1:20">
      <c r="A1450">
        <f t="shared" si="22"/>
        <v>1449</v>
      </c>
      <c r="B1450" t="s">
        <v>85</v>
      </c>
      <c r="C1450">
        <v>348.15</v>
      </c>
      <c r="D1450">
        <v>1013.25</v>
      </c>
      <c r="E1450">
        <v>0</v>
      </c>
      <c r="J1450">
        <v>1.0385E-2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</row>
    <row r="1451" spans="1:20">
      <c r="A1451">
        <f t="shared" si="22"/>
        <v>1450</v>
      </c>
      <c r="B1451" t="s">
        <v>85</v>
      </c>
      <c r="C1451">
        <v>373.15</v>
      </c>
      <c r="D1451">
        <v>25.33</v>
      </c>
      <c r="E1451">
        <v>0</v>
      </c>
      <c r="J1451">
        <v>3.3E-4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</row>
    <row r="1452" spans="1:20">
      <c r="A1452">
        <f t="shared" si="22"/>
        <v>1451</v>
      </c>
      <c r="B1452" t="s">
        <v>85</v>
      </c>
      <c r="C1452">
        <v>373.15</v>
      </c>
      <c r="D1452">
        <v>50.66</v>
      </c>
      <c r="E1452">
        <v>0</v>
      </c>
      <c r="J1452">
        <v>6.5099999999999999E-4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</row>
    <row r="1453" spans="1:20">
      <c r="A1453">
        <f t="shared" si="22"/>
        <v>1452</v>
      </c>
      <c r="B1453" t="s">
        <v>85</v>
      </c>
      <c r="C1453">
        <v>373.15</v>
      </c>
      <c r="D1453">
        <v>101.32</v>
      </c>
      <c r="E1453">
        <v>0</v>
      </c>
      <c r="J1453">
        <v>1.2880000000000001E-3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</row>
    <row r="1454" spans="1:20">
      <c r="A1454">
        <f t="shared" si="22"/>
        <v>1453</v>
      </c>
      <c r="B1454" t="s">
        <v>85</v>
      </c>
      <c r="C1454">
        <v>373.15</v>
      </c>
      <c r="D1454">
        <v>202.65</v>
      </c>
      <c r="E1454">
        <v>0</v>
      </c>
      <c r="J1454">
        <v>2.526E-3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</row>
    <row r="1455" spans="1:20">
      <c r="A1455">
        <f t="shared" si="22"/>
        <v>1454</v>
      </c>
      <c r="B1455" t="s">
        <v>85</v>
      </c>
      <c r="C1455">
        <v>373.15</v>
      </c>
      <c r="D1455">
        <v>405.3</v>
      </c>
      <c r="E1455">
        <v>0</v>
      </c>
      <c r="J1455">
        <v>4.8650000000000004E-3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</row>
    <row r="1456" spans="1:20">
      <c r="A1456">
        <f t="shared" si="22"/>
        <v>1455</v>
      </c>
      <c r="B1456" t="s">
        <v>85</v>
      </c>
      <c r="C1456">
        <v>373.15</v>
      </c>
      <c r="D1456">
        <v>607.95000000000005</v>
      </c>
      <c r="E1456">
        <v>0</v>
      </c>
      <c r="J1456">
        <v>7.0910000000000001E-3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</row>
    <row r="1457" spans="1:20">
      <c r="A1457">
        <f t="shared" si="22"/>
        <v>1456</v>
      </c>
      <c r="B1457" t="s">
        <v>85</v>
      </c>
      <c r="C1457">
        <v>373.15</v>
      </c>
      <c r="D1457">
        <v>810.6</v>
      </c>
      <c r="E1457">
        <v>0</v>
      </c>
      <c r="J1457">
        <v>9.1900000000000003E-3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</row>
    <row r="1458" spans="1:20">
      <c r="A1458">
        <f t="shared" si="22"/>
        <v>1457</v>
      </c>
      <c r="B1458" t="s">
        <v>85</v>
      </c>
      <c r="C1458">
        <v>373.15</v>
      </c>
      <c r="D1458">
        <v>1013.25</v>
      </c>
      <c r="E1458">
        <v>0</v>
      </c>
      <c r="J1458">
        <v>1.1147000000000001E-2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</row>
    <row r="1459" spans="1:20">
      <c r="A1459">
        <f t="shared" si="22"/>
        <v>1458</v>
      </c>
      <c r="B1459" t="s">
        <v>86</v>
      </c>
      <c r="C1459">
        <v>299.8</v>
      </c>
      <c r="D1459">
        <v>34.47</v>
      </c>
      <c r="E1459">
        <v>0</v>
      </c>
      <c r="J1459">
        <v>4.3607532210109023E-4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</row>
    <row r="1460" spans="1:20">
      <c r="A1460">
        <f t="shared" si="22"/>
        <v>1459</v>
      </c>
      <c r="B1460" t="s">
        <v>86</v>
      </c>
      <c r="C1460">
        <v>324.3</v>
      </c>
      <c r="D1460">
        <v>34.47</v>
      </c>
      <c r="E1460">
        <v>0</v>
      </c>
      <c r="J1460">
        <v>5.5493895671476128E-4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</row>
    <row r="1461" spans="1:20">
      <c r="A1461">
        <f t="shared" si="22"/>
        <v>1460</v>
      </c>
      <c r="B1461" t="s">
        <v>86</v>
      </c>
      <c r="C1461">
        <v>366.5</v>
      </c>
      <c r="D1461">
        <v>34.47</v>
      </c>
      <c r="E1461">
        <v>0</v>
      </c>
      <c r="J1461">
        <v>4.5192544023087838E-4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</row>
    <row r="1462" spans="1:20">
      <c r="A1462">
        <f t="shared" si="22"/>
        <v>1461</v>
      </c>
      <c r="B1462" t="s">
        <v>86</v>
      </c>
      <c r="C1462">
        <v>422</v>
      </c>
      <c r="D1462">
        <v>34.47</v>
      </c>
      <c r="E1462">
        <v>0</v>
      </c>
      <c r="J1462">
        <v>4.6777505569694518E-4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</row>
    <row r="1463" spans="1:20">
      <c r="A1463">
        <f t="shared" si="22"/>
        <v>1462</v>
      </c>
      <c r="B1463" t="s">
        <v>86</v>
      </c>
      <c r="C1463">
        <v>449.8</v>
      </c>
      <c r="D1463">
        <v>34.47</v>
      </c>
      <c r="E1463">
        <v>0</v>
      </c>
      <c r="J1463">
        <v>4.5985031079538247E-4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</row>
    <row r="1464" spans="1:20">
      <c r="A1464">
        <f t="shared" si="22"/>
        <v>1463</v>
      </c>
      <c r="B1464" t="s">
        <v>86</v>
      </c>
      <c r="C1464">
        <v>477.6</v>
      </c>
      <c r="D1464">
        <v>34.47</v>
      </c>
      <c r="E1464">
        <v>0</v>
      </c>
      <c r="J1464">
        <v>3.964478274659055E-4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</row>
    <row r="1465" spans="1:20">
      <c r="A1465">
        <f t="shared" si="22"/>
        <v>1464</v>
      </c>
      <c r="B1465" t="s">
        <v>86</v>
      </c>
      <c r="C1465">
        <v>273.14999999999998</v>
      </c>
      <c r="D1465">
        <v>68.95</v>
      </c>
      <c r="E1465">
        <v>0</v>
      </c>
      <c r="J1465">
        <v>6.7139789480693147E-4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</row>
    <row r="1466" spans="1:20">
      <c r="A1466">
        <f t="shared" si="22"/>
        <v>1465</v>
      </c>
      <c r="B1466" t="s">
        <v>86</v>
      </c>
      <c r="C1466">
        <v>297.60000000000002</v>
      </c>
      <c r="D1466">
        <v>68.95</v>
      </c>
      <c r="E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</row>
    <row r="1467" spans="1:20">
      <c r="A1467">
        <f t="shared" si="22"/>
        <v>1466</v>
      </c>
      <c r="B1467" t="s">
        <v>86</v>
      </c>
      <c r="C1467">
        <v>298.14999999999998</v>
      </c>
      <c r="D1467">
        <v>68.95</v>
      </c>
      <c r="E1467">
        <v>0</v>
      </c>
      <c r="J1467">
        <v>9.4857187234774324E-4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</row>
    <row r="1468" spans="1:20">
      <c r="A1468">
        <f t="shared" si="22"/>
        <v>1467</v>
      </c>
      <c r="B1468" t="s">
        <v>86</v>
      </c>
      <c r="C1468">
        <v>298.7</v>
      </c>
      <c r="D1468">
        <v>68.95</v>
      </c>
      <c r="E1468">
        <v>0</v>
      </c>
      <c r="F1468">
        <v>6.7000000000000002E-3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</row>
    <row r="1469" spans="1:20">
      <c r="A1469">
        <f t="shared" si="22"/>
        <v>1468</v>
      </c>
      <c r="B1469" t="s">
        <v>86</v>
      </c>
      <c r="C1469">
        <v>312.60000000000002</v>
      </c>
      <c r="D1469">
        <v>68.95</v>
      </c>
      <c r="E1469">
        <v>0</v>
      </c>
      <c r="J1469">
        <v>9.2719535292859001E-4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</row>
    <row r="1470" spans="1:20">
      <c r="A1470">
        <f t="shared" si="22"/>
        <v>1469</v>
      </c>
      <c r="B1470" t="s">
        <v>86</v>
      </c>
      <c r="C1470">
        <v>317.60000000000002</v>
      </c>
      <c r="D1470">
        <v>68.95</v>
      </c>
      <c r="E1470">
        <v>0</v>
      </c>
      <c r="J1470">
        <v>8.6781133226871234E-4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</row>
    <row r="1471" spans="1:20">
      <c r="A1471">
        <f t="shared" si="22"/>
        <v>1470</v>
      </c>
      <c r="B1471" t="s">
        <v>86</v>
      </c>
      <c r="C1471">
        <v>334.8</v>
      </c>
      <c r="D1471">
        <v>68.95</v>
      </c>
      <c r="E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</row>
    <row r="1472" spans="1:20">
      <c r="A1472">
        <f t="shared" si="22"/>
        <v>1471</v>
      </c>
      <c r="B1472" t="s">
        <v>86</v>
      </c>
      <c r="C1472">
        <v>335.9</v>
      </c>
      <c r="D1472">
        <v>68.95</v>
      </c>
      <c r="E1472">
        <v>0</v>
      </c>
      <c r="F1472">
        <v>1.4500000000000001E-2</v>
      </c>
      <c r="J1472">
        <v>7.5377422123867844E-4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</row>
    <row r="1473" spans="1:20">
      <c r="A1473">
        <f t="shared" si="22"/>
        <v>1472</v>
      </c>
      <c r="B1473" t="s">
        <v>86</v>
      </c>
      <c r="C1473">
        <v>341.5</v>
      </c>
      <c r="D1473">
        <v>68.95</v>
      </c>
      <c r="E1473">
        <v>0</v>
      </c>
      <c r="F1473">
        <v>1.34E-2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</row>
    <row r="1474" spans="1:20">
      <c r="A1474">
        <f t="shared" si="22"/>
        <v>1473</v>
      </c>
      <c r="B1474" t="s">
        <v>86</v>
      </c>
      <c r="C1474">
        <v>362</v>
      </c>
      <c r="D1474">
        <v>68.95</v>
      </c>
      <c r="E1474">
        <v>0</v>
      </c>
      <c r="F1474">
        <v>2.1999999999999999E-2</v>
      </c>
      <c r="J1474">
        <v>8.7968870115152052E-4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</row>
    <row r="1475" spans="1:20">
      <c r="A1475">
        <f t="shared" si="22"/>
        <v>1474</v>
      </c>
      <c r="B1475" t="s">
        <v>86</v>
      </c>
      <c r="C1475">
        <v>391.5</v>
      </c>
      <c r="D1475">
        <v>68.95</v>
      </c>
      <c r="E1475">
        <v>0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</row>
    <row r="1476" spans="1:20">
      <c r="A1476">
        <f t="shared" ref="A1476:A1539" si="23">A1475+1</f>
        <v>1475</v>
      </c>
      <c r="B1476" t="s">
        <v>86</v>
      </c>
      <c r="C1476">
        <v>392</v>
      </c>
      <c r="D1476">
        <v>68.95</v>
      </c>
      <c r="E1476">
        <v>0</v>
      </c>
      <c r="F1476">
        <v>3.1E-2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</row>
    <row r="1477" spans="1:20">
      <c r="A1477">
        <f t="shared" si="23"/>
        <v>1476</v>
      </c>
      <c r="B1477" t="s">
        <v>86</v>
      </c>
      <c r="C1477">
        <v>393.15</v>
      </c>
      <c r="D1477">
        <v>68.95</v>
      </c>
      <c r="E1477">
        <v>0</v>
      </c>
      <c r="J1477">
        <v>1.0301109350237718E-3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</row>
    <row r="1478" spans="1:20">
      <c r="A1478">
        <f t="shared" si="23"/>
        <v>1477</v>
      </c>
      <c r="B1478" t="s">
        <v>86</v>
      </c>
      <c r="C1478">
        <v>420.4</v>
      </c>
      <c r="D1478">
        <v>68.95</v>
      </c>
      <c r="E1478">
        <v>0</v>
      </c>
      <c r="J1478">
        <v>1.2991745488537159E-3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</row>
    <row r="1479" spans="1:20">
      <c r="A1479">
        <f t="shared" si="23"/>
        <v>1478</v>
      </c>
      <c r="B1479" t="s">
        <v>86</v>
      </c>
      <c r="C1479">
        <v>420.9</v>
      </c>
      <c r="D1479">
        <v>68.95</v>
      </c>
      <c r="E1479">
        <v>0</v>
      </c>
      <c r="F1479">
        <v>6.7000000000000004E-2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</row>
    <row r="1480" spans="1:20">
      <c r="A1480">
        <f t="shared" si="23"/>
        <v>1479</v>
      </c>
      <c r="B1480" t="s">
        <v>86</v>
      </c>
      <c r="C1480">
        <v>423.15</v>
      </c>
      <c r="D1480">
        <v>68.95</v>
      </c>
      <c r="E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</row>
    <row r="1481" spans="1:20">
      <c r="A1481">
        <f t="shared" si="23"/>
        <v>1480</v>
      </c>
      <c r="B1481" t="s">
        <v>86</v>
      </c>
      <c r="C1481">
        <v>452.6</v>
      </c>
      <c r="D1481">
        <v>68.95</v>
      </c>
      <c r="E1481">
        <v>0</v>
      </c>
      <c r="J1481">
        <v>1.5048313004910499E-3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</row>
    <row r="1482" spans="1:20">
      <c r="A1482">
        <f t="shared" si="23"/>
        <v>1481</v>
      </c>
      <c r="B1482" t="s">
        <v>86</v>
      </c>
      <c r="C1482">
        <v>454.8</v>
      </c>
      <c r="D1482">
        <v>68.95</v>
      </c>
      <c r="E1482">
        <v>0</v>
      </c>
      <c r="F1482">
        <v>0.15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</row>
    <row r="1483" spans="1:20">
      <c r="A1483">
        <f t="shared" si="23"/>
        <v>1482</v>
      </c>
      <c r="B1483" t="s">
        <v>86</v>
      </c>
      <c r="C1483">
        <v>477.6</v>
      </c>
      <c r="D1483">
        <v>68.95</v>
      </c>
      <c r="E1483">
        <v>0</v>
      </c>
      <c r="F1483">
        <v>0.26300000000000001</v>
      </c>
      <c r="J1483">
        <v>1.6629711751662973E-3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</row>
    <row r="1484" spans="1:20">
      <c r="A1484">
        <f t="shared" si="23"/>
        <v>1483</v>
      </c>
      <c r="B1484" t="s">
        <v>86</v>
      </c>
      <c r="C1484">
        <v>298.14999999999998</v>
      </c>
      <c r="D1484">
        <v>103.42</v>
      </c>
      <c r="E1484">
        <v>0</v>
      </c>
      <c r="J1484">
        <v>1.4415613218008428E-3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</row>
    <row r="1485" spans="1:20">
      <c r="A1485">
        <f t="shared" si="23"/>
        <v>1484</v>
      </c>
      <c r="B1485" t="s">
        <v>86</v>
      </c>
      <c r="C1485">
        <v>324.8</v>
      </c>
      <c r="D1485">
        <v>103.42</v>
      </c>
      <c r="E1485">
        <v>0</v>
      </c>
      <c r="J1485">
        <v>1.3466413181242077E-3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</row>
    <row r="1486" spans="1:20">
      <c r="A1486">
        <f t="shared" si="23"/>
        <v>1485</v>
      </c>
      <c r="B1486" t="s">
        <v>86</v>
      </c>
      <c r="C1486">
        <v>341.5</v>
      </c>
      <c r="D1486">
        <v>103.42</v>
      </c>
      <c r="E1486">
        <v>0</v>
      </c>
      <c r="J1486">
        <v>1.3466413181242077E-3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</row>
    <row r="1487" spans="1:20">
      <c r="A1487">
        <f t="shared" si="23"/>
        <v>1486</v>
      </c>
      <c r="B1487" t="s">
        <v>86</v>
      </c>
      <c r="C1487">
        <v>391.5</v>
      </c>
      <c r="D1487">
        <v>103.42</v>
      </c>
      <c r="E1487">
        <v>0</v>
      </c>
      <c r="J1487">
        <v>1.7183082977661991E-3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</row>
    <row r="1488" spans="1:20">
      <c r="A1488">
        <f t="shared" si="23"/>
        <v>1487</v>
      </c>
      <c r="B1488" t="s">
        <v>86</v>
      </c>
      <c r="C1488">
        <v>483.15</v>
      </c>
      <c r="D1488">
        <v>103.42</v>
      </c>
      <c r="E1488">
        <v>0</v>
      </c>
      <c r="J1488">
        <v>2.6975500549793925E-3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</row>
    <row r="1489" spans="1:20">
      <c r="A1489">
        <f t="shared" si="23"/>
        <v>1488</v>
      </c>
      <c r="B1489" t="s">
        <v>86</v>
      </c>
      <c r="C1489">
        <v>273.14999999999998</v>
      </c>
      <c r="D1489">
        <v>137.88999999999999</v>
      </c>
      <c r="E1489">
        <v>0</v>
      </c>
      <c r="J1489">
        <v>7.7753409934840892E-4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</row>
    <row r="1490" spans="1:20">
      <c r="A1490">
        <f t="shared" si="23"/>
        <v>1489</v>
      </c>
      <c r="B1490" t="s">
        <v>86</v>
      </c>
      <c r="C1490">
        <v>302.60000000000002</v>
      </c>
      <c r="D1490">
        <v>137.88999999999999</v>
      </c>
      <c r="E1490">
        <v>0</v>
      </c>
      <c r="J1490">
        <v>1.8526729161388396E-3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</row>
    <row r="1491" spans="1:20">
      <c r="A1491">
        <f t="shared" si="23"/>
        <v>1490</v>
      </c>
      <c r="B1491" t="s">
        <v>86</v>
      </c>
      <c r="C1491">
        <v>324.8</v>
      </c>
      <c r="D1491">
        <v>137.88999999999999</v>
      </c>
      <c r="E1491">
        <v>0</v>
      </c>
      <c r="J1491">
        <v>2.4923843810578782E-3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</row>
    <row r="1492" spans="1:20">
      <c r="A1492">
        <f t="shared" si="23"/>
        <v>1491</v>
      </c>
      <c r="B1492" t="s">
        <v>86</v>
      </c>
      <c r="C1492">
        <v>366.5</v>
      </c>
      <c r="D1492">
        <v>137.88999999999999</v>
      </c>
      <c r="E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</row>
    <row r="1493" spans="1:20">
      <c r="A1493">
        <f t="shared" si="23"/>
        <v>1492</v>
      </c>
      <c r="B1493" t="s">
        <v>86</v>
      </c>
      <c r="C1493">
        <v>367</v>
      </c>
      <c r="D1493">
        <v>137.88999999999999</v>
      </c>
      <c r="E1493">
        <v>0</v>
      </c>
      <c r="J1493">
        <v>2.4292394976934092E-3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</row>
    <row r="1494" spans="1:20">
      <c r="A1494">
        <f t="shared" si="23"/>
        <v>1493</v>
      </c>
      <c r="B1494" t="s">
        <v>86</v>
      </c>
      <c r="C1494">
        <v>367.6</v>
      </c>
      <c r="D1494">
        <v>137.88999999999999</v>
      </c>
      <c r="E1494">
        <v>0</v>
      </c>
      <c r="F1494">
        <v>6.4999999999999997E-3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</row>
    <row r="1495" spans="1:20">
      <c r="A1495">
        <f t="shared" si="23"/>
        <v>1494</v>
      </c>
      <c r="B1495" t="s">
        <v>86</v>
      </c>
      <c r="C1495">
        <v>395.4</v>
      </c>
      <c r="D1495">
        <v>137.88999999999999</v>
      </c>
      <c r="E1495">
        <v>0</v>
      </c>
      <c r="J1495">
        <v>2.3266120097496122E-3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</row>
    <row r="1496" spans="1:20">
      <c r="A1496">
        <f t="shared" si="23"/>
        <v>1495</v>
      </c>
      <c r="B1496" t="s">
        <v>86</v>
      </c>
      <c r="C1496">
        <v>396.5</v>
      </c>
      <c r="D1496">
        <v>137.88999999999999</v>
      </c>
      <c r="E1496">
        <v>0</v>
      </c>
      <c r="F1496">
        <v>1.89E-2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</row>
    <row r="1497" spans="1:20">
      <c r="A1497">
        <f t="shared" si="23"/>
        <v>1496</v>
      </c>
      <c r="B1497" t="s">
        <v>86</v>
      </c>
      <c r="C1497">
        <v>422</v>
      </c>
      <c r="D1497">
        <v>137.88999999999999</v>
      </c>
      <c r="E1497">
        <v>0</v>
      </c>
      <c r="F1497">
        <v>0.04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</row>
    <row r="1498" spans="1:20">
      <c r="A1498">
        <f t="shared" si="23"/>
        <v>1497</v>
      </c>
      <c r="B1498" t="s">
        <v>86</v>
      </c>
      <c r="C1498">
        <v>423.15</v>
      </c>
      <c r="D1498">
        <v>137.88999999999999</v>
      </c>
      <c r="E1498">
        <v>0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</row>
    <row r="1499" spans="1:20">
      <c r="A1499">
        <f t="shared" si="23"/>
        <v>1498</v>
      </c>
      <c r="B1499" t="s">
        <v>86</v>
      </c>
      <c r="C1499">
        <v>424.8</v>
      </c>
      <c r="D1499">
        <v>137.88999999999999</v>
      </c>
      <c r="E1499">
        <v>0</v>
      </c>
      <c r="J1499">
        <v>2.6423214455238756E-3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</row>
    <row r="1500" spans="1:20">
      <c r="A1500">
        <f t="shared" si="23"/>
        <v>1499</v>
      </c>
      <c r="B1500" t="s">
        <v>86</v>
      </c>
      <c r="C1500">
        <v>477.6</v>
      </c>
      <c r="D1500">
        <v>137.88999999999999</v>
      </c>
      <c r="E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</row>
    <row r="1501" spans="1:20">
      <c r="A1501">
        <f t="shared" si="23"/>
        <v>1500</v>
      </c>
      <c r="B1501" t="s">
        <v>86</v>
      </c>
      <c r="C1501">
        <v>478.15</v>
      </c>
      <c r="D1501">
        <v>137.88999999999999</v>
      </c>
      <c r="E1501">
        <v>0</v>
      </c>
      <c r="F1501">
        <v>0.13100000000000001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</row>
    <row r="1502" spans="1:20">
      <c r="A1502">
        <f t="shared" si="23"/>
        <v>1501</v>
      </c>
      <c r="B1502" t="s">
        <v>86</v>
      </c>
      <c r="C1502">
        <v>478.7</v>
      </c>
      <c r="D1502">
        <v>137.88999999999999</v>
      </c>
      <c r="E1502">
        <v>0</v>
      </c>
      <c r="F1502">
        <v>0.14399999999999999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</row>
    <row r="1503" spans="1:20">
      <c r="A1503">
        <f t="shared" si="23"/>
        <v>1502</v>
      </c>
      <c r="B1503" t="s">
        <v>86</v>
      </c>
      <c r="C1503">
        <v>479.3</v>
      </c>
      <c r="D1503">
        <v>137.88999999999999</v>
      </c>
      <c r="E1503">
        <v>0</v>
      </c>
      <c r="J1503">
        <v>3.7063672069480554E-3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</row>
    <row r="1504" spans="1:20">
      <c r="A1504">
        <f t="shared" si="23"/>
        <v>1503</v>
      </c>
      <c r="B1504" t="s">
        <v>86</v>
      </c>
      <c r="C1504">
        <v>273.14999999999998</v>
      </c>
      <c r="D1504">
        <v>206.84</v>
      </c>
      <c r="E1504">
        <v>0</v>
      </c>
      <c r="J1504">
        <v>1.2150000000000002E-3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</row>
    <row r="1505" spans="1:20">
      <c r="A1505">
        <f t="shared" si="23"/>
        <v>1504</v>
      </c>
      <c r="B1505" t="s">
        <v>86</v>
      </c>
      <c r="C1505">
        <v>304.8</v>
      </c>
      <c r="D1505">
        <v>206.84</v>
      </c>
      <c r="E1505">
        <v>0</v>
      </c>
      <c r="J1505">
        <v>3.3999999999999998E-3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</row>
    <row r="1506" spans="1:20">
      <c r="A1506">
        <f t="shared" si="23"/>
        <v>1505</v>
      </c>
      <c r="B1506" t="s">
        <v>86</v>
      </c>
      <c r="C1506">
        <v>319.3</v>
      </c>
      <c r="D1506">
        <v>206.84</v>
      </c>
      <c r="E1506">
        <v>0</v>
      </c>
      <c r="J1506">
        <v>3.3900000000000002E-3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</row>
    <row r="1507" spans="1:20">
      <c r="A1507">
        <f t="shared" si="23"/>
        <v>1506</v>
      </c>
      <c r="B1507" t="s">
        <v>86</v>
      </c>
      <c r="C1507">
        <v>326.5</v>
      </c>
      <c r="D1507">
        <v>206.84</v>
      </c>
      <c r="E1507">
        <v>0</v>
      </c>
      <c r="J1507">
        <v>3.3799999999999998E-3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</row>
    <row r="1508" spans="1:20">
      <c r="A1508">
        <f t="shared" si="23"/>
        <v>1507</v>
      </c>
      <c r="B1508" t="s">
        <v>86</v>
      </c>
      <c r="C1508">
        <v>334.3</v>
      </c>
      <c r="D1508">
        <v>206.84</v>
      </c>
      <c r="E1508">
        <v>0</v>
      </c>
      <c r="J1508">
        <v>3.4500000000000004E-3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</row>
    <row r="1509" spans="1:20">
      <c r="A1509">
        <f t="shared" si="23"/>
        <v>1508</v>
      </c>
      <c r="B1509" t="s">
        <v>86</v>
      </c>
      <c r="C1509">
        <v>339.3</v>
      </c>
      <c r="D1509">
        <v>206.84</v>
      </c>
      <c r="E1509">
        <v>0</v>
      </c>
      <c r="J1509">
        <v>3.4199999999999999E-3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</row>
    <row r="1510" spans="1:20">
      <c r="A1510">
        <f t="shared" si="23"/>
        <v>1509</v>
      </c>
      <c r="B1510" t="s">
        <v>86</v>
      </c>
      <c r="C1510">
        <v>367</v>
      </c>
      <c r="D1510">
        <v>206.84</v>
      </c>
      <c r="E1510">
        <v>0</v>
      </c>
      <c r="J1510">
        <v>3.8599999999999997E-3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</row>
    <row r="1511" spans="1:20">
      <c r="A1511">
        <f t="shared" si="23"/>
        <v>1510</v>
      </c>
      <c r="B1511" t="s">
        <v>86</v>
      </c>
      <c r="C1511">
        <v>387.6</v>
      </c>
      <c r="D1511">
        <v>206.84</v>
      </c>
      <c r="E1511">
        <v>0</v>
      </c>
      <c r="J1511">
        <v>4.28E-3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</row>
    <row r="1512" spans="1:20">
      <c r="A1512">
        <f t="shared" si="23"/>
        <v>1511</v>
      </c>
      <c r="B1512" t="s">
        <v>86</v>
      </c>
      <c r="C1512">
        <v>424.8</v>
      </c>
      <c r="D1512">
        <v>206.84</v>
      </c>
      <c r="E1512">
        <v>0</v>
      </c>
      <c r="J1512">
        <v>5.1799999999999997E-3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</row>
    <row r="1513" spans="1:20">
      <c r="A1513">
        <f t="shared" si="23"/>
        <v>1512</v>
      </c>
      <c r="B1513" t="s">
        <v>86</v>
      </c>
      <c r="C1513">
        <v>444.3</v>
      </c>
      <c r="D1513">
        <v>206.84</v>
      </c>
      <c r="E1513">
        <v>0</v>
      </c>
      <c r="F1513">
        <v>3.5000000000000003E-2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</row>
    <row r="1514" spans="1:20">
      <c r="A1514">
        <f t="shared" si="23"/>
        <v>1513</v>
      </c>
      <c r="B1514" t="s">
        <v>86</v>
      </c>
      <c r="C1514">
        <v>480.4</v>
      </c>
      <c r="D1514">
        <v>206.84</v>
      </c>
      <c r="E1514">
        <v>0</v>
      </c>
      <c r="F1514">
        <v>0.10100000000000001</v>
      </c>
      <c r="J1514">
        <v>7.1799999999999998E-3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</row>
    <row r="1515" spans="1:20">
      <c r="A1515">
        <f t="shared" si="23"/>
        <v>1514</v>
      </c>
      <c r="B1515" t="s">
        <v>87</v>
      </c>
      <c r="C1515">
        <v>373.15</v>
      </c>
      <c r="D1515">
        <v>15.5</v>
      </c>
      <c r="E1515">
        <v>0</v>
      </c>
      <c r="J1515">
        <v>2.5700000000000001E-4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</row>
    <row r="1516" spans="1:20">
      <c r="A1516">
        <f t="shared" si="23"/>
        <v>1515</v>
      </c>
      <c r="B1516" t="s">
        <v>87</v>
      </c>
      <c r="C1516">
        <v>373.15</v>
      </c>
      <c r="D1516">
        <v>15.5</v>
      </c>
      <c r="E1516">
        <v>0</v>
      </c>
      <c r="J1516">
        <v>2.6499999999999999E-4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</row>
    <row r="1517" spans="1:20">
      <c r="A1517">
        <f t="shared" si="23"/>
        <v>1516</v>
      </c>
      <c r="B1517" t="s">
        <v>87</v>
      </c>
      <c r="C1517">
        <v>373.15</v>
      </c>
      <c r="D1517">
        <v>16.2</v>
      </c>
      <c r="E1517">
        <v>0</v>
      </c>
      <c r="J1517">
        <v>2.81E-4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</row>
    <row r="1518" spans="1:20">
      <c r="A1518">
        <f t="shared" si="23"/>
        <v>1517</v>
      </c>
      <c r="B1518" t="s">
        <v>87</v>
      </c>
      <c r="C1518">
        <v>373.15</v>
      </c>
      <c r="D1518">
        <v>16.899999999999999</v>
      </c>
      <c r="E1518">
        <v>0</v>
      </c>
      <c r="J1518">
        <v>2.81E-4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</row>
    <row r="1519" spans="1:20">
      <c r="A1519">
        <f t="shared" si="23"/>
        <v>1518</v>
      </c>
      <c r="B1519" t="s">
        <v>87</v>
      </c>
      <c r="C1519">
        <v>373.15</v>
      </c>
      <c r="D1519">
        <v>16.899999999999999</v>
      </c>
      <c r="E1519">
        <v>0</v>
      </c>
      <c r="J1519">
        <v>2.4600000000000002E-4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</row>
    <row r="1520" spans="1:20">
      <c r="A1520">
        <f t="shared" si="23"/>
        <v>1519</v>
      </c>
      <c r="B1520" t="s">
        <v>87</v>
      </c>
      <c r="C1520">
        <v>373.15</v>
      </c>
      <c r="D1520">
        <v>36.200000000000003</v>
      </c>
      <c r="E1520">
        <v>0</v>
      </c>
      <c r="J1520">
        <v>5.3899999999999998E-4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</row>
    <row r="1521" spans="1:20">
      <c r="A1521">
        <f t="shared" si="23"/>
        <v>1520</v>
      </c>
      <c r="B1521" t="s">
        <v>87</v>
      </c>
      <c r="C1521">
        <v>373.15</v>
      </c>
      <c r="D1521">
        <v>37.6</v>
      </c>
      <c r="E1521">
        <v>0</v>
      </c>
      <c r="J1521">
        <v>5.71E-4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</row>
    <row r="1522" spans="1:20">
      <c r="A1522">
        <f t="shared" si="23"/>
        <v>1521</v>
      </c>
      <c r="B1522" t="s">
        <v>87</v>
      </c>
      <c r="C1522">
        <v>373.15</v>
      </c>
      <c r="D1522">
        <v>39</v>
      </c>
      <c r="E1522">
        <v>0</v>
      </c>
      <c r="J1522">
        <v>5.9500000000000004E-4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</row>
    <row r="1523" spans="1:20">
      <c r="A1523">
        <f t="shared" si="23"/>
        <v>1522</v>
      </c>
      <c r="B1523" t="s">
        <v>87</v>
      </c>
      <c r="C1523">
        <v>373.15</v>
      </c>
      <c r="D1523">
        <v>39</v>
      </c>
      <c r="E1523">
        <v>0</v>
      </c>
      <c r="J1523">
        <v>5.9500000000000004E-4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</row>
    <row r="1524" spans="1:20">
      <c r="A1524">
        <f t="shared" si="23"/>
        <v>1523</v>
      </c>
      <c r="B1524" t="s">
        <v>87</v>
      </c>
      <c r="C1524">
        <v>373.15</v>
      </c>
      <c r="D1524">
        <v>70.7</v>
      </c>
      <c r="E1524">
        <v>0</v>
      </c>
      <c r="J1524">
        <v>1.1100000000000001E-3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</row>
    <row r="1525" spans="1:20">
      <c r="A1525">
        <f t="shared" si="23"/>
        <v>1524</v>
      </c>
      <c r="B1525" t="s">
        <v>87</v>
      </c>
      <c r="C1525">
        <v>373.15</v>
      </c>
      <c r="D1525">
        <v>71.400000000000006</v>
      </c>
      <c r="E1525">
        <v>0</v>
      </c>
      <c r="J1525">
        <v>1.08E-3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</row>
    <row r="1526" spans="1:20">
      <c r="A1526">
        <f t="shared" si="23"/>
        <v>1525</v>
      </c>
      <c r="B1526" t="s">
        <v>87</v>
      </c>
      <c r="C1526">
        <v>373.15</v>
      </c>
      <c r="D1526">
        <v>72.099999999999994</v>
      </c>
      <c r="E1526">
        <v>0</v>
      </c>
      <c r="J1526">
        <v>1.08E-3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</row>
    <row r="1527" spans="1:20">
      <c r="A1527">
        <f t="shared" si="23"/>
        <v>1526</v>
      </c>
      <c r="B1527" t="s">
        <v>87</v>
      </c>
      <c r="C1527">
        <v>373.15</v>
      </c>
      <c r="D1527">
        <v>72.7</v>
      </c>
      <c r="E1527">
        <v>0</v>
      </c>
      <c r="J1527">
        <v>1.08E-3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</row>
    <row r="1528" spans="1:20">
      <c r="A1528">
        <f t="shared" si="23"/>
        <v>1527</v>
      </c>
      <c r="B1528" t="s">
        <v>87</v>
      </c>
      <c r="C1528">
        <v>373.15</v>
      </c>
      <c r="D1528">
        <v>97.6</v>
      </c>
      <c r="E1528">
        <v>0</v>
      </c>
      <c r="J1528">
        <v>1.4499999999999999E-3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</row>
    <row r="1529" spans="1:20">
      <c r="A1529">
        <f t="shared" si="23"/>
        <v>1528</v>
      </c>
      <c r="B1529" t="s">
        <v>87</v>
      </c>
      <c r="C1529">
        <v>373.15</v>
      </c>
      <c r="D1529">
        <v>98.9</v>
      </c>
      <c r="E1529">
        <v>0</v>
      </c>
      <c r="J1529">
        <v>1.5100000000000001E-3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</row>
    <row r="1530" spans="1:20">
      <c r="A1530">
        <f t="shared" si="23"/>
        <v>1529</v>
      </c>
      <c r="B1530" t="s">
        <v>87</v>
      </c>
      <c r="C1530">
        <v>373.15</v>
      </c>
      <c r="D1530">
        <v>100.3</v>
      </c>
      <c r="E1530">
        <v>0</v>
      </c>
      <c r="J1530">
        <v>1.5499999999999999E-3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</row>
    <row r="1531" spans="1:20">
      <c r="A1531">
        <f t="shared" si="23"/>
        <v>1530</v>
      </c>
      <c r="B1531" t="s">
        <v>87</v>
      </c>
      <c r="C1531">
        <v>408.15</v>
      </c>
      <c r="D1531">
        <v>14.1</v>
      </c>
      <c r="E1531">
        <v>0</v>
      </c>
      <c r="J1531">
        <v>2.9100000000000003E-4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</row>
    <row r="1532" spans="1:20">
      <c r="A1532">
        <f t="shared" si="23"/>
        <v>1531</v>
      </c>
      <c r="B1532" t="s">
        <v>87</v>
      </c>
      <c r="C1532">
        <v>408.15</v>
      </c>
      <c r="D1532">
        <v>14.8</v>
      </c>
      <c r="E1532">
        <v>0</v>
      </c>
      <c r="J1532">
        <v>2.92E-4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</row>
    <row r="1533" spans="1:20">
      <c r="A1533">
        <f t="shared" si="23"/>
        <v>1532</v>
      </c>
      <c r="B1533" t="s">
        <v>87</v>
      </c>
      <c r="C1533">
        <v>408.15</v>
      </c>
      <c r="D1533">
        <v>15.5</v>
      </c>
      <c r="E1533">
        <v>0</v>
      </c>
      <c r="J1533">
        <v>2.8899999999999998E-4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</row>
    <row r="1534" spans="1:20">
      <c r="A1534">
        <f t="shared" si="23"/>
        <v>1533</v>
      </c>
      <c r="B1534" t="s">
        <v>87</v>
      </c>
      <c r="C1534">
        <v>408.15</v>
      </c>
      <c r="D1534">
        <v>16.2</v>
      </c>
      <c r="E1534">
        <v>0</v>
      </c>
      <c r="J1534">
        <v>3.3300000000000002E-4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</row>
    <row r="1535" spans="1:20">
      <c r="A1535">
        <f t="shared" si="23"/>
        <v>1534</v>
      </c>
      <c r="B1535" t="s">
        <v>87</v>
      </c>
      <c r="C1535">
        <v>408.15</v>
      </c>
      <c r="D1535">
        <v>35.5</v>
      </c>
      <c r="E1535">
        <v>0</v>
      </c>
      <c r="J1535">
        <v>6.4300000000000002E-4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</row>
    <row r="1536" spans="1:20">
      <c r="A1536">
        <f t="shared" si="23"/>
        <v>1535</v>
      </c>
      <c r="B1536" t="s">
        <v>87</v>
      </c>
      <c r="C1536">
        <v>408.15</v>
      </c>
      <c r="D1536">
        <v>36.200000000000003</v>
      </c>
      <c r="E1536">
        <v>0</v>
      </c>
      <c r="J1536">
        <v>6.7500000000000004E-4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</row>
    <row r="1537" spans="1:20">
      <c r="A1537">
        <f t="shared" si="23"/>
        <v>1536</v>
      </c>
      <c r="B1537" t="s">
        <v>87</v>
      </c>
      <c r="C1537">
        <v>408.15</v>
      </c>
      <c r="D1537">
        <v>36.9</v>
      </c>
      <c r="E1537">
        <v>0</v>
      </c>
      <c r="J1537">
        <v>6.9899999999999997E-4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</row>
    <row r="1538" spans="1:20">
      <c r="A1538">
        <f t="shared" si="23"/>
        <v>1537</v>
      </c>
      <c r="B1538" t="s">
        <v>87</v>
      </c>
      <c r="C1538">
        <v>408.15</v>
      </c>
      <c r="D1538">
        <v>61</v>
      </c>
      <c r="E1538">
        <v>0</v>
      </c>
      <c r="J1538">
        <v>1.14E-3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</row>
    <row r="1539" spans="1:20">
      <c r="A1539">
        <f t="shared" si="23"/>
        <v>1538</v>
      </c>
      <c r="B1539" t="s">
        <v>87</v>
      </c>
      <c r="C1539">
        <v>408.15</v>
      </c>
      <c r="D1539">
        <v>61.7</v>
      </c>
      <c r="E1539">
        <v>0</v>
      </c>
      <c r="J1539">
        <v>1.1100000000000001E-3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</row>
    <row r="1540" spans="1:20">
      <c r="A1540">
        <f t="shared" ref="A1540:A1603" si="24">A1539+1</f>
        <v>1539</v>
      </c>
      <c r="B1540" t="s">
        <v>87</v>
      </c>
      <c r="C1540">
        <v>408.15</v>
      </c>
      <c r="D1540">
        <v>63.1</v>
      </c>
      <c r="E1540">
        <v>0</v>
      </c>
      <c r="J1540">
        <v>1.1100000000000001E-3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</row>
    <row r="1541" spans="1:20">
      <c r="A1541">
        <f t="shared" si="24"/>
        <v>1540</v>
      </c>
      <c r="B1541" t="s">
        <v>87</v>
      </c>
      <c r="C1541">
        <v>408.15</v>
      </c>
      <c r="D1541">
        <v>64.5</v>
      </c>
      <c r="E1541">
        <v>0</v>
      </c>
      <c r="J1541">
        <v>1.14E-3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</row>
    <row r="1542" spans="1:20">
      <c r="A1542">
        <f t="shared" si="24"/>
        <v>1541</v>
      </c>
      <c r="B1542" t="s">
        <v>87</v>
      </c>
      <c r="C1542">
        <v>408.15</v>
      </c>
      <c r="D1542">
        <v>94.8</v>
      </c>
      <c r="E1542">
        <v>0</v>
      </c>
      <c r="J1542">
        <v>1.73E-3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</row>
    <row r="1543" spans="1:20">
      <c r="A1543">
        <f t="shared" si="24"/>
        <v>1542</v>
      </c>
      <c r="B1543" t="s">
        <v>87</v>
      </c>
      <c r="C1543">
        <v>408.15</v>
      </c>
      <c r="D1543">
        <v>95.5</v>
      </c>
      <c r="E1543">
        <v>0</v>
      </c>
      <c r="J1543">
        <v>1.74E-3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</row>
    <row r="1544" spans="1:20">
      <c r="A1544">
        <f t="shared" si="24"/>
        <v>1543</v>
      </c>
      <c r="B1544" t="s">
        <v>87</v>
      </c>
      <c r="C1544">
        <v>408.15</v>
      </c>
      <c r="D1544">
        <v>96.9</v>
      </c>
      <c r="E1544">
        <v>0</v>
      </c>
      <c r="J1544">
        <v>1.65E-3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</row>
    <row r="1545" spans="1:20">
      <c r="A1545">
        <f t="shared" si="24"/>
        <v>1544</v>
      </c>
      <c r="B1545" t="s">
        <v>87</v>
      </c>
      <c r="C1545">
        <v>408.15</v>
      </c>
      <c r="D1545">
        <v>97.2</v>
      </c>
      <c r="E1545">
        <v>0</v>
      </c>
      <c r="J1545">
        <v>1.6900000000000001E-3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</row>
    <row r="1546" spans="1:20">
      <c r="A1546">
        <f t="shared" si="24"/>
        <v>1545</v>
      </c>
      <c r="B1546" t="s">
        <v>87</v>
      </c>
      <c r="C1546">
        <v>435.93</v>
      </c>
      <c r="D1546">
        <v>15.5</v>
      </c>
      <c r="E1546">
        <v>0</v>
      </c>
      <c r="J1546">
        <v>3.86E-4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</row>
    <row r="1547" spans="1:20">
      <c r="A1547">
        <f t="shared" si="24"/>
        <v>1546</v>
      </c>
      <c r="B1547" t="s">
        <v>87</v>
      </c>
      <c r="C1547">
        <v>435.93</v>
      </c>
      <c r="D1547">
        <v>17.600000000000001</v>
      </c>
      <c r="E1547">
        <v>0</v>
      </c>
      <c r="J1547">
        <v>4.0000000000000002E-4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</row>
    <row r="1548" spans="1:20">
      <c r="A1548">
        <f t="shared" si="24"/>
        <v>1547</v>
      </c>
      <c r="B1548" t="s">
        <v>87</v>
      </c>
      <c r="C1548">
        <v>435.93</v>
      </c>
      <c r="D1548">
        <v>17.600000000000001</v>
      </c>
      <c r="E1548">
        <v>0</v>
      </c>
      <c r="J1548">
        <v>4.0999999999999999E-4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</row>
    <row r="1549" spans="1:20">
      <c r="A1549">
        <f t="shared" si="24"/>
        <v>1548</v>
      </c>
      <c r="B1549" t="s">
        <v>87</v>
      </c>
      <c r="C1549">
        <v>435.93</v>
      </c>
      <c r="D1549">
        <v>36.200000000000003</v>
      </c>
      <c r="E1549">
        <v>0</v>
      </c>
      <c r="J1549">
        <v>8.3600000000000005E-4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</row>
    <row r="1550" spans="1:20">
      <c r="A1550">
        <f t="shared" si="24"/>
        <v>1549</v>
      </c>
      <c r="B1550" t="s">
        <v>87</v>
      </c>
      <c r="C1550">
        <v>435.93</v>
      </c>
      <c r="D1550">
        <v>39.200000000000003</v>
      </c>
      <c r="E1550">
        <v>0</v>
      </c>
      <c r="J1550">
        <v>8.6799999999999996E-4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</row>
    <row r="1551" spans="1:20">
      <c r="A1551">
        <f t="shared" si="24"/>
        <v>1550</v>
      </c>
      <c r="B1551" t="s">
        <v>87</v>
      </c>
      <c r="C1551">
        <v>435.93</v>
      </c>
      <c r="D1551">
        <v>40.299999999999997</v>
      </c>
      <c r="E1551">
        <v>0</v>
      </c>
      <c r="J1551">
        <v>8.6799999999999996E-4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</row>
    <row r="1552" spans="1:20">
      <c r="A1552">
        <f t="shared" si="24"/>
        <v>1551</v>
      </c>
      <c r="B1552" t="s">
        <v>87</v>
      </c>
      <c r="C1552">
        <v>435.93</v>
      </c>
      <c r="D1552">
        <v>40.700000000000003</v>
      </c>
      <c r="E1552">
        <v>0</v>
      </c>
      <c r="J1552">
        <v>8.8199999999999997E-4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</row>
    <row r="1553" spans="1:20">
      <c r="A1553">
        <f t="shared" si="24"/>
        <v>1552</v>
      </c>
      <c r="B1553" t="s">
        <v>87</v>
      </c>
      <c r="C1553">
        <v>435.93</v>
      </c>
      <c r="D1553">
        <v>41.7</v>
      </c>
      <c r="E1553">
        <v>0</v>
      </c>
      <c r="J1553">
        <v>9.3999999999999997E-4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</row>
    <row r="1554" spans="1:20">
      <c r="A1554">
        <f t="shared" si="24"/>
        <v>1553</v>
      </c>
      <c r="B1554" t="s">
        <v>87</v>
      </c>
      <c r="C1554">
        <v>435.93</v>
      </c>
      <c r="D1554">
        <v>45.2</v>
      </c>
      <c r="E1554">
        <v>0</v>
      </c>
      <c r="J1554">
        <v>1.0319999999999999E-3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</row>
    <row r="1555" spans="1:20">
      <c r="A1555">
        <f t="shared" si="24"/>
        <v>1554</v>
      </c>
      <c r="B1555" t="s">
        <v>87</v>
      </c>
      <c r="C1555">
        <v>435.93</v>
      </c>
      <c r="D1555">
        <v>54.9</v>
      </c>
      <c r="E1555">
        <v>0</v>
      </c>
      <c r="J1555">
        <v>1.32E-3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</row>
    <row r="1556" spans="1:20">
      <c r="A1556">
        <f t="shared" si="24"/>
        <v>1555</v>
      </c>
      <c r="B1556" t="s">
        <v>87</v>
      </c>
      <c r="C1556">
        <v>435.93</v>
      </c>
      <c r="D1556">
        <v>68.3</v>
      </c>
      <c r="E1556">
        <v>0</v>
      </c>
      <c r="J1556">
        <v>1.5200000000000001E-3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</row>
    <row r="1557" spans="1:20">
      <c r="A1557">
        <f t="shared" si="24"/>
        <v>1556</v>
      </c>
      <c r="B1557" t="s">
        <v>87</v>
      </c>
      <c r="C1557">
        <v>435.93</v>
      </c>
      <c r="D1557">
        <v>69.3</v>
      </c>
      <c r="E1557">
        <v>0</v>
      </c>
      <c r="J1557">
        <v>1.5499999999999999E-3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</row>
    <row r="1558" spans="1:20">
      <c r="A1558">
        <f t="shared" si="24"/>
        <v>1557</v>
      </c>
      <c r="B1558" t="s">
        <v>87</v>
      </c>
      <c r="C1558">
        <v>435.93</v>
      </c>
      <c r="D1558">
        <v>75.2</v>
      </c>
      <c r="E1558">
        <v>0</v>
      </c>
      <c r="J1558">
        <v>1.6999999999999999E-3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</row>
    <row r="1559" spans="1:20">
      <c r="A1559">
        <f t="shared" si="24"/>
        <v>1558</v>
      </c>
      <c r="B1559" t="s">
        <v>87</v>
      </c>
      <c r="C1559">
        <v>435.93</v>
      </c>
      <c r="D1559">
        <v>77.599999999999994</v>
      </c>
      <c r="E1559">
        <v>0</v>
      </c>
      <c r="J1559">
        <v>1.81E-3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</row>
    <row r="1560" spans="1:20">
      <c r="A1560">
        <f t="shared" si="24"/>
        <v>1559</v>
      </c>
      <c r="B1560" t="s">
        <v>87</v>
      </c>
      <c r="C1560">
        <v>435.93</v>
      </c>
      <c r="D1560">
        <v>84.4</v>
      </c>
      <c r="E1560">
        <v>0</v>
      </c>
      <c r="J1560">
        <v>1.97E-3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</row>
    <row r="1561" spans="1:20">
      <c r="A1561">
        <f t="shared" si="24"/>
        <v>1560</v>
      </c>
      <c r="B1561" t="s">
        <v>87</v>
      </c>
      <c r="C1561">
        <v>435.93</v>
      </c>
      <c r="D1561">
        <v>88.9</v>
      </c>
      <c r="E1561">
        <v>0</v>
      </c>
      <c r="J1561">
        <v>1.9400000000000001E-3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</row>
    <row r="1562" spans="1:20">
      <c r="A1562">
        <f t="shared" si="24"/>
        <v>1561</v>
      </c>
      <c r="B1562" t="s">
        <v>87</v>
      </c>
      <c r="C1562">
        <v>435.93</v>
      </c>
      <c r="D1562">
        <v>91</v>
      </c>
      <c r="E1562">
        <v>0</v>
      </c>
      <c r="J1562">
        <v>2.0200000000000001E-3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</row>
    <row r="1563" spans="1:20">
      <c r="A1563">
        <f t="shared" si="24"/>
        <v>1562</v>
      </c>
      <c r="B1563" t="s">
        <v>88</v>
      </c>
      <c r="C1563">
        <v>323.20999999999998</v>
      </c>
      <c r="D1563">
        <v>11.899999999999999</v>
      </c>
      <c r="E1563">
        <v>0</v>
      </c>
      <c r="I1563">
        <v>1.2E-4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</row>
    <row r="1564" spans="1:20">
      <c r="A1564">
        <f t="shared" si="24"/>
        <v>1563</v>
      </c>
      <c r="B1564" t="s">
        <v>88</v>
      </c>
      <c r="C1564">
        <v>323.22000000000003</v>
      </c>
      <c r="D1564">
        <v>20.299999999999997</v>
      </c>
      <c r="E1564">
        <v>0</v>
      </c>
      <c r="I1564">
        <v>1.6000000000000001E-4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</row>
    <row r="1565" spans="1:20">
      <c r="A1565">
        <f t="shared" si="24"/>
        <v>1564</v>
      </c>
      <c r="B1565" t="s">
        <v>88</v>
      </c>
      <c r="C1565">
        <v>323.2</v>
      </c>
      <c r="D1565">
        <v>26.200000000000003</v>
      </c>
      <c r="E1565">
        <v>0</v>
      </c>
      <c r="I1565">
        <v>2.1000000000000001E-4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</row>
    <row r="1566" spans="1:20">
      <c r="A1566">
        <f t="shared" si="24"/>
        <v>1565</v>
      </c>
      <c r="B1566" t="s">
        <v>88</v>
      </c>
      <c r="C1566">
        <v>323.19</v>
      </c>
      <c r="D1566">
        <v>26.200000000000003</v>
      </c>
      <c r="E1566">
        <v>0</v>
      </c>
      <c r="I1566">
        <v>2.3000000000000001E-4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</row>
    <row r="1567" spans="1:20">
      <c r="A1567">
        <f t="shared" si="24"/>
        <v>1566</v>
      </c>
      <c r="B1567" t="s">
        <v>88</v>
      </c>
      <c r="C1567">
        <v>323.22000000000003</v>
      </c>
      <c r="D1567">
        <v>50.599999999999994</v>
      </c>
      <c r="E1567">
        <v>0</v>
      </c>
      <c r="I1567">
        <v>4.2000000000000002E-4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</row>
    <row r="1568" spans="1:20">
      <c r="A1568">
        <f t="shared" si="24"/>
        <v>1567</v>
      </c>
      <c r="B1568" t="s">
        <v>88</v>
      </c>
      <c r="C1568">
        <v>323.20999999999998</v>
      </c>
      <c r="D1568">
        <v>51.1</v>
      </c>
      <c r="E1568">
        <v>0</v>
      </c>
      <c r="I1568">
        <v>4.2000000000000002E-4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</row>
    <row r="1569" spans="1:20">
      <c r="A1569">
        <f t="shared" si="24"/>
        <v>1568</v>
      </c>
      <c r="B1569" t="s">
        <v>88</v>
      </c>
      <c r="C1569">
        <v>323.2</v>
      </c>
      <c r="D1569">
        <v>74.599999999999994</v>
      </c>
      <c r="E1569">
        <v>0</v>
      </c>
      <c r="I1569">
        <v>6.0999999999999997E-4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</row>
    <row r="1570" spans="1:20">
      <c r="A1570">
        <f t="shared" si="24"/>
        <v>1569</v>
      </c>
      <c r="B1570" t="s">
        <v>88</v>
      </c>
      <c r="C1570">
        <v>323.2</v>
      </c>
      <c r="D1570">
        <v>79.800000000000011</v>
      </c>
      <c r="E1570">
        <v>0</v>
      </c>
      <c r="I1570">
        <v>6.3000000000000003E-4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</row>
    <row r="1571" spans="1:20">
      <c r="A1571">
        <f t="shared" si="24"/>
        <v>1570</v>
      </c>
      <c r="B1571" t="s">
        <v>88</v>
      </c>
      <c r="C1571">
        <v>323.20999999999998</v>
      </c>
      <c r="D1571">
        <v>98.5</v>
      </c>
      <c r="E1571">
        <v>0</v>
      </c>
      <c r="I1571">
        <v>8.0999999999999996E-4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</row>
    <row r="1572" spans="1:20">
      <c r="A1572">
        <f t="shared" si="24"/>
        <v>1571</v>
      </c>
      <c r="B1572" t="s">
        <v>88</v>
      </c>
      <c r="C1572">
        <v>323.2</v>
      </c>
      <c r="D1572">
        <v>98.6</v>
      </c>
      <c r="E1572">
        <v>0</v>
      </c>
      <c r="I1572">
        <v>8.0999999999999996E-4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</row>
    <row r="1573" spans="1:20">
      <c r="A1573">
        <f t="shared" si="24"/>
        <v>1572</v>
      </c>
      <c r="B1573" t="s">
        <v>88</v>
      </c>
      <c r="C1573">
        <v>323.20999999999998</v>
      </c>
      <c r="D1573">
        <v>99.9</v>
      </c>
      <c r="E1573">
        <v>0</v>
      </c>
      <c r="I1573">
        <v>8.4000000000000003E-4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</row>
    <row r="1574" spans="1:20">
      <c r="A1574">
        <f t="shared" si="24"/>
        <v>1573</v>
      </c>
      <c r="B1574" t="s">
        <v>88</v>
      </c>
      <c r="C1574">
        <v>323.19</v>
      </c>
      <c r="D1574">
        <v>116.30000000000001</v>
      </c>
      <c r="E1574">
        <v>0</v>
      </c>
      <c r="I1574">
        <v>9.1E-4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</row>
    <row r="1575" spans="1:20">
      <c r="A1575">
        <f t="shared" si="24"/>
        <v>1574</v>
      </c>
      <c r="B1575" t="s">
        <v>88</v>
      </c>
      <c r="C1575">
        <v>323.2</v>
      </c>
      <c r="D1575">
        <v>126.5</v>
      </c>
      <c r="E1575">
        <v>0</v>
      </c>
      <c r="I1575">
        <v>1.0300000000000001E-3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</row>
    <row r="1576" spans="1:20">
      <c r="A1576">
        <f t="shared" si="24"/>
        <v>1575</v>
      </c>
      <c r="B1576" t="s">
        <v>88</v>
      </c>
      <c r="C1576">
        <v>323.2</v>
      </c>
      <c r="D1576">
        <v>151.19999999999999</v>
      </c>
      <c r="E1576">
        <v>0</v>
      </c>
      <c r="I1576">
        <v>1.16E-3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</row>
    <row r="1577" spans="1:20">
      <c r="A1577">
        <f t="shared" si="24"/>
        <v>1576</v>
      </c>
      <c r="B1577" t="s">
        <v>88</v>
      </c>
      <c r="C1577">
        <v>323.20999999999998</v>
      </c>
      <c r="D1577">
        <v>155.69999999999999</v>
      </c>
      <c r="E1577">
        <v>0</v>
      </c>
      <c r="I1577">
        <v>1.16E-3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</row>
    <row r="1578" spans="1:20">
      <c r="A1578">
        <f t="shared" si="24"/>
        <v>1577</v>
      </c>
      <c r="B1578" t="s">
        <v>88</v>
      </c>
      <c r="C1578">
        <v>323.2</v>
      </c>
      <c r="D1578">
        <v>176.29999999999998</v>
      </c>
      <c r="E1578">
        <v>0</v>
      </c>
      <c r="I1578">
        <v>1.32E-3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</row>
    <row r="1579" spans="1:20">
      <c r="A1579">
        <f t="shared" si="24"/>
        <v>1578</v>
      </c>
      <c r="B1579" t="s">
        <v>88</v>
      </c>
      <c r="C1579">
        <v>323.2</v>
      </c>
      <c r="D1579">
        <v>202</v>
      </c>
      <c r="E1579">
        <v>0</v>
      </c>
      <c r="I1579">
        <v>1.49E-3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</row>
    <row r="1580" spans="1:20">
      <c r="A1580">
        <f t="shared" si="24"/>
        <v>1579</v>
      </c>
      <c r="B1580" t="s">
        <v>88</v>
      </c>
      <c r="C1580">
        <v>348.3</v>
      </c>
      <c r="D1580">
        <v>9.5</v>
      </c>
      <c r="E1580">
        <v>0</v>
      </c>
      <c r="I1580">
        <v>8.0000000000000007E-5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</row>
    <row r="1581" spans="1:20">
      <c r="A1581">
        <f t="shared" si="24"/>
        <v>1580</v>
      </c>
      <c r="B1581" t="s">
        <v>88</v>
      </c>
      <c r="C1581">
        <v>348.33</v>
      </c>
      <c r="D1581">
        <v>10.199999999999999</v>
      </c>
      <c r="E1581">
        <v>0</v>
      </c>
      <c r="I1581">
        <v>8.0000000000000007E-5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</row>
    <row r="1582" spans="1:20">
      <c r="A1582">
        <f t="shared" si="24"/>
        <v>1581</v>
      </c>
      <c r="B1582" t="s">
        <v>88</v>
      </c>
      <c r="C1582">
        <v>348.3</v>
      </c>
      <c r="D1582">
        <v>18.700000000000003</v>
      </c>
      <c r="E1582">
        <v>0</v>
      </c>
      <c r="I1582">
        <v>1.4999999999999999E-4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</row>
    <row r="1583" spans="1:20">
      <c r="A1583">
        <f t="shared" si="24"/>
        <v>1582</v>
      </c>
      <c r="B1583" t="s">
        <v>88</v>
      </c>
      <c r="C1583">
        <v>348.3</v>
      </c>
      <c r="D1583">
        <v>52.599999999999994</v>
      </c>
      <c r="E1583">
        <v>0</v>
      </c>
      <c r="I1583">
        <v>4.2999999999999999E-4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</row>
    <row r="1584" spans="1:20">
      <c r="A1584">
        <f t="shared" si="24"/>
        <v>1583</v>
      </c>
      <c r="B1584" t="s">
        <v>88</v>
      </c>
      <c r="C1584">
        <v>348.3</v>
      </c>
      <c r="D1584">
        <v>74.599999999999994</v>
      </c>
      <c r="E1584">
        <v>0</v>
      </c>
      <c r="I1584">
        <v>6.2E-4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</row>
    <row r="1585" spans="1:20">
      <c r="A1585">
        <f t="shared" si="24"/>
        <v>1584</v>
      </c>
      <c r="B1585" t="s">
        <v>88</v>
      </c>
      <c r="C1585">
        <v>348.3</v>
      </c>
      <c r="D1585">
        <v>100.19999999999999</v>
      </c>
      <c r="E1585">
        <v>0</v>
      </c>
      <c r="I1585">
        <v>8.0000000000000004E-4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</row>
    <row r="1586" spans="1:20">
      <c r="A1586">
        <f t="shared" si="24"/>
        <v>1585</v>
      </c>
      <c r="B1586" t="s">
        <v>88</v>
      </c>
      <c r="C1586">
        <v>348.28</v>
      </c>
      <c r="D1586">
        <v>125.1</v>
      </c>
      <c r="E1586">
        <v>0</v>
      </c>
      <c r="I1586">
        <v>1.01E-3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</row>
    <row r="1587" spans="1:20">
      <c r="A1587">
        <f t="shared" si="24"/>
        <v>1586</v>
      </c>
      <c r="B1587" t="s">
        <v>88</v>
      </c>
      <c r="C1587">
        <v>373.22</v>
      </c>
      <c r="D1587">
        <v>12.2</v>
      </c>
      <c r="E1587">
        <v>0</v>
      </c>
      <c r="I1587">
        <v>6.9999999999999994E-5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</row>
    <row r="1588" spans="1:20">
      <c r="A1588">
        <f t="shared" si="24"/>
        <v>1587</v>
      </c>
      <c r="B1588" t="s">
        <v>88</v>
      </c>
      <c r="C1588">
        <v>373.17</v>
      </c>
      <c r="D1588">
        <v>15.2</v>
      </c>
      <c r="E1588">
        <v>0</v>
      </c>
      <c r="I1588">
        <v>1.1E-4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</row>
    <row r="1589" spans="1:20">
      <c r="A1589">
        <f t="shared" si="24"/>
        <v>1588</v>
      </c>
      <c r="B1589" t="s">
        <v>88</v>
      </c>
      <c r="C1589">
        <v>373.17</v>
      </c>
      <c r="D1589">
        <v>24.6</v>
      </c>
      <c r="E1589">
        <v>0</v>
      </c>
      <c r="I1589">
        <v>2.0000000000000001E-4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</row>
    <row r="1590" spans="1:20">
      <c r="A1590">
        <f t="shared" si="24"/>
        <v>1589</v>
      </c>
      <c r="B1590" t="s">
        <v>88</v>
      </c>
      <c r="C1590">
        <v>373.22</v>
      </c>
      <c r="D1590">
        <v>50.300000000000004</v>
      </c>
      <c r="E1590">
        <v>0</v>
      </c>
      <c r="I1590">
        <v>3.8999999999999999E-4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</row>
    <row r="1591" spans="1:20">
      <c r="A1591">
        <f t="shared" si="24"/>
        <v>1590</v>
      </c>
      <c r="B1591" t="s">
        <v>88</v>
      </c>
      <c r="C1591">
        <v>373.27</v>
      </c>
      <c r="D1591">
        <v>50.7</v>
      </c>
      <c r="E1591">
        <v>0</v>
      </c>
      <c r="I1591">
        <v>3.8999999999999999E-4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</row>
    <row r="1592" spans="1:20">
      <c r="A1592">
        <f t="shared" si="24"/>
        <v>1591</v>
      </c>
      <c r="B1592" t="s">
        <v>88</v>
      </c>
      <c r="C1592">
        <v>373.18</v>
      </c>
      <c r="D1592">
        <v>51.5</v>
      </c>
      <c r="E1592">
        <v>0</v>
      </c>
      <c r="I1592">
        <v>4.2000000000000002E-4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</row>
    <row r="1593" spans="1:20">
      <c r="A1593">
        <f t="shared" si="24"/>
        <v>1592</v>
      </c>
      <c r="B1593" t="s">
        <v>88</v>
      </c>
      <c r="C1593">
        <v>373.19</v>
      </c>
      <c r="D1593">
        <v>75.099999999999994</v>
      </c>
      <c r="E1593">
        <v>0</v>
      </c>
      <c r="I1593">
        <v>6.3000000000000003E-4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</row>
    <row r="1594" spans="1:20">
      <c r="A1594">
        <f t="shared" si="24"/>
        <v>1593</v>
      </c>
      <c r="B1594" t="s">
        <v>88</v>
      </c>
      <c r="C1594">
        <v>373.27</v>
      </c>
      <c r="D1594">
        <v>76.900000000000006</v>
      </c>
      <c r="E1594">
        <v>0</v>
      </c>
      <c r="I1594">
        <v>6.3000000000000003E-4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</row>
    <row r="1595" spans="1:20">
      <c r="A1595">
        <f t="shared" si="24"/>
        <v>1594</v>
      </c>
      <c r="B1595" t="s">
        <v>88</v>
      </c>
      <c r="C1595">
        <v>373.18</v>
      </c>
      <c r="D1595">
        <v>100.5</v>
      </c>
      <c r="E1595">
        <v>0</v>
      </c>
      <c r="I1595">
        <v>8.1999999999999998E-4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</row>
    <row r="1596" spans="1:20">
      <c r="A1596">
        <f t="shared" si="24"/>
        <v>1595</v>
      </c>
      <c r="B1596" t="s">
        <v>88</v>
      </c>
      <c r="C1596">
        <v>373.26</v>
      </c>
      <c r="D1596">
        <v>104.60000000000001</v>
      </c>
      <c r="E1596">
        <v>0</v>
      </c>
      <c r="I1596">
        <v>8.1999999999999998E-4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</row>
    <row r="1597" spans="1:20">
      <c r="A1597">
        <f t="shared" si="24"/>
        <v>1596</v>
      </c>
      <c r="B1597" t="s">
        <v>88</v>
      </c>
      <c r="C1597">
        <v>373.19</v>
      </c>
      <c r="D1597">
        <v>129.4</v>
      </c>
      <c r="E1597">
        <v>0</v>
      </c>
      <c r="I1597">
        <v>1.06E-3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</row>
    <row r="1598" spans="1:20">
      <c r="A1598">
        <f t="shared" si="24"/>
        <v>1597</v>
      </c>
      <c r="B1598" t="s">
        <v>88</v>
      </c>
      <c r="C1598">
        <v>373.27</v>
      </c>
      <c r="D1598">
        <v>134.30000000000001</v>
      </c>
      <c r="E1598">
        <v>0</v>
      </c>
      <c r="I1598">
        <v>1.07E-3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</row>
    <row r="1599" spans="1:20">
      <c r="A1599">
        <f t="shared" si="24"/>
        <v>1598</v>
      </c>
      <c r="B1599" t="s">
        <v>88</v>
      </c>
      <c r="C1599">
        <v>373.19</v>
      </c>
      <c r="D1599">
        <v>150.19999999999999</v>
      </c>
      <c r="E1599">
        <v>0</v>
      </c>
      <c r="I1599">
        <v>1.1900000000000001E-3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</row>
    <row r="1600" spans="1:20">
      <c r="A1600">
        <f t="shared" si="24"/>
        <v>1599</v>
      </c>
      <c r="B1600" t="s">
        <v>88</v>
      </c>
      <c r="C1600">
        <v>373.26</v>
      </c>
      <c r="D1600">
        <v>150.39999999999998</v>
      </c>
      <c r="E1600">
        <v>0</v>
      </c>
      <c r="I1600">
        <v>1.2099999999999999E-3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</row>
    <row r="1601" spans="1:20">
      <c r="A1601">
        <f t="shared" si="24"/>
        <v>1600</v>
      </c>
      <c r="B1601" t="s">
        <v>88</v>
      </c>
      <c r="C1601">
        <v>373.25</v>
      </c>
      <c r="D1601">
        <v>175.6</v>
      </c>
      <c r="E1601">
        <v>0</v>
      </c>
      <c r="I1601">
        <v>1.3699999999999999E-3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</row>
    <row r="1602" spans="1:20">
      <c r="A1602">
        <f t="shared" si="24"/>
        <v>1601</v>
      </c>
      <c r="B1602" t="s">
        <v>88</v>
      </c>
      <c r="C1602">
        <v>373.19</v>
      </c>
      <c r="D1602">
        <v>176.70000000000002</v>
      </c>
      <c r="E1602">
        <v>0</v>
      </c>
      <c r="I1602">
        <v>1.39E-3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</row>
    <row r="1603" spans="1:20">
      <c r="A1603">
        <f t="shared" si="24"/>
        <v>1602</v>
      </c>
      <c r="B1603" t="s">
        <v>88</v>
      </c>
      <c r="C1603">
        <v>373.19</v>
      </c>
      <c r="D1603">
        <v>204.8</v>
      </c>
      <c r="E1603">
        <v>0</v>
      </c>
      <c r="I1603">
        <v>1.5399999999999999E-3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</row>
    <row r="1604" spans="1:20">
      <c r="A1604">
        <f t="shared" ref="A1604:A1667" si="25">A1603+1</f>
        <v>1603</v>
      </c>
      <c r="B1604" t="s">
        <v>88</v>
      </c>
      <c r="C1604">
        <v>423.01</v>
      </c>
      <c r="D1604">
        <v>15.5</v>
      </c>
      <c r="E1604">
        <v>0</v>
      </c>
      <c r="I1604">
        <v>9.0000000000000006E-5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</row>
    <row r="1605" spans="1:20">
      <c r="A1605">
        <f t="shared" si="25"/>
        <v>1604</v>
      </c>
      <c r="B1605" t="s">
        <v>88</v>
      </c>
      <c r="C1605">
        <v>423.31</v>
      </c>
      <c r="D1605">
        <v>17</v>
      </c>
      <c r="E1605">
        <v>0</v>
      </c>
      <c r="I1605">
        <v>1.2E-4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</row>
    <row r="1606" spans="1:20">
      <c r="A1606">
        <f t="shared" si="25"/>
        <v>1605</v>
      </c>
      <c r="B1606" t="s">
        <v>88</v>
      </c>
      <c r="C1606">
        <v>423.41</v>
      </c>
      <c r="D1606">
        <v>25.099999999999998</v>
      </c>
      <c r="E1606">
        <v>0</v>
      </c>
      <c r="I1606">
        <v>2.0000000000000001E-4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</row>
    <row r="1607" spans="1:20">
      <c r="A1607">
        <f t="shared" si="25"/>
        <v>1606</v>
      </c>
      <c r="B1607" t="s">
        <v>88</v>
      </c>
      <c r="C1607">
        <v>422.92</v>
      </c>
      <c r="D1607">
        <v>25.7</v>
      </c>
      <c r="E1607">
        <v>0</v>
      </c>
      <c r="I1607">
        <v>2.2000000000000001E-4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</row>
    <row r="1608" spans="1:20">
      <c r="A1608">
        <f t="shared" si="25"/>
        <v>1607</v>
      </c>
      <c r="B1608" t="s">
        <v>88</v>
      </c>
      <c r="C1608">
        <v>423.22</v>
      </c>
      <c r="D1608">
        <v>54</v>
      </c>
      <c r="E1608">
        <v>0</v>
      </c>
      <c r="I1608">
        <v>5.0000000000000001E-4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</row>
    <row r="1609" spans="1:20">
      <c r="A1609">
        <f t="shared" si="25"/>
        <v>1608</v>
      </c>
      <c r="B1609" t="s">
        <v>88</v>
      </c>
      <c r="C1609">
        <v>423.22</v>
      </c>
      <c r="D1609">
        <v>75.900000000000006</v>
      </c>
      <c r="E1609">
        <v>0</v>
      </c>
      <c r="I1609">
        <v>6.6E-4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</row>
    <row r="1610" spans="1:20">
      <c r="A1610">
        <f t="shared" si="25"/>
        <v>1609</v>
      </c>
      <c r="B1610" t="s">
        <v>88</v>
      </c>
      <c r="C1610">
        <v>423.22</v>
      </c>
      <c r="D1610">
        <v>103.69999999999999</v>
      </c>
      <c r="E1610">
        <v>0</v>
      </c>
      <c r="I1610">
        <v>9.3999999999999997E-4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</row>
    <row r="1611" spans="1:20">
      <c r="A1611">
        <f t="shared" si="25"/>
        <v>1610</v>
      </c>
      <c r="B1611" t="s">
        <v>88</v>
      </c>
      <c r="C1611">
        <v>423.22</v>
      </c>
      <c r="D1611">
        <v>126.4</v>
      </c>
      <c r="E1611">
        <v>0</v>
      </c>
      <c r="I1611">
        <v>1.16E-3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</row>
    <row r="1612" spans="1:20">
      <c r="A1612">
        <f t="shared" si="25"/>
        <v>1611</v>
      </c>
      <c r="B1612" t="s">
        <v>88</v>
      </c>
      <c r="C1612">
        <v>423.21</v>
      </c>
      <c r="D1612">
        <v>153</v>
      </c>
      <c r="E1612">
        <v>0</v>
      </c>
      <c r="I1612">
        <v>1.39E-3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</row>
    <row r="1613" spans="1:20">
      <c r="A1613">
        <f t="shared" si="25"/>
        <v>1612</v>
      </c>
      <c r="B1613" t="s">
        <v>88</v>
      </c>
      <c r="C1613">
        <v>423.22</v>
      </c>
      <c r="D1613">
        <v>175.7</v>
      </c>
      <c r="E1613">
        <v>0</v>
      </c>
      <c r="I1613">
        <v>1.5299999999999999E-3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</row>
    <row r="1614" spans="1:20">
      <c r="A1614">
        <f t="shared" si="25"/>
        <v>1613</v>
      </c>
      <c r="B1614" t="s">
        <v>88</v>
      </c>
      <c r="C1614">
        <v>423.22</v>
      </c>
      <c r="D1614">
        <v>205.9</v>
      </c>
      <c r="E1614">
        <v>0</v>
      </c>
      <c r="I1614">
        <v>1.8500000000000001E-3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</row>
    <row r="1615" spans="1:20">
      <c r="A1615">
        <f t="shared" si="25"/>
        <v>1614</v>
      </c>
      <c r="B1615" t="s">
        <v>88</v>
      </c>
      <c r="C1615">
        <v>323.22000000000003</v>
      </c>
      <c r="D1615">
        <v>12.1</v>
      </c>
      <c r="E1615">
        <v>0</v>
      </c>
      <c r="F1615">
        <v>1.238E-2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</row>
    <row r="1616" spans="1:20">
      <c r="A1616">
        <f t="shared" si="25"/>
        <v>1615</v>
      </c>
      <c r="B1616" t="s">
        <v>88</v>
      </c>
      <c r="C1616">
        <v>323.2</v>
      </c>
      <c r="D1616">
        <v>20.299999999999997</v>
      </c>
      <c r="E1616">
        <v>0</v>
      </c>
      <c r="F1616">
        <v>7.4200000000000004E-3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</row>
    <row r="1617" spans="1:20">
      <c r="A1617">
        <f t="shared" si="25"/>
        <v>1616</v>
      </c>
      <c r="B1617" t="s">
        <v>88</v>
      </c>
      <c r="C1617">
        <v>323.20999999999998</v>
      </c>
      <c r="D1617">
        <v>50.4</v>
      </c>
      <c r="E1617">
        <v>0</v>
      </c>
      <c r="F1617">
        <v>2.9099999999999998E-3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</row>
    <row r="1618" spans="1:20">
      <c r="A1618">
        <f t="shared" si="25"/>
        <v>1617</v>
      </c>
      <c r="B1618" t="s">
        <v>88</v>
      </c>
      <c r="C1618">
        <v>323.20999999999998</v>
      </c>
      <c r="D1618">
        <v>62.199999999999996</v>
      </c>
      <c r="E1618">
        <v>0</v>
      </c>
      <c r="F1618">
        <v>2.4099999999999998E-3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</row>
    <row r="1619" spans="1:20">
      <c r="A1619">
        <f t="shared" si="25"/>
        <v>1618</v>
      </c>
      <c r="B1619" t="s">
        <v>88</v>
      </c>
      <c r="C1619">
        <v>323.20999999999998</v>
      </c>
      <c r="D1619">
        <v>79.400000000000006</v>
      </c>
      <c r="E1619">
        <v>0</v>
      </c>
      <c r="F1619">
        <v>1.83E-3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</row>
    <row r="1620" spans="1:20">
      <c r="A1620">
        <f t="shared" si="25"/>
        <v>1619</v>
      </c>
      <c r="B1620" t="s">
        <v>88</v>
      </c>
      <c r="C1620">
        <v>323.22000000000003</v>
      </c>
      <c r="D1620">
        <v>153.19999999999999</v>
      </c>
      <c r="E1620">
        <v>0</v>
      </c>
      <c r="F1620">
        <v>1.6100000000000001E-3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</row>
    <row r="1621" spans="1:20">
      <c r="A1621">
        <f t="shared" si="25"/>
        <v>1620</v>
      </c>
      <c r="B1621" t="s">
        <v>88</v>
      </c>
      <c r="C1621">
        <v>373.22</v>
      </c>
      <c r="D1621">
        <v>12.2</v>
      </c>
      <c r="E1621">
        <v>0</v>
      </c>
      <c r="F1621">
        <v>8.9560000000000001E-2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</row>
    <row r="1622" spans="1:20">
      <c r="A1622">
        <f t="shared" si="25"/>
        <v>1621</v>
      </c>
      <c r="B1622" t="s">
        <v>88</v>
      </c>
      <c r="C1622">
        <v>373.23</v>
      </c>
      <c r="D1622">
        <v>12.2</v>
      </c>
      <c r="E1622">
        <v>0</v>
      </c>
      <c r="F1622">
        <v>8.6790000000000006E-2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</row>
    <row r="1623" spans="1:20">
      <c r="A1623">
        <f t="shared" si="25"/>
        <v>1622</v>
      </c>
      <c r="B1623" t="s">
        <v>88</v>
      </c>
      <c r="C1623">
        <v>373.23</v>
      </c>
      <c r="D1623">
        <v>12.2</v>
      </c>
      <c r="E1623">
        <v>0</v>
      </c>
      <c r="F1623">
        <v>8.2030000000000006E-2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</row>
    <row r="1624" spans="1:20">
      <c r="A1624">
        <f t="shared" si="25"/>
        <v>1623</v>
      </c>
      <c r="B1624" t="s">
        <v>88</v>
      </c>
      <c r="C1624">
        <v>373.26</v>
      </c>
      <c r="D1624">
        <v>25.9</v>
      </c>
      <c r="E1624">
        <v>0</v>
      </c>
      <c r="F1624">
        <v>4.2470000000000001E-2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</row>
    <row r="1625" spans="1:20">
      <c r="A1625">
        <f t="shared" si="25"/>
        <v>1624</v>
      </c>
      <c r="B1625" t="s">
        <v>88</v>
      </c>
      <c r="C1625">
        <v>373.27</v>
      </c>
      <c r="D1625">
        <v>50</v>
      </c>
      <c r="E1625">
        <v>0</v>
      </c>
      <c r="F1625">
        <v>2.1870000000000001E-2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</row>
    <row r="1626" spans="1:20">
      <c r="A1626">
        <f t="shared" si="25"/>
        <v>1625</v>
      </c>
      <c r="B1626" t="s">
        <v>88</v>
      </c>
      <c r="C1626">
        <v>373.31</v>
      </c>
      <c r="D1626">
        <v>72.2</v>
      </c>
      <c r="E1626">
        <v>0</v>
      </c>
      <c r="F1626">
        <v>1.451E-2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</row>
    <row r="1627" spans="1:20">
      <c r="A1627">
        <f t="shared" si="25"/>
        <v>1626</v>
      </c>
      <c r="B1627" t="s">
        <v>88</v>
      </c>
      <c r="C1627">
        <v>373.27</v>
      </c>
      <c r="D1627">
        <v>76.900000000000006</v>
      </c>
      <c r="E1627">
        <v>0</v>
      </c>
      <c r="F1627">
        <v>1.35E-2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</row>
    <row r="1628" spans="1:20">
      <c r="A1628">
        <f t="shared" si="25"/>
        <v>1627</v>
      </c>
      <c r="B1628" t="s">
        <v>88</v>
      </c>
      <c r="C1628">
        <v>373.26</v>
      </c>
      <c r="D1628">
        <v>104.7</v>
      </c>
      <c r="E1628">
        <v>0</v>
      </c>
      <c r="F1628">
        <v>1.2840000000000001E-2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</row>
    <row r="1629" spans="1:20">
      <c r="A1629">
        <f t="shared" si="25"/>
        <v>1628</v>
      </c>
      <c r="B1629" t="s">
        <v>88</v>
      </c>
      <c r="C1629">
        <v>373.26</v>
      </c>
      <c r="D1629">
        <v>134.60000000000002</v>
      </c>
      <c r="E1629">
        <v>0</v>
      </c>
      <c r="F1629">
        <v>8.6099999999999996E-3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</row>
    <row r="1630" spans="1:20">
      <c r="A1630">
        <f t="shared" si="25"/>
        <v>1629</v>
      </c>
      <c r="B1630" t="s">
        <v>88</v>
      </c>
      <c r="C1630">
        <v>373.27</v>
      </c>
      <c r="D1630">
        <v>135.19999999999999</v>
      </c>
      <c r="E1630">
        <v>0</v>
      </c>
      <c r="F1630">
        <v>8.5500000000000003E-3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</row>
    <row r="1631" spans="1:20">
      <c r="A1631">
        <f t="shared" si="25"/>
        <v>1630</v>
      </c>
      <c r="B1631" t="s">
        <v>88</v>
      </c>
      <c r="C1631">
        <v>373.26</v>
      </c>
      <c r="D1631">
        <v>150.5</v>
      </c>
      <c r="E1631">
        <v>0</v>
      </c>
      <c r="F1631">
        <v>8.6400000000000001E-3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</row>
    <row r="1632" spans="1:20">
      <c r="A1632">
        <f t="shared" si="25"/>
        <v>1631</v>
      </c>
      <c r="B1632" t="s">
        <v>88</v>
      </c>
      <c r="C1632">
        <v>373.25</v>
      </c>
      <c r="D1632">
        <v>175.6</v>
      </c>
      <c r="E1632">
        <v>0</v>
      </c>
      <c r="F1632">
        <v>7.62E-3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</row>
    <row r="1633" spans="1:20">
      <c r="A1633">
        <f t="shared" si="25"/>
        <v>1632</v>
      </c>
      <c r="B1633" t="s">
        <v>88</v>
      </c>
      <c r="C1633">
        <v>373.27</v>
      </c>
      <c r="D1633">
        <v>202.89999999999998</v>
      </c>
      <c r="E1633">
        <v>0</v>
      </c>
      <c r="F1633">
        <v>6.7799999999999996E-3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</row>
    <row r="1634" spans="1:20">
      <c r="A1634">
        <f t="shared" si="25"/>
        <v>1633</v>
      </c>
      <c r="B1634" t="s">
        <v>88</v>
      </c>
      <c r="C1634">
        <v>423.01</v>
      </c>
      <c r="D1634">
        <v>15.5</v>
      </c>
      <c r="E1634">
        <v>0</v>
      </c>
      <c r="F1634">
        <v>0.27128999999999998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</row>
    <row r="1635" spans="1:20">
      <c r="A1635">
        <f t="shared" si="25"/>
        <v>1634</v>
      </c>
      <c r="B1635" t="s">
        <v>88</v>
      </c>
      <c r="C1635">
        <v>423.01</v>
      </c>
      <c r="D1635">
        <v>15.5</v>
      </c>
      <c r="E1635">
        <v>0</v>
      </c>
      <c r="F1635">
        <v>0.24612999999999999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</row>
    <row r="1636" spans="1:20">
      <c r="A1636">
        <f t="shared" si="25"/>
        <v>1635</v>
      </c>
      <c r="B1636" t="s">
        <v>88</v>
      </c>
      <c r="C1636">
        <v>423.39</v>
      </c>
      <c r="D1636">
        <v>25.099999999999998</v>
      </c>
      <c r="E1636">
        <v>0</v>
      </c>
      <c r="F1636">
        <v>0.15648000000000001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</row>
    <row r="1637" spans="1:20">
      <c r="A1637">
        <f t="shared" si="25"/>
        <v>1636</v>
      </c>
      <c r="B1637" t="s">
        <v>88</v>
      </c>
      <c r="C1637">
        <v>423.23</v>
      </c>
      <c r="D1637">
        <v>51.900000000000006</v>
      </c>
      <c r="E1637">
        <v>0</v>
      </c>
      <c r="F1637">
        <v>8.9069999999999996E-2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</row>
    <row r="1638" spans="1:20">
      <c r="A1638">
        <f t="shared" si="25"/>
        <v>1637</v>
      </c>
      <c r="B1638" t="s">
        <v>88</v>
      </c>
      <c r="C1638">
        <v>423.23</v>
      </c>
      <c r="D1638">
        <v>76.399999999999991</v>
      </c>
      <c r="E1638">
        <v>0</v>
      </c>
      <c r="F1638">
        <v>6.089E-2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</row>
    <row r="1639" spans="1:20">
      <c r="A1639">
        <f t="shared" si="25"/>
        <v>1638</v>
      </c>
      <c r="B1639" t="s">
        <v>88</v>
      </c>
      <c r="C1639">
        <v>423.25</v>
      </c>
      <c r="D1639">
        <v>99.7</v>
      </c>
      <c r="E1639">
        <v>0</v>
      </c>
      <c r="F1639">
        <v>5.7840000000000003E-2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</row>
    <row r="1640" spans="1:20">
      <c r="A1640">
        <f t="shared" si="25"/>
        <v>1639</v>
      </c>
      <c r="B1640" t="s">
        <v>88</v>
      </c>
      <c r="C1640">
        <v>423.26</v>
      </c>
      <c r="D1640">
        <v>127</v>
      </c>
      <c r="E1640">
        <v>0</v>
      </c>
      <c r="F1640">
        <v>4.4260000000000001E-2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</row>
    <row r="1641" spans="1:20">
      <c r="A1641">
        <f t="shared" si="25"/>
        <v>1640</v>
      </c>
      <c r="B1641" t="s">
        <v>88</v>
      </c>
      <c r="C1641">
        <v>423.26</v>
      </c>
      <c r="D1641">
        <v>151.80000000000001</v>
      </c>
      <c r="E1641">
        <v>0</v>
      </c>
      <c r="F1641">
        <v>3.5580000000000001E-2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</row>
    <row r="1642" spans="1:20">
      <c r="A1642">
        <f t="shared" si="25"/>
        <v>1641</v>
      </c>
      <c r="B1642" t="s">
        <v>88</v>
      </c>
      <c r="C1642">
        <v>423.26</v>
      </c>
      <c r="D1642">
        <v>175.6</v>
      </c>
      <c r="E1642">
        <v>0</v>
      </c>
      <c r="F1642">
        <v>2.8680000000000001E-2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</row>
    <row r="1643" spans="1:20">
      <c r="A1643">
        <f t="shared" si="25"/>
        <v>1642</v>
      </c>
      <c r="B1643" t="s">
        <v>88</v>
      </c>
      <c r="C1643">
        <v>423.26</v>
      </c>
      <c r="D1643">
        <v>203.5</v>
      </c>
      <c r="E1643">
        <v>0</v>
      </c>
      <c r="F1643">
        <v>2.606E-2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</row>
    <row r="1644" spans="1:20">
      <c r="A1644">
        <f t="shared" si="25"/>
        <v>1643</v>
      </c>
      <c r="B1644" t="s">
        <v>92</v>
      </c>
      <c r="C1644">
        <v>323.14999999999998</v>
      </c>
      <c r="D1644">
        <v>158</v>
      </c>
      <c r="E1644">
        <v>0</v>
      </c>
      <c r="F1644">
        <v>1E-3</v>
      </c>
      <c r="J1644">
        <v>2.016E-3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</row>
    <row r="1645" spans="1:20">
      <c r="A1645">
        <f t="shared" si="25"/>
        <v>1644</v>
      </c>
      <c r="B1645" t="s">
        <v>92</v>
      </c>
      <c r="C1645">
        <v>323.14999999999998</v>
      </c>
      <c r="D1645">
        <v>329.7</v>
      </c>
      <c r="E1645">
        <v>0</v>
      </c>
      <c r="F1645">
        <v>5.9999999999999995E-4</v>
      </c>
      <c r="J1645">
        <v>4.0620000000000005E-3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</row>
    <row r="1646" spans="1:20">
      <c r="A1646">
        <f t="shared" si="25"/>
        <v>1645</v>
      </c>
      <c r="B1646" t="s">
        <v>92</v>
      </c>
      <c r="C1646">
        <v>423.15</v>
      </c>
      <c r="D1646">
        <v>112.4</v>
      </c>
      <c r="E1646">
        <v>0</v>
      </c>
      <c r="F1646">
        <v>4.7699999999999999E-2</v>
      </c>
      <c r="J1646">
        <v>2.0470000000000002E-3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</row>
    <row r="1647" spans="1:20">
      <c r="A1647">
        <f t="shared" si="25"/>
        <v>1646</v>
      </c>
      <c r="B1647" t="s">
        <v>92</v>
      </c>
      <c r="C1647">
        <v>423.15</v>
      </c>
      <c r="D1647">
        <v>192.3</v>
      </c>
      <c r="E1647">
        <v>0</v>
      </c>
      <c r="F1647">
        <v>2.5499999999999998E-2</v>
      </c>
      <c r="J1647">
        <v>3.5249999999999999E-3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</row>
    <row r="1648" spans="1:20">
      <c r="A1648">
        <f t="shared" si="25"/>
        <v>1647</v>
      </c>
      <c r="B1648" t="s">
        <v>92</v>
      </c>
      <c r="C1648">
        <v>423.15</v>
      </c>
      <c r="D1648">
        <v>248.79999999999998</v>
      </c>
      <c r="E1648">
        <v>0</v>
      </c>
      <c r="F1648">
        <v>2.41E-2</v>
      </c>
      <c r="J1648">
        <v>4.529E-3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</row>
    <row r="1649" spans="1:20">
      <c r="A1649">
        <f t="shared" si="25"/>
        <v>1648</v>
      </c>
      <c r="B1649" t="s">
        <v>92</v>
      </c>
      <c r="C1649">
        <v>323.14999999999998</v>
      </c>
      <c r="D1649">
        <v>120.1</v>
      </c>
      <c r="E1649">
        <v>2.5</v>
      </c>
      <c r="F1649">
        <v>1.1999999999999999E-3</v>
      </c>
      <c r="J1649">
        <v>1.0989999999999999E-3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</row>
    <row r="1650" spans="1:20">
      <c r="A1650">
        <f t="shared" si="25"/>
        <v>1649</v>
      </c>
      <c r="B1650" t="s">
        <v>92</v>
      </c>
      <c r="C1650">
        <v>323.14999999999998</v>
      </c>
      <c r="D1650">
        <v>262.3</v>
      </c>
      <c r="E1650">
        <v>2.5</v>
      </c>
      <c r="F1650">
        <v>6.9999999999999999E-4</v>
      </c>
      <c r="J1650">
        <v>2.212E-3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</row>
    <row r="1651" spans="1:20">
      <c r="A1651">
        <f t="shared" si="25"/>
        <v>1650</v>
      </c>
      <c r="B1651" t="s">
        <v>92</v>
      </c>
      <c r="C1651">
        <v>323.14999999999998</v>
      </c>
      <c r="D1651">
        <v>394.7</v>
      </c>
      <c r="E1651">
        <v>2.5</v>
      </c>
      <c r="F1651">
        <v>5.0000000000000001E-4</v>
      </c>
      <c r="J1651">
        <v>3.4100000000000003E-3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</row>
    <row r="1652" spans="1:20">
      <c r="A1652">
        <f t="shared" si="25"/>
        <v>1651</v>
      </c>
      <c r="B1652" t="s">
        <v>92</v>
      </c>
      <c r="C1652">
        <v>373.15</v>
      </c>
      <c r="D1652">
        <v>116.4</v>
      </c>
      <c r="E1652">
        <v>2.5</v>
      </c>
      <c r="F1652">
        <v>9.9000000000000008E-3</v>
      </c>
      <c r="J1652">
        <v>1.1479999999999999E-3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</row>
    <row r="1653" spans="1:20">
      <c r="A1653">
        <f t="shared" si="25"/>
        <v>1652</v>
      </c>
      <c r="B1653" t="s">
        <v>92</v>
      </c>
      <c r="C1653">
        <v>373.15</v>
      </c>
      <c r="D1653">
        <v>191.8</v>
      </c>
      <c r="E1653">
        <v>2.5</v>
      </c>
      <c r="F1653">
        <v>6.4000000000000003E-3</v>
      </c>
      <c r="J1653">
        <v>1.8500000000000001E-3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</row>
    <row r="1654" spans="1:20">
      <c r="A1654">
        <f t="shared" si="25"/>
        <v>1653</v>
      </c>
      <c r="B1654" t="s">
        <v>92</v>
      </c>
      <c r="C1654">
        <v>373.15</v>
      </c>
      <c r="D1654">
        <v>229.4</v>
      </c>
      <c r="E1654">
        <v>2.5</v>
      </c>
      <c r="F1654">
        <v>5.4999999999999997E-3</v>
      </c>
      <c r="J1654">
        <v>2.3470000000000001E-3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</row>
    <row r="1655" spans="1:20">
      <c r="A1655">
        <f t="shared" si="25"/>
        <v>1654</v>
      </c>
      <c r="B1655" t="s">
        <v>92</v>
      </c>
      <c r="C1655">
        <v>373.15</v>
      </c>
      <c r="D1655">
        <v>277.60000000000002</v>
      </c>
      <c r="E1655">
        <v>2.5</v>
      </c>
      <c r="F1655">
        <v>4.8999999999999998E-3</v>
      </c>
      <c r="J1655">
        <v>2.8730000000000001E-3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</row>
    <row r="1656" spans="1:20">
      <c r="A1656">
        <f t="shared" si="25"/>
        <v>1655</v>
      </c>
      <c r="B1656" t="s">
        <v>92</v>
      </c>
      <c r="C1656">
        <v>373.15</v>
      </c>
      <c r="D1656">
        <v>458.1</v>
      </c>
      <c r="E1656">
        <v>2.5</v>
      </c>
      <c r="F1656">
        <v>3.5000000000000001E-3</v>
      </c>
      <c r="J1656">
        <v>4.2420000000000001E-3</v>
      </c>
      <c r="N1656">
        <v>0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</row>
    <row r="1657" spans="1:20">
      <c r="A1657">
        <f t="shared" si="25"/>
        <v>1656</v>
      </c>
      <c r="B1657" t="s">
        <v>92</v>
      </c>
      <c r="C1657">
        <v>423.15</v>
      </c>
      <c r="D1657">
        <v>149.4</v>
      </c>
      <c r="E1657">
        <v>2.5</v>
      </c>
      <c r="F1657">
        <v>3.7499999999999999E-2</v>
      </c>
      <c r="J1657">
        <v>1.7240000000000001E-3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</row>
    <row r="1658" spans="1:20">
      <c r="A1658">
        <f t="shared" si="25"/>
        <v>1657</v>
      </c>
      <c r="B1658" t="s">
        <v>92</v>
      </c>
      <c r="C1658">
        <v>423.15</v>
      </c>
      <c r="D1658">
        <v>387.29999999999995</v>
      </c>
      <c r="E1658">
        <v>2.5</v>
      </c>
      <c r="F1658">
        <v>1.7000000000000001E-2</v>
      </c>
      <c r="J1658">
        <v>4.5570000000000003E-3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</row>
    <row r="1659" spans="1:20">
      <c r="A1659">
        <f t="shared" si="25"/>
        <v>1658</v>
      </c>
      <c r="B1659" t="s">
        <v>93</v>
      </c>
      <c r="C1659">
        <v>298.2</v>
      </c>
      <c r="D1659">
        <v>100.01</v>
      </c>
      <c r="E1659">
        <v>0</v>
      </c>
      <c r="J1659">
        <v>1.35994E-3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</row>
    <row r="1660" spans="1:20">
      <c r="A1660">
        <f t="shared" si="25"/>
        <v>1659</v>
      </c>
      <c r="B1660" t="s">
        <v>93</v>
      </c>
      <c r="C1660">
        <v>298.05</v>
      </c>
      <c r="D1660">
        <v>150.01</v>
      </c>
      <c r="E1660">
        <v>0</v>
      </c>
      <c r="J1660">
        <v>1.99679E-3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</row>
    <row r="1661" spans="1:20">
      <c r="A1661">
        <f t="shared" si="25"/>
        <v>1660</v>
      </c>
      <c r="B1661" t="s">
        <v>93</v>
      </c>
      <c r="C1661">
        <v>298.14999999999998</v>
      </c>
      <c r="D1661">
        <v>200.01</v>
      </c>
      <c r="E1661">
        <v>0</v>
      </c>
      <c r="J1661">
        <v>2.6439699999999998E-3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</row>
    <row r="1662" spans="1:20">
      <c r="A1662">
        <f t="shared" si="25"/>
        <v>1661</v>
      </c>
      <c r="B1662" t="s">
        <v>93</v>
      </c>
      <c r="C1662">
        <v>298.14999999999998</v>
      </c>
      <c r="D1662">
        <v>200.01</v>
      </c>
      <c r="E1662">
        <v>0</v>
      </c>
      <c r="J1662">
        <v>2.6332E-3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</row>
    <row r="1663" spans="1:20">
      <c r="A1663">
        <f t="shared" si="25"/>
        <v>1662</v>
      </c>
      <c r="B1663" t="s">
        <v>93</v>
      </c>
      <c r="C1663">
        <v>323.55</v>
      </c>
      <c r="D1663">
        <v>101.11</v>
      </c>
      <c r="E1663">
        <v>0</v>
      </c>
      <c r="J1663">
        <v>1.25091E-3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</row>
    <row r="1664" spans="1:20">
      <c r="A1664">
        <f t="shared" si="25"/>
        <v>1663</v>
      </c>
      <c r="B1664" t="s">
        <v>93</v>
      </c>
      <c r="C1664">
        <v>323.5</v>
      </c>
      <c r="D1664">
        <v>101.31</v>
      </c>
      <c r="E1664">
        <v>0</v>
      </c>
      <c r="J1664">
        <v>1.2392499999999999E-3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</row>
    <row r="1665" spans="1:20">
      <c r="A1665">
        <f t="shared" si="25"/>
        <v>1664</v>
      </c>
      <c r="B1665" t="s">
        <v>93</v>
      </c>
      <c r="C1665">
        <v>323.85000000000002</v>
      </c>
      <c r="D1665">
        <v>130.01</v>
      </c>
      <c r="E1665">
        <v>0</v>
      </c>
      <c r="J1665">
        <v>1.59253E-3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</row>
    <row r="1666" spans="1:20">
      <c r="A1666">
        <f t="shared" si="25"/>
        <v>1665</v>
      </c>
      <c r="B1666" t="s">
        <v>93</v>
      </c>
      <c r="C1666">
        <v>323.55</v>
      </c>
      <c r="D1666">
        <v>165.01</v>
      </c>
      <c r="E1666">
        <v>0</v>
      </c>
      <c r="J1666">
        <v>2.0111700000000001E-3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</row>
    <row r="1667" spans="1:20">
      <c r="A1667">
        <f t="shared" si="25"/>
        <v>1666</v>
      </c>
      <c r="B1667" t="s">
        <v>93</v>
      </c>
      <c r="C1667">
        <v>323.3</v>
      </c>
      <c r="D1667">
        <v>199.91</v>
      </c>
      <c r="E1667">
        <v>0</v>
      </c>
      <c r="J1667">
        <v>2.4418600000000001E-3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</row>
    <row r="1668" spans="1:20">
      <c r="A1668">
        <f t="shared" ref="A1668:A1731" si="26">A1667+1</f>
        <v>1667</v>
      </c>
      <c r="B1668" t="s">
        <v>93</v>
      </c>
      <c r="C1668">
        <v>323.35000000000002</v>
      </c>
      <c r="D1668">
        <v>200.11</v>
      </c>
      <c r="E1668">
        <v>0</v>
      </c>
      <c r="J1668">
        <v>2.4547900000000001E-3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</row>
    <row r="1669" spans="1:20">
      <c r="A1669">
        <f t="shared" si="26"/>
        <v>1668</v>
      </c>
      <c r="B1669" t="s">
        <v>93</v>
      </c>
      <c r="C1669">
        <v>373.85</v>
      </c>
      <c r="D1669">
        <v>100.01</v>
      </c>
      <c r="E1669">
        <v>0</v>
      </c>
      <c r="J1669">
        <v>1.42471E-3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</row>
    <row r="1670" spans="1:20">
      <c r="A1670">
        <f t="shared" si="26"/>
        <v>1669</v>
      </c>
      <c r="B1670" t="s">
        <v>93</v>
      </c>
      <c r="C1670">
        <v>373.8</v>
      </c>
      <c r="D1670">
        <v>100.01</v>
      </c>
      <c r="E1670">
        <v>0</v>
      </c>
      <c r="J1670">
        <v>1.40332E-3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</row>
    <row r="1671" spans="1:20">
      <c r="A1671">
        <f t="shared" si="26"/>
        <v>1670</v>
      </c>
      <c r="B1671" t="s">
        <v>93</v>
      </c>
      <c r="C1671">
        <v>373.85</v>
      </c>
      <c r="D1671">
        <v>100.01</v>
      </c>
      <c r="E1671">
        <v>0</v>
      </c>
      <c r="J1671">
        <v>1.4089300000000001E-3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</row>
    <row r="1672" spans="1:20">
      <c r="A1672">
        <f t="shared" si="26"/>
        <v>1671</v>
      </c>
      <c r="B1672" t="s">
        <v>93</v>
      </c>
      <c r="C1672">
        <v>373.65</v>
      </c>
      <c r="D1672">
        <v>175.11</v>
      </c>
      <c r="E1672">
        <v>0</v>
      </c>
      <c r="J1672">
        <v>2.4334700000000001E-3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</row>
    <row r="1673" spans="1:20">
      <c r="A1673">
        <f t="shared" si="26"/>
        <v>1672</v>
      </c>
      <c r="B1673" t="s">
        <v>93</v>
      </c>
      <c r="C1673">
        <v>298.2</v>
      </c>
      <c r="D1673">
        <v>100.71</v>
      </c>
      <c r="E1673">
        <v>1</v>
      </c>
      <c r="J1673">
        <v>1.0701199999999999E-3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</row>
    <row r="1674" spans="1:20">
      <c r="A1674">
        <f t="shared" si="26"/>
        <v>1673</v>
      </c>
      <c r="B1674" t="s">
        <v>93</v>
      </c>
      <c r="C1674">
        <v>298.3</v>
      </c>
      <c r="D1674">
        <v>150.01</v>
      </c>
      <c r="E1674">
        <v>1</v>
      </c>
      <c r="J1674">
        <v>1.5929799999999999E-3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</row>
    <row r="1675" spans="1:20">
      <c r="A1675">
        <f t="shared" si="26"/>
        <v>1674</v>
      </c>
      <c r="B1675" t="s">
        <v>93</v>
      </c>
      <c r="C1675">
        <v>298.14999999999998</v>
      </c>
      <c r="D1675">
        <v>150.01</v>
      </c>
      <c r="E1675">
        <v>1</v>
      </c>
      <c r="J1675">
        <v>1.6124399999999999E-3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</row>
    <row r="1676" spans="1:20">
      <c r="A1676">
        <f t="shared" si="26"/>
        <v>1675</v>
      </c>
      <c r="B1676" t="s">
        <v>93</v>
      </c>
      <c r="C1676">
        <v>298.3</v>
      </c>
      <c r="D1676">
        <v>200.01</v>
      </c>
      <c r="E1676">
        <v>1</v>
      </c>
      <c r="J1676">
        <v>2.1357500000000001E-3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</row>
    <row r="1677" spans="1:20">
      <c r="A1677">
        <f t="shared" si="26"/>
        <v>1676</v>
      </c>
      <c r="B1677" t="s">
        <v>93</v>
      </c>
      <c r="C1677">
        <v>323.2</v>
      </c>
      <c r="D1677">
        <v>100.31</v>
      </c>
      <c r="E1677">
        <v>1</v>
      </c>
      <c r="J1677">
        <v>1.02099E-3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</row>
    <row r="1678" spans="1:20">
      <c r="A1678">
        <f t="shared" si="26"/>
        <v>1677</v>
      </c>
      <c r="B1678" t="s">
        <v>93</v>
      </c>
      <c r="C1678">
        <v>323.39999999999998</v>
      </c>
      <c r="D1678">
        <v>100.61</v>
      </c>
      <c r="E1678">
        <v>1</v>
      </c>
      <c r="J1678">
        <v>1.02078E-3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</row>
    <row r="1679" spans="1:20">
      <c r="A1679">
        <f t="shared" si="26"/>
        <v>1678</v>
      </c>
      <c r="B1679" t="s">
        <v>93</v>
      </c>
      <c r="C1679">
        <v>323.35000000000002</v>
      </c>
      <c r="D1679">
        <v>101.01</v>
      </c>
      <c r="E1679">
        <v>1</v>
      </c>
      <c r="J1679">
        <v>1.0242599999999999E-3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</row>
    <row r="1680" spans="1:20">
      <c r="A1680">
        <f t="shared" si="26"/>
        <v>1679</v>
      </c>
      <c r="B1680" t="s">
        <v>93</v>
      </c>
      <c r="C1680">
        <v>323.2</v>
      </c>
      <c r="D1680">
        <v>150.06</v>
      </c>
      <c r="E1680">
        <v>1</v>
      </c>
      <c r="J1680">
        <v>1.51377E-3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</row>
    <row r="1681" spans="1:20">
      <c r="A1681">
        <f t="shared" si="26"/>
        <v>1680</v>
      </c>
      <c r="B1681" t="s">
        <v>93</v>
      </c>
      <c r="C1681">
        <v>323.3</v>
      </c>
      <c r="D1681">
        <v>175.01</v>
      </c>
      <c r="E1681">
        <v>1</v>
      </c>
      <c r="J1681">
        <v>1.76728E-3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</row>
    <row r="1682" spans="1:20">
      <c r="A1682">
        <f t="shared" si="26"/>
        <v>1681</v>
      </c>
      <c r="B1682" t="s">
        <v>93</v>
      </c>
      <c r="C1682">
        <v>323.3</v>
      </c>
      <c r="D1682">
        <v>199.91</v>
      </c>
      <c r="E1682">
        <v>1</v>
      </c>
      <c r="J1682">
        <v>2.0259000000000002E-3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</row>
    <row r="1683" spans="1:20">
      <c r="A1683">
        <f t="shared" si="26"/>
        <v>1682</v>
      </c>
      <c r="B1683" t="s">
        <v>93</v>
      </c>
      <c r="C1683">
        <v>323.2</v>
      </c>
      <c r="D1683">
        <v>200.01</v>
      </c>
      <c r="E1683">
        <v>1</v>
      </c>
      <c r="J1683">
        <v>2.0448699999999998E-3</v>
      </c>
      <c r="N1683">
        <v>0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</row>
    <row r="1684" spans="1:20">
      <c r="A1684">
        <f t="shared" si="26"/>
        <v>1683</v>
      </c>
      <c r="B1684" t="s">
        <v>93</v>
      </c>
      <c r="C1684">
        <v>373.25</v>
      </c>
      <c r="D1684">
        <v>100.11</v>
      </c>
      <c r="E1684">
        <v>1</v>
      </c>
      <c r="J1684">
        <v>1.1967099999999999E-3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</row>
    <row r="1685" spans="1:20">
      <c r="A1685">
        <f t="shared" si="26"/>
        <v>1684</v>
      </c>
      <c r="B1685" t="s">
        <v>93</v>
      </c>
      <c r="C1685">
        <v>373.4</v>
      </c>
      <c r="D1685">
        <v>126.01</v>
      </c>
      <c r="E1685">
        <v>1</v>
      </c>
      <c r="J1685">
        <v>1.48492E-3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</row>
    <row r="1686" spans="1:20">
      <c r="A1686">
        <f t="shared" si="26"/>
        <v>1685</v>
      </c>
      <c r="B1686" t="s">
        <v>93</v>
      </c>
      <c r="C1686">
        <v>373.1</v>
      </c>
      <c r="D1686">
        <v>150.36000000000001</v>
      </c>
      <c r="E1686">
        <v>1</v>
      </c>
      <c r="J1686">
        <v>1.75595E-3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</row>
    <row r="1687" spans="1:20">
      <c r="A1687">
        <f t="shared" si="26"/>
        <v>1686</v>
      </c>
      <c r="B1687" t="s">
        <v>93</v>
      </c>
      <c r="C1687">
        <v>373.15</v>
      </c>
      <c r="D1687">
        <v>150.46</v>
      </c>
      <c r="E1687">
        <v>1</v>
      </c>
      <c r="J1687">
        <v>1.7957299999999999E-3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</row>
    <row r="1688" spans="1:20">
      <c r="A1688">
        <f t="shared" si="26"/>
        <v>1687</v>
      </c>
      <c r="B1688" t="s">
        <v>93</v>
      </c>
      <c r="C1688">
        <v>373.45</v>
      </c>
      <c r="D1688">
        <v>150.71</v>
      </c>
      <c r="E1688">
        <v>1</v>
      </c>
      <c r="J1688">
        <v>1.7734999999999999E-3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</row>
    <row r="1689" spans="1:20">
      <c r="A1689">
        <f t="shared" si="26"/>
        <v>1688</v>
      </c>
      <c r="B1689" t="s">
        <v>93</v>
      </c>
      <c r="C1689">
        <v>373.15</v>
      </c>
      <c r="D1689">
        <v>175.51</v>
      </c>
      <c r="E1689">
        <v>1</v>
      </c>
      <c r="J1689">
        <v>2.0400000000000001E-3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</row>
    <row r="1690" spans="1:20">
      <c r="A1690">
        <f t="shared" si="26"/>
        <v>1689</v>
      </c>
      <c r="B1690" t="s">
        <v>93</v>
      </c>
      <c r="C1690">
        <v>373</v>
      </c>
      <c r="D1690">
        <v>200.46</v>
      </c>
      <c r="E1690">
        <v>1</v>
      </c>
      <c r="J1690">
        <v>2.3460400000000002E-3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</row>
    <row r="1691" spans="1:20">
      <c r="A1691">
        <f t="shared" si="26"/>
        <v>1690</v>
      </c>
      <c r="B1691" t="s">
        <v>93</v>
      </c>
      <c r="C1691">
        <v>298.14999999999998</v>
      </c>
      <c r="D1691">
        <v>100.01</v>
      </c>
      <c r="E1691">
        <v>2</v>
      </c>
      <c r="J1691">
        <v>8.8639999999999997E-4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</row>
    <row r="1692" spans="1:20">
      <c r="A1692">
        <f t="shared" si="26"/>
        <v>1691</v>
      </c>
      <c r="B1692" t="s">
        <v>93</v>
      </c>
      <c r="C1692">
        <v>298.05</v>
      </c>
      <c r="D1692">
        <v>150.01</v>
      </c>
      <c r="E1692">
        <v>2</v>
      </c>
      <c r="J1692">
        <v>1.3223499999999999E-3</v>
      </c>
      <c r="N1692">
        <v>0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</row>
    <row r="1693" spans="1:20">
      <c r="A1693">
        <f t="shared" si="26"/>
        <v>1692</v>
      </c>
      <c r="B1693" t="s">
        <v>93</v>
      </c>
      <c r="C1693">
        <v>298.05</v>
      </c>
      <c r="D1693">
        <v>200.01</v>
      </c>
      <c r="E1693">
        <v>2</v>
      </c>
      <c r="J1693">
        <v>1.7184800000000001E-3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</row>
    <row r="1694" spans="1:20">
      <c r="A1694">
        <f t="shared" si="26"/>
        <v>1693</v>
      </c>
      <c r="B1694" t="s">
        <v>93</v>
      </c>
      <c r="C1694">
        <v>323.2</v>
      </c>
      <c r="D1694">
        <v>100.01</v>
      </c>
      <c r="E1694">
        <v>2</v>
      </c>
      <c r="J1694">
        <v>8.8259999999999999E-4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</row>
    <row r="1695" spans="1:20">
      <c r="A1695">
        <f t="shared" si="26"/>
        <v>1694</v>
      </c>
      <c r="B1695" t="s">
        <v>93</v>
      </c>
      <c r="C1695">
        <v>323.39999999999998</v>
      </c>
      <c r="D1695">
        <v>150.01</v>
      </c>
      <c r="E1695">
        <v>2</v>
      </c>
      <c r="J1695">
        <v>1.3124199999999999E-3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</row>
    <row r="1696" spans="1:20">
      <c r="A1696">
        <f t="shared" si="26"/>
        <v>1695</v>
      </c>
      <c r="B1696" t="s">
        <v>93</v>
      </c>
      <c r="C1696">
        <v>323.35000000000002</v>
      </c>
      <c r="D1696">
        <v>150.01</v>
      </c>
      <c r="E1696">
        <v>2</v>
      </c>
      <c r="J1696">
        <v>1.2891199999999999E-3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</row>
    <row r="1697" spans="1:20">
      <c r="A1697">
        <f t="shared" si="26"/>
        <v>1696</v>
      </c>
      <c r="B1697" t="s">
        <v>93</v>
      </c>
      <c r="C1697">
        <v>323.39999999999998</v>
      </c>
      <c r="D1697">
        <v>200.01</v>
      </c>
      <c r="E1697">
        <v>2</v>
      </c>
      <c r="J1697">
        <v>1.7240199999999999E-3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</row>
    <row r="1698" spans="1:20">
      <c r="A1698">
        <f t="shared" si="26"/>
        <v>1697</v>
      </c>
      <c r="B1698" t="s">
        <v>93</v>
      </c>
      <c r="C1698">
        <v>373.05</v>
      </c>
      <c r="D1698">
        <v>100.01</v>
      </c>
      <c r="E1698">
        <v>2</v>
      </c>
      <c r="J1698">
        <v>9.9379000000000004E-4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</row>
    <row r="1699" spans="1:20">
      <c r="A1699">
        <f t="shared" si="26"/>
        <v>1698</v>
      </c>
      <c r="B1699" t="s">
        <v>93</v>
      </c>
      <c r="C1699">
        <v>373.2</v>
      </c>
      <c r="D1699">
        <v>150.01</v>
      </c>
      <c r="E1699">
        <v>2</v>
      </c>
      <c r="J1699">
        <v>1.51866E-3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</row>
    <row r="1700" spans="1:20">
      <c r="A1700">
        <f t="shared" si="26"/>
        <v>1699</v>
      </c>
      <c r="B1700" t="s">
        <v>93</v>
      </c>
      <c r="C1700">
        <v>373.4</v>
      </c>
      <c r="D1700">
        <v>200.51</v>
      </c>
      <c r="E1700">
        <v>2</v>
      </c>
      <c r="J1700">
        <v>2.0503100000000001E-3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</row>
    <row r="1701" spans="1:20">
      <c r="A1701">
        <f t="shared" si="26"/>
        <v>1700</v>
      </c>
      <c r="B1701" t="s">
        <v>93</v>
      </c>
      <c r="C1701">
        <v>298.2</v>
      </c>
      <c r="D1701">
        <v>100.01</v>
      </c>
      <c r="E1701">
        <v>4</v>
      </c>
      <c r="J1701">
        <v>5.9422000000000001E-4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</row>
    <row r="1702" spans="1:20">
      <c r="A1702">
        <f t="shared" si="26"/>
        <v>1701</v>
      </c>
      <c r="B1702" t="s">
        <v>93</v>
      </c>
      <c r="C1702">
        <v>298.2</v>
      </c>
      <c r="D1702">
        <v>150.01</v>
      </c>
      <c r="E1702">
        <v>4</v>
      </c>
      <c r="J1702">
        <v>9.3594999999999995E-4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</row>
    <row r="1703" spans="1:20">
      <c r="A1703">
        <f t="shared" si="26"/>
        <v>1702</v>
      </c>
      <c r="B1703" t="s">
        <v>93</v>
      </c>
      <c r="C1703">
        <v>298.14999999999998</v>
      </c>
      <c r="D1703">
        <v>200.01</v>
      </c>
      <c r="E1703">
        <v>4</v>
      </c>
      <c r="J1703">
        <v>1.21838E-3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</row>
    <row r="1704" spans="1:20">
      <c r="A1704">
        <f t="shared" si="26"/>
        <v>1703</v>
      </c>
      <c r="B1704" t="s">
        <v>93</v>
      </c>
      <c r="C1704">
        <v>323.3</v>
      </c>
      <c r="D1704">
        <v>100.01</v>
      </c>
      <c r="E1704">
        <v>4</v>
      </c>
      <c r="J1704">
        <v>6.1735999999999996E-4</v>
      </c>
      <c r="N1704">
        <v>0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</row>
    <row r="1705" spans="1:20">
      <c r="A1705">
        <f t="shared" si="26"/>
        <v>1704</v>
      </c>
      <c r="B1705" t="s">
        <v>93</v>
      </c>
      <c r="C1705">
        <v>323.39999999999998</v>
      </c>
      <c r="D1705">
        <v>150.01</v>
      </c>
      <c r="E1705">
        <v>4</v>
      </c>
      <c r="J1705">
        <v>9.5752000000000001E-4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</row>
    <row r="1706" spans="1:20">
      <c r="A1706">
        <f t="shared" si="26"/>
        <v>1705</v>
      </c>
      <c r="B1706" t="s">
        <v>93</v>
      </c>
      <c r="C1706">
        <v>323.39999999999998</v>
      </c>
      <c r="D1706">
        <v>200.01</v>
      </c>
      <c r="E1706">
        <v>4</v>
      </c>
      <c r="J1706">
        <v>1.2923699999999999E-3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</row>
    <row r="1707" spans="1:20">
      <c r="A1707">
        <f t="shared" si="26"/>
        <v>1706</v>
      </c>
      <c r="B1707" t="s">
        <v>93</v>
      </c>
      <c r="C1707">
        <v>373.25</v>
      </c>
      <c r="D1707">
        <v>100.01</v>
      </c>
      <c r="E1707">
        <v>4</v>
      </c>
      <c r="J1707">
        <v>7.7990999999999998E-4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</row>
    <row r="1708" spans="1:20">
      <c r="A1708">
        <f t="shared" si="26"/>
        <v>1707</v>
      </c>
      <c r="B1708" t="s">
        <v>93</v>
      </c>
      <c r="C1708">
        <v>373.35</v>
      </c>
      <c r="D1708">
        <v>150.01</v>
      </c>
      <c r="E1708">
        <v>4</v>
      </c>
      <c r="J1708">
        <v>1.1450900000000001E-3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</row>
    <row r="1709" spans="1:20">
      <c r="A1709">
        <f t="shared" si="26"/>
        <v>1708</v>
      </c>
      <c r="B1709" t="s">
        <v>93</v>
      </c>
      <c r="C1709">
        <v>373.15</v>
      </c>
      <c r="D1709">
        <v>200.01</v>
      </c>
      <c r="E1709">
        <v>4</v>
      </c>
      <c r="J1709">
        <v>1.5746899999999999E-3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</row>
    <row r="1710" spans="1:20">
      <c r="A1710">
        <f t="shared" si="26"/>
        <v>1709</v>
      </c>
      <c r="B1710" t="s">
        <v>94</v>
      </c>
      <c r="C1710">
        <v>310.92777777777775</v>
      </c>
      <c r="D1710">
        <v>3.4473799999999999</v>
      </c>
      <c r="E1710">
        <v>0</v>
      </c>
      <c r="F1710">
        <v>1.9619999999999999E-2</v>
      </c>
      <c r="J1710">
        <v>4.49E-5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</row>
    <row r="1711" spans="1:20">
      <c r="A1711">
        <f t="shared" si="26"/>
        <v>1710</v>
      </c>
      <c r="B1711" t="s">
        <v>94</v>
      </c>
      <c r="C1711">
        <v>310.92777777777775</v>
      </c>
      <c r="D1711">
        <v>13.78952</v>
      </c>
      <c r="E1711">
        <v>0</v>
      </c>
      <c r="F1711">
        <v>4.8799999999999998E-3</v>
      </c>
      <c r="J1711">
        <v>1.8099999999999998E-4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</row>
    <row r="1712" spans="1:20">
      <c r="A1712">
        <f t="shared" si="26"/>
        <v>1711</v>
      </c>
      <c r="B1712" t="s">
        <v>94</v>
      </c>
      <c r="C1712">
        <v>310.92777777777775</v>
      </c>
      <c r="D1712">
        <v>31.026419999999998</v>
      </c>
      <c r="E1712">
        <v>0</v>
      </c>
      <c r="F1712">
        <v>2.2200000000000002E-3</v>
      </c>
      <c r="J1712">
        <v>4.0999999999999999E-4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</row>
    <row r="1713" spans="1:20">
      <c r="A1713">
        <f t="shared" si="26"/>
        <v>1712</v>
      </c>
      <c r="B1713" t="s">
        <v>94</v>
      </c>
      <c r="C1713">
        <v>310.92777777777775</v>
      </c>
      <c r="D1713">
        <v>65.500219999999999</v>
      </c>
      <c r="E1713">
        <v>0</v>
      </c>
      <c r="F1713">
        <v>1.16E-3</v>
      </c>
      <c r="J1713">
        <v>8.6200000000000003E-4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</row>
    <row r="1714" spans="1:20">
      <c r="A1714">
        <f t="shared" si="26"/>
        <v>1713</v>
      </c>
      <c r="B1714" t="s">
        <v>94</v>
      </c>
      <c r="C1714">
        <v>310.92777777777775</v>
      </c>
      <c r="D1714">
        <v>103.42139999999999</v>
      </c>
      <c r="E1714">
        <v>0</v>
      </c>
      <c r="J1714">
        <v>1.33E-3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</row>
    <row r="1715" spans="1:20">
      <c r="A1715">
        <f t="shared" si="26"/>
        <v>1714</v>
      </c>
      <c r="B1715" t="s">
        <v>94</v>
      </c>
      <c r="C1715">
        <v>310.92777777777775</v>
      </c>
      <c r="D1715">
        <v>137.89519999999999</v>
      </c>
      <c r="E1715">
        <v>0</v>
      </c>
      <c r="F1715">
        <v>5.9999999999999995E-4</v>
      </c>
      <c r="J1715">
        <v>1.758E-3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</row>
    <row r="1716" spans="1:20">
      <c r="A1716">
        <f t="shared" si="26"/>
        <v>1715</v>
      </c>
      <c r="B1716" t="s">
        <v>94</v>
      </c>
      <c r="C1716">
        <v>366.48333333333329</v>
      </c>
      <c r="D1716">
        <v>3.4473799999999999</v>
      </c>
      <c r="E1716">
        <v>0</v>
      </c>
      <c r="F1716">
        <v>0.24690000000000001</v>
      </c>
      <c r="J1716">
        <v>3.7400000000000001E-5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</row>
    <row r="1717" spans="1:20">
      <c r="A1717">
        <f t="shared" si="26"/>
        <v>1716</v>
      </c>
      <c r="B1717" t="s">
        <v>94</v>
      </c>
      <c r="C1717">
        <v>366.48333333333329</v>
      </c>
      <c r="D1717">
        <v>13.78952</v>
      </c>
      <c r="E1717">
        <v>0</v>
      </c>
      <c r="F1717">
        <v>5.8600000000000006E-2</v>
      </c>
      <c r="J1717">
        <v>1.7999999999999998E-4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</row>
    <row r="1718" spans="1:20">
      <c r="A1718">
        <f t="shared" si="26"/>
        <v>1717</v>
      </c>
      <c r="B1718" t="s">
        <v>94</v>
      </c>
      <c r="C1718">
        <v>366.48333333333329</v>
      </c>
      <c r="D1718">
        <v>31.026419999999998</v>
      </c>
      <c r="E1718">
        <v>0</v>
      </c>
      <c r="F1718">
        <v>2.64E-2</v>
      </c>
      <c r="J1718">
        <v>4.26E-4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</row>
    <row r="1719" spans="1:20">
      <c r="A1719">
        <f t="shared" si="26"/>
        <v>1718</v>
      </c>
      <c r="B1719" t="s">
        <v>94</v>
      </c>
      <c r="C1719">
        <v>366.48333333333329</v>
      </c>
      <c r="D1719">
        <v>65.500219999999999</v>
      </c>
      <c r="E1719">
        <v>0</v>
      </c>
      <c r="F1719">
        <v>1.32E-2</v>
      </c>
      <c r="J1719">
        <v>8.9300000000000002E-4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</row>
    <row r="1720" spans="1:20">
      <c r="A1720">
        <f t="shared" si="26"/>
        <v>1719</v>
      </c>
      <c r="B1720" t="s">
        <v>94</v>
      </c>
      <c r="C1720">
        <v>366.48333333333329</v>
      </c>
      <c r="D1720">
        <v>137.89519999999999</v>
      </c>
      <c r="E1720">
        <v>0</v>
      </c>
      <c r="F1720">
        <v>6.6800000000000002E-3</v>
      </c>
      <c r="J1720">
        <v>1.843E-3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</row>
    <row r="1721" spans="1:20">
      <c r="A1721">
        <f t="shared" si="26"/>
        <v>1720</v>
      </c>
      <c r="B1721" t="s">
        <v>94</v>
      </c>
      <c r="C1721">
        <v>422.03888888888889</v>
      </c>
      <c r="D1721">
        <v>31.026419999999998</v>
      </c>
      <c r="E1721">
        <v>0</v>
      </c>
      <c r="F1721">
        <v>0.15659999999999999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</row>
    <row r="1722" spans="1:20">
      <c r="A1722">
        <f t="shared" si="26"/>
        <v>1721</v>
      </c>
      <c r="B1722" t="s">
        <v>94</v>
      </c>
      <c r="C1722">
        <v>422.03888888888889</v>
      </c>
      <c r="D1722">
        <v>65.500219999999999</v>
      </c>
      <c r="E1722">
        <v>0</v>
      </c>
      <c r="F1722">
        <v>7.5300000000000006E-2</v>
      </c>
      <c r="J1722">
        <v>1.158E-3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</row>
    <row r="1723" spans="1:20">
      <c r="A1723">
        <f t="shared" si="26"/>
        <v>1722</v>
      </c>
      <c r="B1723" t="s">
        <v>94</v>
      </c>
      <c r="C1723">
        <v>422.03888888888889</v>
      </c>
      <c r="D1723">
        <v>103.42139999999999</v>
      </c>
      <c r="E1723">
        <v>0</v>
      </c>
      <c r="F1723">
        <v>5.1299999999999998E-2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</row>
    <row r="1724" spans="1:20">
      <c r="A1724">
        <f t="shared" si="26"/>
        <v>1723</v>
      </c>
      <c r="B1724" t="s">
        <v>94</v>
      </c>
      <c r="C1724">
        <v>477.59444444444443</v>
      </c>
      <c r="D1724">
        <v>31.026419999999998</v>
      </c>
      <c r="E1724">
        <v>0</v>
      </c>
      <c r="F1724">
        <v>0.55490000000000006</v>
      </c>
      <c r="J1724">
        <v>4.2900000000000002E-4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</row>
    <row r="1725" spans="1:20">
      <c r="A1725">
        <f t="shared" si="26"/>
        <v>1724</v>
      </c>
      <c r="B1725" t="s">
        <v>94</v>
      </c>
      <c r="C1725">
        <v>477.59444444444443</v>
      </c>
      <c r="D1725">
        <v>65.500219999999999</v>
      </c>
      <c r="E1725">
        <v>0</v>
      </c>
      <c r="F1725">
        <v>0.2848</v>
      </c>
      <c r="J1725">
        <v>1.4630000000000001E-3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</row>
    <row r="1726" spans="1:20">
      <c r="A1726">
        <f t="shared" si="26"/>
        <v>1725</v>
      </c>
      <c r="B1726" t="s">
        <v>94</v>
      </c>
      <c r="C1726">
        <v>477.59444444444443</v>
      </c>
      <c r="D1726">
        <v>103.42139999999999</v>
      </c>
      <c r="E1726">
        <v>0</v>
      </c>
      <c r="F1726">
        <v>0.18780000000000002</v>
      </c>
      <c r="J1726">
        <v>2.5699999999999998E-3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</row>
    <row r="1727" spans="1:20">
      <c r="A1727">
        <f t="shared" si="26"/>
        <v>1726</v>
      </c>
      <c r="B1727" t="s">
        <v>95</v>
      </c>
      <c r="C1727">
        <v>423.15</v>
      </c>
      <c r="D1727">
        <v>62.3</v>
      </c>
      <c r="E1727">
        <v>0</v>
      </c>
      <c r="F1727">
        <v>0.10299999999999998</v>
      </c>
      <c r="H1727">
        <v>2.1999999999999999E-2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>
      <c r="A1728">
        <f t="shared" si="26"/>
        <v>1727</v>
      </c>
      <c r="B1728" t="str">
        <f>B1727</f>
        <v>Zezin 2011</v>
      </c>
      <c r="C1728">
        <v>423.15</v>
      </c>
      <c r="D1728">
        <v>25.4</v>
      </c>
      <c r="E1728">
        <v>0</v>
      </c>
      <c r="F1728">
        <v>0.20399999999999996</v>
      </c>
      <c r="H1728">
        <v>8.9999999999999993E-3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 spans="1:20">
      <c r="A1729">
        <f t="shared" si="26"/>
        <v>1728</v>
      </c>
      <c r="B1729" t="str">
        <f t="shared" ref="B1729:B1784" si="27">B1728</f>
        <v>Zezin 2011</v>
      </c>
      <c r="C1729">
        <v>423.15</v>
      </c>
      <c r="D1729">
        <v>9</v>
      </c>
      <c r="E1729">
        <v>0</v>
      </c>
      <c r="F1729">
        <v>0.53100000000000003</v>
      </c>
      <c r="H1729">
        <v>2E-3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 spans="1:20">
      <c r="A1730">
        <f t="shared" si="26"/>
        <v>1729</v>
      </c>
      <c r="B1730" t="str">
        <f t="shared" si="27"/>
        <v>Zezin 2011</v>
      </c>
      <c r="C1730">
        <v>423.15</v>
      </c>
      <c r="D1730">
        <v>21.2</v>
      </c>
      <c r="E1730">
        <v>0</v>
      </c>
      <c r="F1730">
        <v>0.24</v>
      </c>
      <c r="H1730">
        <v>7.0000000000000001E-3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>
      <c r="A1731">
        <f t="shared" si="26"/>
        <v>1730</v>
      </c>
      <c r="B1731" t="str">
        <f t="shared" si="27"/>
        <v>Zezin 2011</v>
      </c>
      <c r="C1731">
        <v>423.15</v>
      </c>
      <c r="D1731">
        <v>97.7</v>
      </c>
      <c r="E1731">
        <v>0</v>
      </c>
      <c r="F1731">
        <v>8.2999999999999963E-2</v>
      </c>
      <c r="H1731">
        <v>0.03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>
      <c r="A1732">
        <f t="shared" ref="A1732:A1795" si="28">A1731+1</f>
        <v>1731</v>
      </c>
      <c r="B1732" t="str">
        <f t="shared" si="27"/>
        <v>Zezin 2011</v>
      </c>
      <c r="C1732">
        <v>423.15</v>
      </c>
      <c r="D1732">
        <v>64.5</v>
      </c>
      <c r="E1732">
        <v>0</v>
      </c>
      <c r="F1732">
        <v>0.10099999999999998</v>
      </c>
      <c r="H1732">
        <v>2.3E-2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 spans="1:20">
      <c r="A1733">
        <f t="shared" si="28"/>
        <v>1732</v>
      </c>
      <c r="B1733" t="str">
        <f t="shared" si="27"/>
        <v>Zezin 2011</v>
      </c>
      <c r="C1733">
        <v>423.15</v>
      </c>
      <c r="D1733">
        <v>73.8</v>
      </c>
      <c r="E1733">
        <v>0</v>
      </c>
      <c r="F1733">
        <v>9.2999999999999972E-2</v>
      </c>
      <c r="H1733">
        <v>2.5000000000000001E-2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>
      <c r="A1734">
        <f t="shared" si="28"/>
        <v>1733</v>
      </c>
      <c r="B1734" t="str">
        <f t="shared" si="27"/>
        <v>Zezin 2011</v>
      </c>
      <c r="C1734">
        <v>423.15</v>
      </c>
      <c r="D1734">
        <v>30.6</v>
      </c>
      <c r="E1734">
        <v>0</v>
      </c>
      <c r="F1734">
        <v>0.17400000000000004</v>
      </c>
      <c r="H1734">
        <v>1.0999999999999999E-2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>
      <c r="A1735">
        <f t="shared" si="28"/>
        <v>1734</v>
      </c>
      <c r="B1735" t="str">
        <f t="shared" si="27"/>
        <v>Zezin 2011</v>
      </c>
      <c r="C1735">
        <v>423.15</v>
      </c>
      <c r="D1735">
        <v>28.9</v>
      </c>
      <c r="E1735">
        <v>0</v>
      </c>
      <c r="F1735">
        <v>0.18300000000000005</v>
      </c>
      <c r="H1735">
        <v>1.0999999999999999E-2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>
      <c r="A1736">
        <f t="shared" si="28"/>
        <v>1735</v>
      </c>
      <c r="B1736" t="str">
        <f t="shared" si="27"/>
        <v>Zezin 2011</v>
      </c>
      <c r="C1736">
        <v>444.15</v>
      </c>
      <c r="D1736">
        <v>57</v>
      </c>
      <c r="E1736">
        <v>0</v>
      </c>
      <c r="F1736">
        <v>0.17600000000000005</v>
      </c>
      <c r="H1736">
        <v>1.9E-2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>
      <c r="A1737">
        <f t="shared" si="28"/>
        <v>1736</v>
      </c>
      <c r="B1737" t="str">
        <f t="shared" si="27"/>
        <v>Zezin 2011</v>
      </c>
      <c r="C1737">
        <v>444.15</v>
      </c>
      <c r="D1737">
        <v>103.3</v>
      </c>
      <c r="E1737">
        <v>0</v>
      </c>
      <c r="F1737">
        <v>0.127</v>
      </c>
      <c r="H1737">
        <v>0.03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 spans="1:20">
      <c r="A1738">
        <f t="shared" si="28"/>
        <v>1737</v>
      </c>
      <c r="B1738" t="str">
        <f t="shared" si="27"/>
        <v>Zezin 2011</v>
      </c>
      <c r="C1738">
        <v>444.15</v>
      </c>
      <c r="D1738">
        <v>68.5</v>
      </c>
      <c r="E1738">
        <v>0</v>
      </c>
      <c r="F1738">
        <v>0.15600000000000003</v>
      </c>
      <c r="H1738">
        <v>2.1999999999999999E-2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>
      <c r="A1739">
        <f t="shared" si="28"/>
        <v>1738</v>
      </c>
      <c r="B1739" t="str">
        <f t="shared" si="27"/>
        <v>Zezin 2011</v>
      </c>
      <c r="C1739">
        <v>444.15</v>
      </c>
      <c r="D1739">
        <v>47</v>
      </c>
      <c r="E1739">
        <v>0</v>
      </c>
      <c r="F1739">
        <v>0.20299999999999996</v>
      </c>
      <c r="H1739">
        <v>1.4999999999999999E-2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 spans="1:20">
      <c r="A1740">
        <f t="shared" si="28"/>
        <v>1739</v>
      </c>
      <c r="B1740" t="str">
        <f t="shared" si="27"/>
        <v>Zezin 2011</v>
      </c>
      <c r="C1740">
        <v>444.15</v>
      </c>
      <c r="D1740">
        <v>69.5</v>
      </c>
      <c r="E1740">
        <v>0</v>
      </c>
      <c r="F1740">
        <v>0.15400000000000003</v>
      </c>
      <c r="H1740">
        <v>2.1999999999999999E-2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>
      <c r="A1741">
        <f t="shared" si="28"/>
        <v>1740</v>
      </c>
      <c r="B1741" t="str">
        <f t="shared" si="27"/>
        <v>Zezin 2011</v>
      </c>
      <c r="C1741">
        <v>444.15</v>
      </c>
      <c r="D1741">
        <v>29.8</v>
      </c>
      <c r="E1741">
        <v>0</v>
      </c>
      <c r="F1741">
        <v>0.29400000000000004</v>
      </c>
      <c r="H1741">
        <v>8.9999999999999993E-3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>
      <c r="A1742">
        <f t="shared" si="28"/>
        <v>1741</v>
      </c>
      <c r="B1742" t="str">
        <f t="shared" si="27"/>
        <v>Zezin 2011</v>
      </c>
      <c r="C1742">
        <v>444.15</v>
      </c>
      <c r="D1742">
        <v>12.2</v>
      </c>
      <c r="E1742">
        <v>0</v>
      </c>
      <c r="F1742">
        <v>0.66300000000000003</v>
      </c>
      <c r="H1742">
        <v>2E-3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 spans="1:20">
      <c r="A1743">
        <f t="shared" si="28"/>
        <v>1742</v>
      </c>
      <c r="B1743" t="str">
        <f t="shared" si="27"/>
        <v>Zezin 2011</v>
      </c>
      <c r="C1743">
        <v>444.15</v>
      </c>
      <c r="D1743">
        <v>46.8</v>
      </c>
      <c r="E1743">
        <v>0</v>
      </c>
      <c r="F1743">
        <v>0.20399999999999996</v>
      </c>
      <c r="H1743">
        <v>1.4999999999999999E-2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 spans="1:20">
      <c r="A1744">
        <f t="shared" si="28"/>
        <v>1743</v>
      </c>
      <c r="B1744" t="str">
        <f t="shared" si="27"/>
        <v>Zezin 2011</v>
      </c>
      <c r="C1744">
        <v>444.15</v>
      </c>
      <c r="D1744">
        <v>70.099999999999994</v>
      </c>
      <c r="E1744">
        <v>0</v>
      </c>
      <c r="F1744">
        <v>0.15400000000000003</v>
      </c>
      <c r="H1744">
        <v>2.1999999999999999E-2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>
      <c r="A1745">
        <f t="shared" si="28"/>
        <v>1744</v>
      </c>
      <c r="B1745" t="str">
        <f t="shared" si="27"/>
        <v>Zezin 2011</v>
      </c>
      <c r="C1745">
        <v>444.15</v>
      </c>
      <c r="D1745">
        <v>80.7</v>
      </c>
      <c r="E1745">
        <v>0</v>
      </c>
      <c r="F1745">
        <v>0.14300000000000002</v>
      </c>
      <c r="H1745">
        <v>2.5000000000000001E-2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>
      <c r="A1746">
        <f t="shared" si="28"/>
        <v>1745</v>
      </c>
      <c r="B1746" t="str">
        <f t="shared" si="27"/>
        <v>Zezin 2011</v>
      </c>
      <c r="C1746">
        <v>445.15</v>
      </c>
      <c r="D1746">
        <v>25.1</v>
      </c>
      <c r="E1746">
        <v>0</v>
      </c>
      <c r="F1746">
        <v>0.35</v>
      </c>
      <c r="H1746">
        <v>7.0000000000000001E-3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>
      <c r="A1747">
        <f t="shared" si="28"/>
        <v>1746</v>
      </c>
      <c r="B1747" t="str">
        <f t="shared" si="27"/>
        <v>Zezin 2011</v>
      </c>
      <c r="C1747">
        <v>473.15</v>
      </c>
      <c r="D1747">
        <v>93.6</v>
      </c>
      <c r="E1747">
        <v>0</v>
      </c>
      <c r="F1747">
        <v>0.22799999999999998</v>
      </c>
      <c r="H1747">
        <v>2.7E-2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 spans="1:20">
      <c r="A1748">
        <f t="shared" si="28"/>
        <v>1747</v>
      </c>
      <c r="B1748" t="str">
        <f t="shared" si="27"/>
        <v>Zezin 2011</v>
      </c>
      <c r="C1748">
        <v>473.15</v>
      </c>
      <c r="D1748">
        <v>53.9</v>
      </c>
      <c r="E1748">
        <v>0</v>
      </c>
      <c r="F1748">
        <v>0.32999999999999996</v>
      </c>
      <c r="H1748">
        <v>1.4999999999999999E-2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>
      <c r="A1749">
        <f t="shared" si="28"/>
        <v>1748</v>
      </c>
      <c r="B1749" t="str">
        <f t="shared" si="27"/>
        <v>Zezin 2011</v>
      </c>
      <c r="C1749">
        <v>473.15</v>
      </c>
      <c r="D1749">
        <v>67.5</v>
      </c>
      <c r="E1749">
        <v>0</v>
      </c>
      <c r="F1749">
        <v>0.28000000000000003</v>
      </c>
      <c r="H1749">
        <v>0.02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>
      <c r="A1750">
        <f t="shared" si="28"/>
        <v>1749</v>
      </c>
      <c r="B1750" t="str">
        <f t="shared" si="27"/>
        <v>Zezin 2011</v>
      </c>
      <c r="C1750">
        <v>473.15</v>
      </c>
      <c r="D1750">
        <v>33.6</v>
      </c>
      <c r="E1750">
        <v>0</v>
      </c>
      <c r="F1750">
        <v>0.48499999999999999</v>
      </c>
      <c r="H1750">
        <v>8.0000000000000002E-3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>
      <c r="A1751">
        <f t="shared" si="28"/>
        <v>1750</v>
      </c>
      <c r="B1751" t="str">
        <f t="shared" si="27"/>
        <v>Zezin 2011</v>
      </c>
      <c r="C1751">
        <v>473.15</v>
      </c>
      <c r="D1751">
        <v>121.3</v>
      </c>
      <c r="E1751">
        <v>0</v>
      </c>
      <c r="F1751">
        <v>0.20399999999999996</v>
      </c>
      <c r="H1751">
        <v>3.3000000000000002E-2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 spans="1:20">
      <c r="A1752">
        <f t="shared" si="28"/>
        <v>1751</v>
      </c>
      <c r="B1752" t="str">
        <f t="shared" si="27"/>
        <v>Zezin 2011</v>
      </c>
      <c r="C1752">
        <v>473.15</v>
      </c>
      <c r="D1752">
        <v>79.900000000000006</v>
      </c>
      <c r="E1752">
        <v>0</v>
      </c>
      <c r="F1752">
        <v>0.25</v>
      </c>
      <c r="H1752">
        <v>2.4E-2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>
      <c r="A1753">
        <f t="shared" si="28"/>
        <v>1752</v>
      </c>
      <c r="B1753" t="str">
        <f t="shared" si="27"/>
        <v>Zezin 2011</v>
      </c>
      <c r="C1753">
        <v>473.15</v>
      </c>
      <c r="D1753">
        <v>53.7</v>
      </c>
      <c r="E1753">
        <v>0</v>
      </c>
      <c r="F1753">
        <v>0.32999999999999996</v>
      </c>
      <c r="H1753">
        <v>1.4999999999999999E-2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>
      <c r="A1754">
        <f t="shared" si="28"/>
        <v>1753</v>
      </c>
      <c r="B1754" t="str">
        <f t="shared" si="27"/>
        <v>Zezin 2011</v>
      </c>
      <c r="C1754">
        <v>473.15</v>
      </c>
      <c r="D1754">
        <v>82</v>
      </c>
      <c r="E1754">
        <v>0</v>
      </c>
      <c r="F1754">
        <v>0.246</v>
      </c>
      <c r="H1754">
        <v>2.4E-2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>
      <c r="A1755">
        <f t="shared" si="28"/>
        <v>1754</v>
      </c>
      <c r="B1755" t="str">
        <f t="shared" si="27"/>
        <v>Zezin 2011</v>
      </c>
      <c r="C1755">
        <v>473.15</v>
      </c>
      <c r="D1755">
        <v>38</v>
      </c>
      <c r="E1755">
        <v>0</v>
      </c>
      <c r="F1755">
        <v>0.43700000000000006</v>
      </c>
      <c r="H1755">
        <v>0.01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>
      <c r="A1756">
        <f t="shared" si="28"/>
        <v>1755</v>
      </c>
      <c r="B1756" t="str">
        <f t="shared" si="27"/>
        <v>Zezin 2011</v>
      </c>
      <c r="C1756">
        <v>473.15</v>
      </c>
      <c r="D1756">
        <v>19.3</v>
      </c>
      <c r="E1756">
        <v>0</v>
      </c>
      <c r="F1756">
        <v>0.79899999999999993</v>
      </c>
      <c r="H1756">
        <v>2E-3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>
      <c r="A1757">
        <f t="shared" si="28"/>
        <v>1756</v>
      </c>
      <c r="B1757" t="str">
        <f t="shared" si="27"/>
        <v>Zezin 2011</v>
      </c>
      <c r="C1757">
        <v>473.15</v>
      </c>
      <c r="D1757">
        <v>57.3</v>
      </c>
      <c r="E1757">
        <v>0</v>
      </c>
      <c r="F1757">
        <v>0.31499999999999995</v>
      </c>
      <c r="H1757">
        <v>1.7000000000000001E-2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>
      <c r="A1758">
        <f t="shared" si="28"/>
        <v>1757</v>
      </c>
      <c r="B1758" t="str">
        <f t="shared" si="27"/>
        <v>Zezin 2011</v>
      </c>
      <c r="C1758">
        <v>473.15</v>
      </c>
      <c r="D1758">
        <v>82.5</v>
      </c>
      <c r="E1758">
        <v>0</v>
      </c>
      <c r="F1758">
        <v>0.245</v>
      </c>
      <c r="H1758">
        <v>2.4E-2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>
      <c r="A1759">
        <f t="shared" si="28"/>
        <v>1758</v>
      </c>
      <c r="B1759" t="str">
        <f t="shared" si="27"/>
        <v>Zezin 2011</v>
      </c>
      <c r="C1759">
        <v>473.15</v>
      </c>
      <c r="D1759">
        <v>32.1</v>
      </c>
      <c r="E1759">
        <v>0</v>
      </c>
      <c r="F1759">
        <v>0.505</v>
      </c>
      <c r="H1759">
        <v>7.0000000000000001E-3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 spans="1:20">
      <c r="A1760">
        <f t="shared" si="28"/>
        <v>1759</v>
      </c>
      <c r="B1760" t="str">
        <f t="shared" si="27"/>
        <v>Zezin 2011</v>
      </c>
      <c r="C1760">
        <v>473.15</v>
      </c>
      <c r="D1760">
        <v>127.6</v>
      </c>
      <c r="E1760">
        <v>0</v>
      </c>
      <c r="F1760">
        <v>0.19999999999999996</v>
      </c>
      <c r="H1760">
        <v>3.5000000000000003E-2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>
      <c r="A1761">
        <f t="shared" si="28"/>
        <v>1760</v>
      </c>
      <c r="B1761" t="str">
        <f t="shared" si="27"/>
        <v>Zezin 2011</v>
      </c>
      <c r="C1761">
        <v>473.15</v>
      </c>
      <c r="D1761">
        <v>84.5</v>
      </c>
      <c r="E1761">
        <v>0</v>
      </c>
      <c r="F1761">
        <v>0.24199999999999999</v>
      </c>
      <c r="H1761">
        <v>2.5000000000000001E-2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>
      <c r="A1762">
        <f t="shared" si="28"/>
        <v>1761</v>
      </c>
      <c r="B1762" t="str">
        <f t="shared" si="27"/>
        <v>Zezin 2011</v>
      </c>
      <c r="C1762">
        <v>473.15</v>
      </c>
      <c r="D1762">
        <v>96.6</v>
      </c>
      <c r="E1762">
        <v>0</v>
      </c>
      <c r="F1762">
        <v>0.22499999999999998</v>
      </c>
      <c r="H1762">
        <v>2.8000000000000001E-2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 spans="1:20">
      <c r="A1763">
        <f t="shared" si="28"/>
        <v>1762</v>
      </c>
      <c r="B1763" t="str">
        <f t="shared" si="27"/>
        <v>Zezin 2011</v>
      </c>
      <c r="C1763">
        <v>473.15</v>
      </c>
      <c r="D1763">
        <v>44</v>
      </c>
      <c r="E1763">
        <v>0</v>
      </c>
      <c r="F1763">
        <v>0.38700000000000001</v>
      </c>
      <c r="H1763">
        <v>1.2E-2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 spans="1:20">
      <c r="A1764">
        <f t="shared" si="28"/>
        <v>1763</v>
      </c>
      <c r="B1764" t="str">
        <f t="shared" si="27"/>
        <v>Zezin 2011</v>
      </c>
      <c r="C1764">
        <v>473.15</v>
      </c>
      <c r="D1764">
        <v>41.3</v>
      </c>
      <c r="E1764">
        <v>0</v>
      </c>
      <c r="F1764">
        <v>0.40800000000000003</v>
      </c>
      <c r="H1764">
        <v>1.0999999999999999E-2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>
      <c r="A1765">
        <f t="shared" si="28"/>
        <v>1764</v>
      </c>
      <c r="B1765" t="str">
        <f t="shared" si="27"/>
        <v>Zezin 2011</v>
      </c>
      <c r="C1765">
        <v>478.15</v>
      </c>
      <c r="D1765">
        <v>34.6</v>
      </c>
      <c r="E1765">
        <v>0</v>
      </c>
      <c r="F1765">
        <v>0.52</v>
      </c>
      <c r="H1765">
        <v>8.0000000000000002E-3</v>
      </c>
      <c r="N1765">
        <v>0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>
      <c r="A1766">
        <f t="shared" si="28"/>
        <v>1765</v>
      </c>
      <c r="B1766" t="str">
        <f t="shared" si="27"/>
        <v>Zezin 2011</v>
      </c>
      <c r="C1766">
        <v>498.15</v>
      </c>
      <c r="D1766">
        <v>81.3</v>
      </c>
      <c r="E1766">
        <v>0</v>
      </c>
      <c r="F1766">
        <v>0.379</v>
      </c>
      <c r="H1766">
        <v>2.1999999999999999E-2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>
      <c r="A1767">
        <f t="shared" si="28"/>
        <v>1766</v>
      </c>
      <c r="B1767" t="str">
        <f t="shared" si="27"/>
        <v>Zezin 2011</v>
      </c>
      <c r="C1767">
        <v>498.15</v>
      </c>
      <c r="D1767">
        <v>95.7</v>
      </c>
      <c r="E1767">
        <v>0</v>
      </c>
      <c r="F1767">
        <v>0.34199999999999997</v>
      </c>
      <c r="H1767">
        <v>2.5999999999999999E-2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>
      <c r="A1768">
        <f t="shared" si="28"/>
        <v>1767</v>
      </c>
      <c r="B1768" t="str">
        <f t="shared" si="27"/>
        <v>Zezin 2011</v>
      </c>
      <c r="C1768">
        <v>498.15</v>
      </c>
      <c r="D1768">
        <v>48.5</v>
      </c>
      <c r="E1768">
        <v>0</v>
      </c>
      <c r="F1768">
        <v>0.55800000000000005</v>
      </c>
      <c r="H1768">
        <v>0.01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 spans="1:20">
      <c r="A1769">
        <f t="shared" si="28"/>
        <v>1768</v>
      </c>
      <c r="B1769" t="str">
        <f t="shared" si="27"/>
        <v>Zezin 2011</v>
      </c>
      <c r="C1769">
        <v>498.15</v>
      </c>
      <c r="D1769">
        <v>28.4</v>
      </c>
      <c r="E1769">
        <v>0</v>
      </c>
      <c r="F1769">
        <v>0.88700000000000001</v>
      </c>
      <c r="H1769">
        <v>2E-3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>
      <c r="A1770">
        <f t="shared" si="28"/>
        <v>1769</v>
      </c>
      <c r="B1770" t="str">
        <f t="shared" si="27"/>
        <v>Zezin 2011</v>
      </c>
      <c r="C1770">
        <v>498.15</v>
      </c>
      <c r="D1770">
        <v>69.3</v>
      </c>
      <c r="E1770">
        <v>0</v>
      </c>
      <c r="F1770">
        <v>0.42300000000000004</v>
      </c>
      <c r="H1770">
        <v>1.7999999999999999E-2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>
      <c r="A1771">
        <f t="shared" si="28"/>
        <v>1770</v>
      </c>
      <c r="B1771" t="str">
        <f t="shared" si="27"/>
        <v>Zezin 2011</v>
      </c>
      <c r="C1771">
        <v>498.15</v>
      </c>
      <c r="D1771">
        <v>96.7</v>
      </c>
      <c r="E1771">
        <v>0</v>
      </c>
      <c r="F1771">
        <v>0.33999999999999997</v>
      </c>
      <c r="H1771">
        <v>2.5999999999999999E-2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>
      <c r="A1772">
        <f t="shared" si="28"/>
        <v>1771</v>
      </c>
      <c r="B1772" t="str">
        <f t="shared" si="27"/>
        <v>Zezin 2011</v>
      </c>
      <c r="C1772">
        <v>523.15</v>
      </c>
      <c r="D1772">
        <v>58.3</v>
      </c>
      <c r="E1772">
        <v>0</v>
      </c>
      <c r="F1772">
        <v>0.71</v>
      </c>
      <c r="H1772">
        <v>8.9999999999999993E-3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>
      <c r="A1773">
        <f t="shared" si="28"/>
        <v>1772</v>
      </c>
      <c r="B1773" t="str">
        <f t="shared" si="27"/>
        <v>Zezin 2011</v>
      </c>
      <c r="C1773">
        <v>523.15</v>
      </c>
      <c r="D1773">
        <v>63.7</v>
      </c>
      <c r="E1773">
        <v>0</v>
      </c>
      <c r="F1773">
        <v>0.66199999999999992</v>
      </c>
      <c r="H1773">
        <v>1.0999999999999999E-2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>
      <c r="A1774">
        <f t="shared" si="28"/>
        <v>1773</v>
      </c>
      <c r="B1774" t="str">
        <f t="shared" si="27"/>
        <v>Zezin 2011</v>
      </c>
      <c r="C1774">
        <v>523.15</v>
      </c>
      <c r="D1774">
        <v>157.9</v>
      </c>
      <c r="E1774">
        <v>0</v>
      </c>
      <c r="F1774">
        <v>0.39</v>
      </c>
      <c r="H1774">
        <v>3.7999999999999999E-2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>
      <c r="A1775">
        <f t="shared" si="28"/>
        <v>1774</v>
      </c>
      <c r="B1775" t="str">
        <f t="shared" si="27"/>
        <v>Zezin 2011</v>
      </c>
      <c r="C1775">
        <v>523.15</v>
      </c>
      <c r="D1775">
        <v>110.6</v>
      </c>
      <c r="E1775">
        <v>0</v>
      </c>
      <c r="F1775">
        <v>0.45399999999999996</v>
      </c>
      <c r="H1775">
        <v>2.7E-2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1:20">
      <c r="A1776">
        <f t="shared" si="28"/>
        <v>1775</v>
      </c>
      <c r="B1776" t="str">
        <f t="shared" si="27"/>
        <v>Zezin 2011</v>
      </c>
      <c r="C1776">
        <v>523.15</v>
      </c>
      <c r="D1776">
        <v>62.7</v>
      </c>
      <c r="E1776">
        <v>0</v>
      </c>
      <c r="F1776">
        <v>0.66999999999999993</v>
      </c>
      <c r="H1776">
        <v>1.0999999999999999E-2</v>
      </c>
      <c r="N1776">
        <v>0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 spans="1:20">
      <c r="A1777">
        <f t="shared" si="28"/>
        <v>1776</v>
      </c>
      <c r="B1777" t="str">
        <f t="shared" si="27"/>
        <v>Zezin 2011</v>
      </c>
      <c r="C1777">
        <v>523.15</v>
      </c>
      <c r="D1777">
        <v>113.3</v>
      </c>
      <c r="E1777">
        <v>0</v>
      </c>
      <c r="F1777">
        <v>0.44799999999999995</v>
      </c>
      <c r="H1777">
        <v>2.8000000000000001E-2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 spans="1:20">
      <c r="A1778">
        <f t="shared" si="28"/>
        <v>1777</v>
      </c>
      <c r="B1778" t="str">
        <f t="shared" si="27"/>
        <v>Zezin 2011</v>
      </c>
      <c r="C1778">
        <v>523.15</v>
      </c>
      <c r="D1778">
        <v>62.8</v>
      </c>
      <c r="E1778">
        <v>0</v>
      </c>
      <c r="F1778">
        <v>0.66900000000000004</v>
      </c>
      <c r="H1778">
        <v>1.0999999999999999E-2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>
      <c r="A1779">
        <f t="shared" si="28"/>
        <v>1778</v>
      </c>
      <c r="B1779" t="str">
        <f t="shared" si="27"/>
        <v>Zezin 2011</v>
      </c>
      <c r="C1779">
        <v>523.15</v>
      </c>
      <c r="D1779">
        <v>41.8</v>
      </c>
      <c r="E1779">
        <v>0</v>
      </c>
      <c r="F1779">
        <v>0.93900000000000006</v>
      </c>
      <c r="H1779">
        <v>1E-3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>
      <c r="A1780">
        <f t="shared" si="28"/>
        <v>1779</v>
      </c>
      <c r="B1780" t="str">
        <f t="shared" si="27"/>
        <v>Zezin 2011</v>
      </c>
      <c r="C1780">
        <v>523.15</v>
      </c>
      <c r="D1780">
        <v>85.6</v>
      </c>
      <c r="E1780">
        <v>0</v>
      </c>
      <c r="F1780">
        <v>0.53200000000000003</v>
      </c>
      <c r="H1780">
        <v>1.9E-2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>
      <c r="A1781">
        <f t="shared" si="28"/>
        <v>1780</v>
      </c>
      <c r="B1781" t="str">
        <f t="shared" si="27"/>
        <v>Zezin 2011</v>
      </c>
      <c r="C1781">
        <v>523.15</v>
      </c>
      <c r="D1781">
        <v>115.9</v>
      </c>
      <c r="E1781">
        <v>0</v>
      </c>
      <c r="F1781">
        <v>0.44199999999999995</v>
      </c>
      <c r="H1781">
        <v>2.8000000000000001E-2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>
      <c r="A1782">
        <f t="shared" si="28"/>
        <v>1781</v>
      </c>
      <c r="B1782" t="str">
        <f t="shared" si="27"/>
        <v>Zezin 2011</v>
      </c>
      <c r="C1782">
        <v>523.15</v>
      </c>
      <c r="D1782">
        <v>129.69999999999999</v>
      </c>
      <c r="E1782">
        <v>0</v>
      </c>
      <c r="F1782">
        <v>0.41900000000000004</v>
      </c>
      <c r="H1782">
        <v>3.2000000000000001E-2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>
      <c r="A1783">
        <f t="shared" si="28"/>
        <v>1782</v>
      </c>
      <c r="B1783" t="str">
        <f t="shared" si="27"/>
        <v>Zezin 2011</v>
      </c>
      <c r="C1783">
        <v>523.15</v>
      </c>
      <c r="D1783">
        <v>70.8</v>
      </c>
      <c r="E1783">
        <v>0</v>
      </c>
      <c r="F1783">
        <v>0.61</v>
      </c>
      <c r="H1783">
        <v>1.4E-2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>
      <c r="A1784">
        <f t="shared" si="28"/>
        <v>1783</v>
      </c>
      <c r="B1784" t="str">
        <f t="shared" si="27"/>
        <v>Zezin 2011</v>
      </c>
      <c r="C1784">
        <v>523.15</v>
      </c>
      <c r="D1784">
        <v>67</v>
      </c>
      <c r="E1784">
        <v>0</v>
      </c>
      <c r="F1784">
        <v>0.63600000000000001</v>
      </c>
      <c r="H1784">
        <v>1.2E-2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>
      <c r="A1785">
        <f t="shared" si="28"/>
        <v>1784</v>
      </c>
      <c r="B1785" t="str">
        <f t="shared" ref="B1785:B1803" si="29">B1784</f>
        <v>Zezin 2011</v>
      </c>
      <c r="C1785">
        <v>535.15</v>
      </c>
      <c r="D1785">
        <v>134.1</v>
      </c>
      <c r="E1785">
        <v>0</v>
      </c>
      <c r="F1785">
        <v>0.48099999999999998</v>
      </c>
      <c r="H1785">
        <v>3.1E-2</v>
      </c>
      <c r="N1785">
        <v>0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>
      <c r="A1786">
        <f t="shared" si="28"/>
        <v>1785</v>
      </c>
      <c r="B1786" t="str">
        <f t="shared" si="29"/>
        <v>Zezin 2011</v>
      </c>
      <c r="C1786">
        <v>537.15</v>
      </c>
      <c r="D1786">
        <v>63.9</v>
      </c>
      <c r="E1786">
        <v>0</v>
      </c>
      <c r="F1786">
        <v>0.80400000000000005</v>
      </c>
      <c r="H1786">
        <v>7.0000000000000001E-3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>
      <c r="A1787">
        <f t="shared" si="28"/>
        <v>1786</v>
      </c>
      <c r="B1787" t="str">
        <f t="shared" si="29"/>
        <v>Zezin 2011</v>
      </c>
      <c r="C1787">
        <v>548.15</v>
      </c>
      <c r="D1787">
        <v>181.9</v>
      </c>
      <c r="E1787">
        <v>0</v>
      </c>
      <c r="F1787">
        <v>0.50900000000000001</v>
      </c>
      <c r="H1787">
        <v>3.9E-2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>
      <c r="A1788">
        <f t="shared" si="28"/>
        <v>1787</v>
      </c>
      <c r="B1788" t="str">
        <f t="shared" si="29"/>
        <v>Zezin 2011</v>
      </c>
      <c r="C1788">
        <v>548.15</v>
      </c>
      <c r="D1788">
        <v>132.30000000000001</v>
      </c>
      <c r="E1788">
        <v>0</v>
      </c>
      <c r="F1788">
        <v>0.56600000000000006</v>
      </c>
      <c r="H1788">
        <v>2.8000000000000001E-2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>
      <c r="A1789">
        <f t="shared" si="28"/>
        <v>1788</v>
      </c>
      <c r="B1789" t="str">
        <f t="shared" si="29"/>
        <v>Zezin 2011</v>
      </c>
      <c r="C1789">
        <v>548.15</v>
      </c>
      <c r="D1789">
        <v>135.5</v>
      </c>
      <c r="E1789">
        <v>0</v>
      </c>
      <c r="F1789">
        <v>0.56000000000000005</v>
      </c>
      <c r="H1789">
        <v>2.9000000000000001E-2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>
      <c r="A1790">
        <f t="shared" si="28"/>
        <v>1789</v>
      </c>
      <c r="B1790" t="str">
        <f t="shared" si="29"/>
        <v>Zezin 2011</v>
      </c>
      <c r="C1790">
        <v>548.15</v>
      </c>
      <c r="D1790">
        <v>82.5</v>
      </c>
      <c r="E1790">
        <v>0</v>
      </c>
      <c r="F1790">
        <v>0.76300000000000001</v>
      </c>
      <c r="H1790">
        <v>1.0999999999999999E-2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>
      <c r="A1791">
        <f t="shared" si="28"/>
        <v>1790</v>
      </c>
      <c r="B1791" t="str">
        <f t="shared" si="29"/>
        <v>Zezin 2011</v>
      </c>
      <c r="C1791">
        <v>548.15</v>
      </c>
      <c r="D1791">
        <v>108.9</v>
      </c>
      <c r="E1791">
        <v>0</v>
      </c>
      <c r="F1791">
        <v>0.63100000000000001</v>
      </c>
      <c r="H1791">
        <v>2.1000000000000001E-2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>
      <c r="A1792">
        <f t="shared" si="28"/>
        <v>1791</v>
      </c>
      <c r="B1792" t="str">
        <f t="shared" si="29"/>
        <v>Zezin 2011</v>
      </c>
      <c r="C1792">
        <v>573.15</v>
      </c>
      <c r="D1792">
        <v>103.9</v>
      </c>
      <c r="E1792">
        <v>0</v>
      </c>
      <c r="F1792">
        <v>0.86899999999999999</v>
      </c>
      <c r="H1792">
        <v>8.9999999999999993E-3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>
      <c r="A1793">
        <f t="shared" si="28"/>
        <v>1792</v>
      </c>
      <c r="B1793" t="str">
        <f t="shared" si="29"/>
        <v>Zezin 2011</v>
      </c>
      <c r="C1793">
        <v>573.15</v>
      </c>
      <c r="D1793">
        <v>108.3</v>
      </c>
      <c r="E1793">
        <v>0</v>
      </c>
      <c r="F1793">
        <v>0.84499999999999997</v>
      </c>
      <c r="H1793">
        <v>0.01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>
      <c r="A1794">
        <f t="shared" si="28"/>
        <v>1793</v>
      </c>
      <c r="B1794" t="str">
        <f t="shared" si="29"/>
        <v>Zezin 2011</v>
      </c>
      <c r="C1794">
        <v>573.15</v>
      </c>
      <c r="D1794">
        <v>211.6</v>
      </c>
      <c r="E1794">
        <v>0</v>
      </c>
      <c r="F1794">
        <v>0.66199999999999992</v>
      </c>
      <c r="H1794">
        <v>4.2000000000000003E-2</v>
      </c>
      <c r="N1794">
        <v>0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>
      <c r="A1795">
        <f t="shared" si="28"/>
        <v>1794</v>
      </c>
      <c r="B1795" t="str">
        <f t="shared" si="29"/>
        <v>Zezin 2011</v>
      </c>
      <c r="C1795">
        <v>573.15</v>
      </c>
      <c r="D1795">
        <v>161.19999999999999</v>
      </c>
      <c r="E1795">
        <v>0</v>
      </c>
      <c r="F1795">
        <v>0.68199999999999994</v>
      </c>
      <c r="H1795">
        <v>2.9000000000000001E-2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>
      <c r="A1796">
        <f t="shared" ref="A1796:A1859" si="30">A1795+1</f>
        <v>1795</v>
      </c>
      <c r="B1796" t="str">
        <f t="shared" si="29"/>
        <v>Zezin 2011</v>
      </c>
      <c r="C1796">
        <v>573.15</v>
      </c>
      <c r="D1796">
        <v>136</v>
      </c>
      <c r="E1796">
        <v>0</v>
      </c>
      <c r="F1796">
        <v>0.73599999999999999</v>
      </c>
      <c r="H1796">
        <v>2.1000000000000001E-2</v>
      </c>
      <c r="N1796">
        <v>0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>
      <c r="A1797">
        <f t="shared" si="30"/>
        <v>1796</v>
      </c>
      <c r="B1797" t="str">
        <f t="shared" si="29"/>
        <v>Zezin 2011</v>
      </c>
      <c r="C1797">
        <v>573.15</v>
      </c>
      <c r="D1797">
        <v>113</v>
      </c>
      <c r="E1797">
        <v>0</v>
      </c>
      <c r="F1797">
        <v>0.82200000000000006</v>
      </c>
      <c r="H1797">
        <v>1.2E-2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>
      <c r="A1798">
        <f t="shared" si="30"/>
        <v>1797</v>
      </c>
      <c r="B1798" t="str">
        <f t="shared" si="29"/>
        <v>Zezin 2011</v>
      </c>
      <c r="C1798">
        <v>577.15</v>
      </c>
      <c r="D1798">
        <v>174.9</v>
      </c>
      <c r="E1798">
        <v>0</v>
      </c>
      <c r="F1798">
        <v>0.69100000000000006</v>
      </c>
      <c r="H1798">
        <v>3.1E-2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1:20">
      <c r="A1799">
        <f t="shared" si="30"/>
        <v>1798</v>
      </c>
      <c r="B1799" t="str">
        <f t="shared" si="29"/>
        <v>Zezin 2011</v>
      </c>
      <c r="C1799">
        <v>583.15</v>
      </c>
      <c r="D1799">
        <v>116.7</v>
      </c>
      <c r="E1799">
        <v>0</v>
      </c>
      <c r="F1799">
        <v>0.89500000000000002</v>
      </c>
      <c r="H1799">
        <v>8.0000000000000002E-3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>
      <c r="A1800">
        <f t="shared" si="30"/>
        <v>1799</v>
      </c>
      <c r="B1800" t="str">
        <f t="shared" si="29"/>
        <v>Zezin 2011</v>
      </c>
      <c r="C1800">
        <v>589.15</v>
      </c>
      <c r="D1800">
        <v>191.7</v>
      </c>
      <c r="E1800">
        <v>0</v>
      </c>
      <c r="F1800">
        <v>0.78600000000000003</v>
      </c>
      <c r="H1800">
        <v>0.03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>
      <c r="A1801">
        <f t="shared" si="30"/>
        <v>1800</v>
      </c>
      <c r="B1801" t="str">
        <f t="shared" si="29"/>
        <v>Zezin 2011</v>
      </c>
      <c r="C1801">
        <v>598.15</v>
      </c>
      <c r="D1801">
        <v>136.30000000000001</v>
      </c>
      <c r="E1801">
        <v>0</v>
      </c>
      <c r="F1801">
        <v>0.94299999999999995</v>
      </c>
      <c r="H1801">
        <v>6.0000000000000001E-3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>
      <c r="A1802">
        <f t="shared" si="30"/>
        <v>1801</v>
      </c>
      <c r="B1802" t="str">
        <f t="shared" si="29"/>
        <v>Zezin 2011</v>
      </c>
      <c r="C1802">
        <v>598.15</v>
      </c>
      <c r="D1802">
        <v>198.2</v>
      </c>
      <c r="E1802">
        <v>0</v>
      </c>
      <c r="F1802">
        <v>0.76600000000000001</v>
      </c>
      <c r="H1802">
        <v>3.5000000000000003E-2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>
      <c r="A1803">
        <f t="shared" si="30"/>
        <v>1802</v>
      </c>
      <c r="B1803" t="str">
        <f t="shared" si="29"/>
        <v>Zezin 2011</v>
      </c>
      <c r="C1803">
        <v>598.15</v>
      </c>
      <c r="D1803">
        <v>168.5</v>
      </c>
      <c r="E1803">
        <v>0</v>
      </c>
      <c r="F1803">
        <v>0.85599999999999998</v>
      </c>
      <c r="H1803">
        <v>1.7999999999999999E-2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>
      <c r="A1804">
        <f t="shared" si="30"/>
        <v>1803</v>
      </c>
      <c r="B1804" t="s">
        <v>96</v>
      </c>
      <c r="C1804">
        <v>323.10000000000002</v>
      </c>
      <c r="D1804">
        <v>17.2</v>
      </c>
      <c r="E1804">
        <v>0</v>
      </c>
      <c r="H1804">
        <v>1.7500000000000002E-2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>
      <c r="A1805">
        <f t="shared" si="30"/>
        <v>1804</v>
      </c>
      <c r="B1805" t="str">
        <f>B1804</f>
        <v>Koschel 2013</v>
      </c>
      <c r="C1805">
        <v>323.10000000000002</v>
      </c>
      <c r="D1805">
        <v>18.400000000000002</v>
      </c>
      <c r="E1805">
        <v>0</v>
      </c>
      <c r="H1805">
        <v>1.8700000000000001E-2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>
      <c r="A1806">
        <f t="shared" si="30"/>
        <v>1805</v>
      </c>
      <c r="B1806" t="str">
        <f t="shared" ref="B1806:B1835" si="31">B1805</f>
        <v>Koschel 2013</v>
      </c>
      <c r="C1806">
        <v>323.10000000000002</v>
      </c>
      <c r="D1806">
        <v>78.3</v>
      </c>
      <c r="E1806">
        <v>0</v>
      </c>
      <c r="H1806">
        <v>3.8800000000000001E-2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>
      <c r="A1807">
        <f t="shared" si="30"/>
        <v>1806</v>
      </c>
      <c r="B1807" t="str">
        <f t="shared" si="31"/>
        <v>Koschel 2013</v>
      </c>
      <c r="C1807">
        <v>323.10000000000002</v>
      </c>
      <c r="D1807">
        <v>136</v>
      </c>
      <c r="E1807">
        <v>0</v>
      </c>
      <c r="H1807">
        <v>3.9E-2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>
      <c r="A1808">
        <f t="shared" si="30"/>
        <v>1807</v>
      </c>
      <c r="B1808" t="str">
        <f t="shared" si="31"/>
        <v>Koschel 2013</v>
      </c>
      <c r="C1808">
        <v>323.10000000000002</v>
      </c>
      <c r="D1808">
        <v>17.600000000000001</v>
      </c>
      <c r="E1808">
        <v>1</v>
      </c>
      <c r="H1808">
        <v>1.4800000000000001E-2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>
      <c r="A1809">
        <f t="shared" si="30"/>
        <v>1808</v>
      </c>
      <c r="B1809" t="str">
        <f t="shared" si="31"/>
        <v>Koschel 2013</v>
      </c>
      <c r="C1809">
        <v>323.10000000000002</v>
      </c>
      <c r="D1809">
        <v>78.899999999999991</v>
      </c>
      <c r="E1809">
        <v>1</v>
      </c>
      <c r="H1809">
        <v>3.3300000000000003E-2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>
      <c r="A1810">
        <f t="shared" si="30"/>
        <v>1809</v>
      </c>
      <c r="B1810" t="str">
        <f t="shared" si="31"/>
        <v>Koschel 2013</v>
      </c>
      <c r="C1810">
        <v>323.10000000000002</v>
      </c>
      <c r="D1810">
        <v>131.80000000000001</v>
      </c>
      <c r="E1810">
        <v>1</v>
      </c>
      <c r="H1810">
        <v>3.44E-2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>
      <c r="A1811">
        <f t="shared" si="30"/>
        <v>1810</v>
      </c>
      <c r="B1811" t="str">
        <f t="shared" si="31"/>
        <v>Koschel 2013</v>
      </c>
      <c r="C1811">
        <v>323.10000000000002</v>
      </c>
      <c r="D1811">
        <v>17.7</v>
      </c>
      <c r="E1811">
        <v>3</v>
      </c>
      <c r="H1811">
        <v>1.1900000000000001E-2</v>
      </c>
      <c r="N1811">
        <v>0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 spans="1:20">
      <c r="A1812">
        <f t="shared" si="30"/>
        <v>1811</v>
      </c>
      <c r="B1812" t="str">
        <f t="shared" si="31"/>
        <v>Koschel 2013</v>
      </c>
      <c r="C1812">
        <v>323.10000000000002</v>
      </c>
      <c r="D1812">
        <v>78.899999999999991</v>
      </c>
      <c r="E1812">
        <v>3</v>
      </c>
      <c r="H1812">
        <v>2.3099999999999999E-2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>
      <c r="A1813">
        <f t="shared" si="30"/>
        <v>1812</v>
      </c>
      <c r="B1813" t="str">
        <f t="shared" si="31"/>
        <v>Koschel 2013</v>
      </c>
      <c r="C1813">
        <v>323.10000000000002</v>
      </c>
      <c r="D1813">
        <v>133.19999999999999</v>
      </c>
      <c r="E1813">
        <v>3</v>
      </c>
      <c r="H1813">
        <v>2.5000000000000001E-2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>
      <c r="A1814">
        <f t="shared" si="30"/>
        <v>1813</v>
      </c>
      <c r="B1814" t="str">
        <f t="shared" si="31"/>
        <v>Koschel 2013</v>
      </c>
      <c r="C1814">
        <v>323.10000000000002</v>
      </c>
      <c r="D1814">
        <v>17.7</v>
      </c>
      <c r="E1814">
        <v>5</v>
      </c>
      <c r="H1814">
        <v>9.7000000000000003E-3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>
      <c r="A1815">
        <f t="shared" si="30"/>
        <v>1814</v>
      </c>
      <c r="B1815" t="str">
        <f t="shared" si="31"/>
        <v>Koschel 2013</v>
      </c>
      <c r="C1815">
        <v>323.10000000000002</v>
      </c>
      <c r="D1815">
        <v>78.8</v>
      </c>
      <c r="E1815">
        <v>5</v>
      </c>
      <c r="H1815">
        <v>2.1700000000000001E-2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>
      <c r="A1816">
        <f t="shared" si="30"/>
        <v>1815</v>
      </c>
      <c r="B1816" t="str">
        <f t="shared" si="31"/>
        <v>Koschel 2013</v>
      </c>
      <c r="C1816">
        <v>323.10000000000002</v>
      </c>
      <c r="D1816">
        <v>128.9</v>
      </c>
      <c r="E1816">
        <v>5</v>
      </c>
      <c r="H1816">
        <v>2.3099999999999999E-2</v>
      </c>
      <c r="N1816">
        <v>0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>
      <c r="A1817">
        <f t="shared" si="30"/>
        <v>1816</v>
      </c>
      <c r="B1817" t="str">
        <f t="shared" si="31"/>
        <v>Koschel 2013</v>
      </c>
      <c r="C1817">
        <v>353.1</v>
      </c>
      <c r="D1817">
        <v>140.19999999999999</v>
      </c>
      <c r="E1817">
        <v>0</v>
      </c>
      <c r="H1817">
        <v>4.3799999999999999E-2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>
      <c r="A1818">
        <f t="shared" si="30"/>
        <v>1817</v>
      </c>
      <c r="B1818" t="str">
        <f t="shared" si="31"/>
        <v>Koschel 2013</v>
      </c>
      <c r="C1818">
        <v>353.1</v>
      </c>
      <c r="D1818">
        <v>191.6</v>
      </c>
      <c r="E1818">
        <v>0</v>
      </c>
      <c r="H1818">
        <v>4.4299999999999999E-2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>
      <c r="A1819">
        <f t="shared" si="30"/>
        <v>1818</v>
      </c>
      <c r="B1819" t="str">
        <f t="shared" si="31"/>
        <v>Koschel 2013</v>
      </c>
      <c r="C1819">
        <v>353.1</v>
      </c>
      <c r="D1819">
        <v>254.5</v>
      </c>
      <c r="E1819">
        <v>0</v>
      </c>
      <c r="H1819">
        <v>4.5999999999999999E-2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>
      <c r="A1820">
        <f t="shared" si="30"/>
        <v>1819</v>
      </c>
      <c r="B1820" t="str">
        <f t="shared" si="31"/>
        <v>Koschel 2013</v>
      </c>
      <c r="C1820">
        <v>353.1</v>
      </c>
      <c r="D1820">
        <v>308.60000000000002</v>
      </c>
      <c r="E1820">
        <v>0</v>
      </c>
      <c r="H1820">
        <v>4.7100000000000003E-2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1:20">
      <c r="A1821">
        <f t="shared" si="30"/>
        <v>1820</v>
      </c>
      <c r="B1821" t="str">
        <f t="shared" si="31"/>
        <v>Koschel 2013</v>
      </c>
      <c r="C1821">
        <v>353.1</v>
      </c>
      <c r="D1821">
        <v>140.19999999999999</v>
      </c>
      <c r="E1821">
        <v>1</v>
      </c>
      <c r="H1821">
        <v>3.7499999999999999E-2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>
      <c r="A1822">
        <f t="shared" si="30"/>
        <v>1821</v>
      </c>
      <c r="B1822" t="str">
        <f t="shared" si="31"/>
        <v>Koschel 2013</v>
      </c>
      <c r="C1822">
        <v>353.1</v>
      </c>
      <c r="D1822">
        <v>199.20000000000002</v>
      </c>
      <c r="E1822">
        <v>1</v>
      </c>
      <c r="H1822">
        <v>3.8100000000000002E-2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>
      <c r="A1823">
        <f t="shared" si="30"/>
        <v>1822</v>
      </c>
      <c r="B1823" t="str">
        <f t="shared" si="31"/>
        <v>Koschel 2013</v>
      </c>
      <c r="C1823">
        <v>353.1</v>
      </c>
      <c r="D1823">
        <v>260</v>
      </c>
      <c r="E1823">
        <v>1</v>
      </c>
      <c r="H1823">
        <v>3.85E-2</v>
      </c>
      <c r="N1823">
        <v>0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>
      <c r="A1824">
        <f t="shared" si="30"/>
        <v>1823</v>
      </c>
      <c r="B1824" t="str">
        <f t="shared" si="31"/>
        <v>Koschel 2013</v>
      </c>
      <c r="C1824">
        <v>353.1</v>
      </c>
      <c r="D1824">
        <v>311.70000000000005</v>
      </c>
      <c r="E1824">
        <v>1</v>
      </c>
      <c r="H1824">
        <v>3.9399999999999998E-2</v>
      </c>
      <c r="N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>
      <c r="A1825">
        <f t="shared" si="30"/>
        <v>1824</v>
      </c>
      <c r="B1825" t="str">
        <f t="shared" si="31"/>
        <v>Koschel 2013</v>
      </c>
      <c r="C1825">
        <v>353.1</v>
      </c>
      <c r="D1825">
        <v>137.69999999999999</v>
      </c>
      <c r="E1825">
        <v>3</v>
      </c>
      <c r="H1825">
        <v>2.5999999999999999E-2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1:20">
      <c r="A1826">
        <f t="shared" si="30"/>
        <v>1825</v>
      </c>
      <c r="B1826" t="str">
        <f t="shared" si="31"/>
        <v>Koschel 2013</v>
      </c>
      <c r="C1826">
        <v>353.1</v>
      </c>
      <c r="D1826">
        <v>198.70000000000002</v>
      </c>
      <c r="E1826">
        <v>3</v>
      </c>
      <c r="H1826">
        <v>2.6499999999999999E-2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>
      <c r="A1827">
        <f t="shared" si="30"/>
        <v>1826</v>
      </c>
      <c r="B1827" t="str">
        <f t="shared" si="31"/>
        <v>Koschel 2013</v>
      </c>
      <c r="C1827">
        <v>353.1</v>
      </c>
      <c r="D1827">
        <v>260.5</v>
      </c>
      <c r="E1827">
        <v>3</v>
      </c>
      <c r="H1827">
        <v>2.8199999999999999E-2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>
      <c r="A1828">
        <f t="shared" si="30"/>
        <v>1827</v>
      </c>
      <c r="B1828" t="str">
        <f t="shared" si="31"/>
        <v>Koschel 2013</v>
      </c>
      <c r="C1828">
        <v>353.1</v>
      </c>
      <c r="D1828">
        <v>309.3</v>
      </c>
      <c r="E1828">
        <v>3</v>
      </c>
      <c r="H1828">
        <v>0.03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>
      <c r="A1829">
        <f t="shared" si="30"/>
        <v>1828</v>
      </c>
      <c r="B1829" t="str">
        <f t="shared" si="31"/>
        <v>Koschel 2013</v>
      </c>
      <c r="C1829">
        <v>393.1</v>
      </c>
      <c r="D1829">
        <v>135.80000000000001</v>
      </c>
      <c r="E1829">
        <v>0</v>
      </c>
      <c r="H1829">
        <v>5.5399999999999998E-2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>
      <c r="A1830">
        <f t="shared" si="30"/>
        <v>1829</v>
      </c>
      <c r="B1830" t="str">
        <f t="shared" si="31"/>
        <v>Koschel 2013</v>
      </c>
      <c r="C1830">
        <v>393.1</v>
      </c>
      <c r="D1830">
        <v>198.6</v>
      </c>
      <c r="E1830">
        <v>0</v>
      </c>
      <c r="H1830">
        <v>5.7000000000000002E-2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>
      <c r="A1831">
        <f t="shared" si="30"/>
        <v>1830</v>
      </c>
      <c r="B1831" t="str">
        <f t="shared" si="31"/>
        <v>Koschel 2013</v>
      </c>
      <c r="C1831">
        <v>393.1</v>
      </c>
      <c r="D1831">
        <v>254.8</v>
      </c>
      <c r="E1831">
        <v>0</v>
      </c>
      <c r="H1831">
        <v>5.8500000000000003E-2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>
      <c r="A1832">
        <f t="shared" si="30"/>
        <v>1831</v>
      </c>
      <c r="B1832" t="str">
        <f t="shared" si="31"/>
        <v>Koschel 2013</v>
      </c>
      <c r="C1832">
        <v>393.1</v>
      </c>
      <c r="D1832">
        <v>302.7</v>
      </c>
      <c r="E1832">
        <v>0</v>
      </c>
      <c r="H1832">
        <v>6.0299999999999999E-2</v>
      </c>
      <c r="N1832">
        <v>0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>
      <c r="A1833">
        <f t="shared" si="30"/>
        <v>1832</v>
      </c>
      <c r="B1833" t="str">
        <f t="shared" si="31"/>
        <v>Koschel 2013</v>
      </c>
      <c r="C1833">
        <v>393.1</v>
      </c>
      <c r="D1833">
        <v>135.1</v>
      </c>
      <c r="E1833">
        <v>1</v>
      </c>
      <c r="H1833">
        <v>4.6199999999999998E-2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>
      <c r="A1834">
        <f t="shared" si="30"/>
        <v>1833</v>
      </c>
      <c r="B1834" t="str">
        <f t="shared" si="31"/>
        <v>Koschel 2013</v>
      </c>
      <c r="C1834">
        <v>393.1</v>
      </c>
      <c r="D1834">
        <v>191.8</v>
      </c>
      <c r="E1834">
        <v>1</v>
      </c>
      <c r="H1834">
        <v>0.05</v>
      </c>
      <c r="N1834">
        <v>0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>
      <c r="A1835">
        <f t="shared" si="30"/>
        <v>1834</v>
      </c>
      <c r="B1835" t="str">
        <f t="shared" si="31"/>
        <v>Koschel 2013</v>
      </c>
      <c r="C1835">
        <v>393.1</v>
      </c>
      <c r="D1835">
        <v>195.9</v>
      </c>
      <c r="E1835">
        <v>3</v>
      </c>
      <c r="H1835">
        <v>3.2599999999999997E-2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>
      <c r="A1836">
        <f t="shared" si="30"/>
        <v>1835</v>
      </c>
      <c r="B1836" t="s">
        <v>97</v>
      </c>
      <c r="C1836">
        <v>296.64999999999998</v>
      </c>
      <c r="D1836">
        <v>2.95</v>
      </c>
      <c r="E1836">
        <v>0</v>
      </c>
      <c r="F1836">
        <v>9.6680000000000099E-3</v>
      </c>
      <c r="H1836">
        <v>5.483E-3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>
      <c r="A1837">
        <f t="shared" si="30"/>
        <v>1836</v>
      </c>
      <c r="B1837" t="str">
        <f t="shared" ref="B1837" si="32">B1836</f>
        <v>Suleimenov 1994</v>
      </c>
      <c r="C1837">
        <v>333.34999999999997</v>
      </c>
      <c r="D1837">
        <v>5</v>
      </c>
      <c r="E1837">
        <v>0</v>
      </c>
      <c r="F1837">
        <v>4.2000000000000037E-2</v>
      </c>
      <c r="H1837">
        <v>4.5909999999999996E-3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>
      <c r="A1838">
        <f t="shared" si="30"/>
        <v>1837</v>
      </c>
      <c r="B1838" t="str">
        <f t="shared" ref="B1838:B1884" si="33">B1837</f>
        <v>Suleimenov 1994</v>
      </c>
      <c r="C1838">
        <v>373.95</v>
      </c>
      <c r="D1838">
        <v>7.44</v>
      </c>
      <c r="E1838">
        <v>0</v>
      </c>
      <c r="F1838">
        <v>0.14586399999999999</v>
      </c>
      <c r="H1838">
        <v>4.1450000000000002E-3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>
      <c r="A1839">
        <f t="shared" si="30"/>
        <v>1838</v>
      </c>
      <c r="B1839" t="str">
        <f t="shared" si="33"/>
        <v>Suleimenov 1994</v>
      </c>
      <c r="C1839">
        <v>426.75</v>
      </c>
      <c r="D1839">
        <v>13.3</v>
      </c>
      <c r="E1839">
        <v>0</v>
      </c>
      <c r="F1839">
        <v>0.40679900000000002</v>
      </c>
      <c r="H1839">
        <v>3.9909999999999998E-3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>
      <c r="A1840">
        <f t="shared" si="30"/>
        <v>1839</v>
      </c>
      <c r="B1840" t="str">
        <f t="shared" si="33"/>
        <v>Suleimenov 1994</v>
      </c>
      <c r="C1840">
        <v>479.34999999999997</v>
      </c>
      <c r="D1840">
        <v>27.07</v>
      </c>
      <c r="E1840">
        <v>0</v>
      </c>
      <c r="F1840">
        <v>0.67138999999999993</v>
      </c>
      <c r="H1840">
        <v>4.1149999999999997E-3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>
      <c r="A1841">
        <f t="shared" si="30"/>
        <v>1840</v>
      </c>
      <c r="B1841" t="str">
        <f t="shared" si="33"/>
        <v>Suleimenov 1994</v>
      </c>
      <c r="C1841">
        <v>295.54999999999995</v>
      </c>
      <c r="D1841">
        <v>3.93</v>
      </c>
      <c r="E1841">
        <v>0</v>
      </c>
      <c r="F1841">
        <v>6.8749999999999645E-3</v>
      </c>
      <c r="H1841">
        <v>7.6509999999999998E-3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>
      <c r="A1842">
        <f t="shared" si="30"/>
        <v>1841</v>
      </c>
      <c r="B1842" t="str">
        <f t="shared" si="33"/>
        <v>Suleimenov 1994</v>
      </c>
      <c r="C1842">
        <v>424.15</v>
      </c>
      <c r="D1842">
        <v>16.03</v>
      </c>
      <c r="E1842">
        <v>0</v>
      </c>
      <c r="F1842">
        <v>0.32045100000000004</v>
      </c>
      <c r="H1842">
        <v>5.5009999999999998E-3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>
      <c r="A1843">
        <f t="shared" si="30"/>
        <v>1842</v>
      </c>
      <c r="B1843" t="str">
        <f t="shared" si="33"/>
        <v>Suleimenov 1994</v>
      </c>
      <c r="C1843">
        <v>423.95</v>
      </c>
      <c r="D1843">
        <v>16.059999999999999</v>
      </c>
      <c r="E1843">
        <v>0</v>
      </c>
      <c r="F1843">
        <v>0.31828400000000001</v>
      </c>
      <c r="H1843">
        <v>5.4720000000000003E-3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>
      <c r="A1844">
        <f t="shared" si="30"/>
        <v>1843</v>
      </c>
      <c r="B1844" t="str">
        <f t="shared" si="33"/>
        <v>Suleimenov 1994</v>
      </c>
      <c r="C1844">
        <v>308.75</v>
      </c>
      <c r="D1844">
        <v>5.56</v>
      </c>
      <c r="E1844">
        <v>0</v>
      </c>
      <c r="F1844">
        <v>1.1228000000000016E-2</v>
      </c>
      <c r="H1844">
        <v>7.6569999999999997E-3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>
      <c r="A1845">
        <f t="shared" si="30"/>
        <v>1844</v>
      </c>
      <c r="B1845" t="str">
        <f t="shared" si="33"/>
        <v>Suleimenov 1994</v>
      </c>
      <c r="C1845">
        <v>507.45</v>
      </c>
      <c r="D1845">
        <v>44.98</v>
      </c>
      <c r="E1845">
        <v>0</v>
      </c>
      <c r="F1845">
        <v>0.70513199999999998</v>
      </c>
      <c r="H1845">
        <v>7.0660000000000002E-3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>
      <c r="A1846">
        <f t="shared" si="30"/>
        <v>1845</v>
      </c>
      <c r="B1846" t="str">
        <f t="shared" si="33"/>
        <v>Suleimenov 1994</v>
      </c>
      <c r="C1846">
        <v>440.25</v>
      </c>
      <c r="D1846">
        <v>20.45</v>
      </c>
      <c r="E1846">
        <v>0</v>
      </c>
      <c r="F1846">
        <v>0.38070099999999996</v>
      </c>
      <c r="H1846">
        <v>6.3160000000000004E-3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>
      <c r="A1847">
        <f t="shared" si="30"/>
        <v>1846</v>
      </c>
      <c r="B1847" t="str">
        <f t="shared" si="33"/>
        <v>Suleimenov 1994</v>
      </c>
      <c r="C1847">
        <v>429.34999999999997</v>
      </c>
      <c r="D1847">
        <v>18.04</v>
      </c>
      <c r="E1847">
        <v>0</v>
      </c>
      <c r="F1847">
        <v>0.32796000000000003</v>
      </c>
      <c r="H1847">
        <v>6.3460000000000001E-3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>
      <c r="A1848">
        <f t="shared" si="30"/>
        <v>1847</v>
      </c>
      <c r="B1848" t="str">
        <f t="shared" si="33"/>
        <v>Suleimenov 1994</v>
      </c>
      <c r="C1848">
        <v>415.75</v>
      </c>
      <c r="D1848">
        <v>15.82</v>
      </c>
      <c r="E1848">
        <v>0</v>
      </c>
      <c r="F1848">
        <v>0.26005199999999995</v>
      </c>
      <c r="H1848">
        <v>6.2899999999999996E-3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1:20">
      <c r="A1849">
        <f t="shared" si="30"/>
        <v>1848</v>
      </c>
      <c r="B1849" t="str">
        <f t="shared" si="33"/>
        <v>Suleimenov 1994</v>
      </c>
      <c r="C1849">
        <v>413.95</v>
      </c>
      <c r="D1849">
        <v>15.91</v>
      </c>
      <c r="E1849">
        <v>0</v>
      </c>
      <c r="F1849">
        <v>0.24648300000000001</v>
      </c>
      <c r="H1849">
        <v>6.1469999999999997E-3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>
      <c r="A1850">
        <f t="shared" si="30"/>
        <v>1849</v>
      </c>
      <c r="B1850" t="str">
        <f t="shared" si="33"/>
        <v>Suleimenov 1994</v>
      </c>
      <c r="C1850">
        <v>293.95</v>
      </c>
      <c r="D1850">
        <v>4.25</v>
      </c>
      <c r="E1850">
        <v>0</v>
      </c>
      <c r="F1850">
        <v>6.1430000000000096E-3</v>
      </c>
      <c r="H1850">
        <v>8.9770000000000006E-3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>
      <c r="A1851">
        <f t="shared" si="30"/>
        <v>1850</v>
      </c>
      <c r="B1851" t="str">
        <f t="shared" si="33"/>
        <v>Suleimenov 1994</v>
      </c>
      <c r="C1851">
        <v>505.54999999999995</v>
      </c>
      <c r="D1851">
        <v>43.24</v>
      </c>
      <c r="E1851">
        <v>0</v>
      </c>
      <c r="F1851">
        <v>0.70683000000000007</v>
      </c>
      <c r="H1851">
        <v>6.4419999999999998E-3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>
      <c r="A1852">
        <f t="shared" si="30"/>
        <v>1851</v>
      </c>
      <c r="B1852" t="str">
        <f t="shared" si="33"/>
        <v>Suleimenov 1994</v>
      </c>
      <c r="C1852">
        <v>527.95000000000005</v>
      </c>
      <c r="D1852">
        <v>56.89</v>
      </c>
      <c r="E1852">
        <v>0</v>
      </c>
      <c r="F1852">
        <v>0.79071999999999998</v>
      </c>
      <c r="H1852">
        <v>6.6319999999999999E-3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>
      <c r="A1853">
        <f t="shared" si="30"/>
        <v>1852</v>
      </c>
      <c r="B1853" t="str">
        <f t="shared" si="33"/>
        <v>Suleimenov 1994</v>
      </c>
      <c r="C1853">
        <v>295.45</v>
      </c>
      <c r="D1853">
        <v>4.96</v>
      </c>
      <c r="E1853">
        <v>0</v>
      </c>
      <c r="F1853">
        <v>5.8270000000000266E-3</v>
      </c>
      <c r="H1853">
        <v>9.8860000000000007E-3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>
      <c r="A1854">
        <f t="shared" si="30"/>
        <v>1853</v>
      </c>
      <c r="B1854" t="str">
        <f t="shared" si="33"/>
        <v>Suleimenov 1994</v>
      </c>
      <c r="C1854">
        <v>515.75</v>
      </c>
      <c r="D1854">
        <v>49.46</v>
      </c>
      <c r="E1854">
        <v>0</v>
      </c>
      <c r="F1854">
        <v>0.74127100000000001</v>
      </c>
      <c r="H1854">
        <v>6.7450000000000001E-3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>
      <c r="A1855">
        <f t="shared" si="30"/>
        <v>1854</v>
      </c>
      <c r="B1855" t="str">
        <f t="shared" si="33"/>
        <v>Suleimenov 1994</v>
      </c>
      <c r="C1855">
        <v>546.15</v>
      </c>
      <c r="D1855">
        <v>73.33</v>
      </c>
      <c r="E1855">
        <v>0</v>
      </c>
      <c r="F1855">
        <v>0.82682299999999997</v>
      </c>
      <c r="H1855">
        <v>7.1029999999999999E-3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>
      <c r="A1856">
        <f t="shared" si="30"/>
        <v>1855</v>
      </c>
      <c r="B1856" t="str">
        <f t="shared" si="33"/>
        <v>Suleimenov 1994</v>
      </c>
      <c r="C1856">
        <v>515.65</v>
      </c>
      <c r="D1856">
        <v>49.29</v>
      </c>
      <c r="E1856">
        <v>0</v>
      </c>
      <c r="F1856">
        <v>0.74215399999999998</v>
      </c>
      <c r="H1856">
        <v>6.8180000000000003E-3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>
      <c r="A1857">
        <f t="shared" si="30"/>
        <v>1856</v>
      </c>
      <c r="B1857" t="str">
        <f t="shared" si="33"/>
        <v>Suleimenov 1994</v>
      </c>
      <c r="C1857">
        <v>507.84999999999997</v>
      </c>
      <c r="D1857">
        <v>44.81</v>
      </c>
      <c r="E1857">
        <v>0</v>
      </c>
      <c r="F1857">
        <v>0.71211599999999997</v>
      </c>
      <c r="H1857">
        <v>6.4869999999999997E-3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>
      <c r="A1858">
        <f t="shared" si="30"/>
        <v>1857</v>
      </c>
      <c r="B1858" t="str">
        <f t="shared" si="33"/>
        <v>Suleimenov 1994</v>
      </c>
      <c r="C1858">
        <v>494.25</v>
      </c>
      <c r="D1858">
        <v>37.42</v>
      </c>
      <c r="E1858">
        <v>0</v>
      </c>
      <c r="F1858">
        <v>0.66144199999999997</v>
      </c>
      <c r="H1858">
        <v>6.5139999999999998E-3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>
      <c r="A1859">
        <f t="shared" si="30"/>
        <v>1858</v>
      </c>
      <c r="B1859" t="str">
        <f t="shared" si="33"/>
        <v>Suleimenov 1994</v>
      </c>
      <c r="C1859">
        <v>471.34999999999997</v>
      </c>
      <c r="D1859">
        <v>28.45</v>
      </c>
      <c r="E1859">
        <v>0</v>
      </c>
      <c r="F1859">
        <v>0.55149999999999999</v>
      </c>
      <c r="H1859">
        <v>6.032E-3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>
      <c r="A1860">
        <f t="shared" ref="A1860:A1923" si="34">A1859+1</f>
        <v>1859</v>
      </c>
      <c r="B1860" t="str">
        <f t="shared" si="33"/>
        <v>Suleimenov 1994</v>
      </c>
      <c r="C1860">
        <v>358.95</v>
      </c>
      <c r="D1860">
        <v>8.66</v>
      </c>
      <c r="E1860">
        <v>0</v>
      </c>
      <c r="F1860">
        <v>7.2892999999999986E-2</v>
      </c>
      <c r="H1860">
        <v>5.8349999999999999E-3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0">
      <c r="A1861">
        <f t="shared" si="34"/>
        <v>1860</v>
      </c>
      <c r="B1861" t="str">
        <f t="shared" si="33"/>
        <v>Suleimenov 1994</v>
      </c>
      <c r="C1861">
        <v>428.25</v>
      </c>
      <c r="D1861">
        <v>16.36</v>
      </c>
      <c r="E1861">
        <v>0</v>
      </c>
      <c r="F1861">
        <v>0.34895799999999999</v>
      </c>
      <c r="H1861">
        <v>5.2890000000000003E-3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>
      <c r="A1862">
        <f t="shared" si="34"/>
        <v>1861</v>
      </c>
      <c r="B1862" t="str">
        <f t="shared" si="33"/>
        <v>Suleimenov 1994</v>
      </c>
      <c r="C1862">
        <v>295.95</v>
      </c>
      <c r="D1862">
        <v>5.41</v>
      </c>
      <c r="E1862">
        <v>0</v>
      </c>
      <c r="F1862">
        <v>5.5439999999999934E-3</v>
      </c>
      <c r="H1862">
        <v>1.0297000000000001E-2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 spans="1:20">
      <c r="A1863">
        <f t="shared" si="34"/>
        <v>1862</v>
      </c>
      <c r="B1863" t="str">
        <f t="shared" si="33"/>
        <v>Suleimenov 1994</v>
      </c>
      <c r="C1863">
        <v>466.65</v>
      </c>
      <c r="D1863">
        <v>27.28</v>
      </c>
      <c r="E1863">
        <v>0</v>
      </c>
      <c r="F1863">
        <v>0.52132099999999992</v>
      </c>
      <c r="H1863">
        <v>6.4050000000000001E-3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>
      <c r="A1864">
        <f t="shared" si="34"/>
        <v>1863</v>
      </c>
      <c r="B1864" t="str">
        <f t="shared" si="33"/>
        <v>Suleimenov 1994</v>
      </c>
      <c r="C1864">
        <v>502.75</v>
      </c>
      <c r="D1864">
        <v>42.59</v>
      </c>
      <c r="E1864">
        <v>0</v>
      </c>
      <c r="F1864">
        <v>0.68410499999999996</v>
      </c>
      <c r="H1864">
        <v>6.6909999999999999E-3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>
      <c r="A1865">
        <f t="shared" si="34"/>
        <v>1864</v>
      </c>
      <c r="B1865" t="str">
        <f t="shared" si="33"/>
        <v>Suleimenov 1994</v>
      </c>
      <c r="C1865">
        <v>294.45</v>
      </c>
      <c r="D1865">
        <v>4.29</v>
      </c>
      <c r="E1865">
        <v>0</v>
      </c>
      <c r="F1865">
        <v>6.280999999999981E-3</v>
      </c>
      <c r="H1865">
        <v>8.5190000000000005E-3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>
      <c r="A1866">
        <f t="shared" si="34"/>
        <v>1865</v>
      </c>
      <c r="B1866" t="str">
        <f t="shared" si="33"/>
        <v>Suleimenov 1994</v>
      </c>
      <c r="C1866">
        <v>564.95000000000005</v>
      </c>
      <c r="D1866">
        <v>89.38</v>
      </c>
      <c r="E1866">
        <v>0</v>
      </c>
      <c r="F1866">
        <v>0.89019499999999996</v>
      </c>
      <c r="H1866">
        <v>7.7470000000000004E-3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0">
      <c r="A1867">
        <f t="shared" si="34"/>
        <v>1866</v>
      </c>
      <c r="B1867" t="str">
        <f t="shared" si="33"/>
        <v>Suleimenov 1994</v>
      </c>
      <c r="C1867">
        <v>573.84999999999991</v>
      </c>
      <c r="D1867">
        <v>99.92</v>
      </c>
      <c r="E1867">
        <v>0</v>
      </c>
      <c r="F1867">
        <v>0.90509700000000004</v>
      </c>
      <c r="H1867">
        <v>8.0219999999999996E-3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>
      <c r="A1868">
        <f t="shared" si="34"/>
        <v>1867</v>
      </c>
      <c r="B1868" t="str">
        <f t="shared" si="33"/>
        <v>Suleimenov 1994</v>
      </c>
      <c r="C1868">
        <v>584.04999999999995</v>
      </c>
      <c r="D1868">
        <v>112.86</v>
      </c>
      <c r="E1868">
        <v>0</v>
      </c>
      <c r="F1868">
        <v>0.92230000000000001</v>
      </c>
      <c r="H1868">
        <v>8.5609999999999992E-3</v>
      </c>
      <c r="N1868">
        <v>0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>
      <c r="A1869">
        <f t="shared" si="34"/>
        <v>1868</v>
      </c>
      <c r="B1869" t="str">
        <f t="shared" si="33"/>
        <v>Suleimenov 1994</v>
      </c>
      <c r="C1869">
        <v>313.54999999999995</v>
      </c>
      <c r="D1869">
        <v>2.64</v>
      </c>
      <c r="E1869">
        <v>0</v>
      </c>
      <c r="F1869">
        <v>2.9460999999999959E-2</v>
      </c>
      <c r="H1869">
        <v>1.02E-4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>
      <c r="A1870">
        <f t="shared" si="34"/>
        <v>1869</v>
      </c>
      <c r="B1870" t="str">
        <f t="shared" si="33"/>
        <v>Suleimenov 1994</v>
      </c>
      <c r="C1870">
        <v>547.75</v>
      </c>
      <c r="D1870">
        <v>65.41</v>
      </c>
      <c r="E1870">
        <v>0</v>
      </c>
      <c r="F1870">
        <v>0.920848</v>
      </c>
      <c r="H1870">
        <v>2.8679999999999999E-3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>
      <c r="A1871">
        <f t="shared" si="34"/>
        <v>1870</v>
      </c>
      <c r="B1871" t="str">
        <f t="shared" si="33"/>
        <v>Suleimenov 1994</v>
      </c>
      <c r="C1871">
        <v>313.14999999999998</v>
      </c>
      <c r="D1871">
        <v>4.53</v>
      </c>
      <c r="E1871">
        <v>0</v>
      </c>
      <c r="F1871">
        <v>1.7208000000000001E-2</v>
      </c>
      <c r="H1871">
        <v>6.0650000000000001E-3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>
      <c r="A1872">
        <f t="shared" si="34"/>
        <v>1871</v>
      </c>
      <c r="B1872" t="str">
        <f t="shared" si="33"/>
        <v>Suleimenov 1994</v>
      </c>
      <c r="C1872">
        <v>529.54999999999995</v>
      </c>
      <c r="D1872">
        <v>55.11</v>
      </c>
      <c r="E1872">
        <v>0</v>
      </c>
      <c r="F1872">
        <v>0.82921599999999995</v>
      </c>
      <c r="H1872">
        <v>5.1279999999999997E-3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>
      <c r="A1873">
        <f t="shared" si="34"/>
        <v>1872</v>
      </c>
      <c r="B1873" t="str">
        <f t="shared" si="33"/>
        <v>Suleimenov 1994</v>
      </c>
      <c r="C1873">
        <v>539.15</v>
      </c>
      <c r="D1873">
        <v>62.63</v>
      </c>
      <c r="E1873">
        <v>0</v>
      </c>
      <c r="F1873">
        <v>0.85267899999999996</v>
      </c>
      <c r="H1873">
        <v>5.3189999999999999E-3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>
      <c r="A1874">
        <f t="shared" si="34"/>
        <v>1873</v>
      </c>
      <c r="B1874" t="str">
        <f t="shared" si="33"/>
        <v>Suleimenov 1994</v>
      </c>
      <c r="C1874">
        <v>357.75</v>
      </c>
      <c r="D1874">
        <v>9.48</v>
      </c>
      <c r="E1874">
        <v>0</v>
      </c>
      <c r="F1874">
        <v>6.3917000000000002E-2</v>
      </c>
      <c r="H1874">
        <v>6.5250000000000004E-3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>
      <c r="A1875">
        <f t="shared" si="34"/>
        <v>1874</v>
      </c>
      <c r="B1875" t="str">
        <f t="shared" si="33"/>
        <v>Suleimenov 1994</v>
      </c>
      <c r="C1875">
        <v>469.34999999999997</v>
      </c>
      <c r="D1875">
        <v>27.99</v>
      </c>
      <c r="E1875">
        <v>0</v>
      </c>
      <c r="F1875">
        <v>0.53788199999999997</v>
      </c>
      <c r="H1875">
        <v>6.1760000000000001E-3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>
      <c r="A1876">
        <f t="shared" si="34"/>
        <v>1875</v>
      </c>
      <c r="B1876" t="str">
        <f t="shared" si="33"/>
        <v>Suleimenov 1994</v>
      </c>
      <c r="C1876">
        <v>294.54999999999995</v>
      </c>
      <c r="D1876">
        <v>2.6</v>
      </c>
      <c r="E1876">
        <v>0</v>
      </c>
      <c r="F1876">
        <v>1.0174000000000016E-2</v>
      </c>
      <c r="H1876">
        <v>5.0889999999999998E-3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>
      <c r="A1877">
        <f t="shared" si="34"/>
        <v>1876</v>
      </c>
      <c r="B1877" t="str">
        <f t="shared" si="33"/>
        <v>Suleimenov 1994</v>
      </c>
      <c r="C1877">
        <v>428.54999999999995</v>
      </c>
      <c r="D1877">
        <v>11.59</v>
      </c>
      <c r="E1877">
        <v>0</v>
      </c>
      <c r="F1877">
        <v>0.48346</v>
      </c>
      <c r="H1877">
        <v>3.0279999999999999E-3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>
      <c r="A1878">
        <f t="shared" si="34"/>
        <v>1877</v>
      </c>
      <c r="B1878" t="str">
        <f t="shared" si="33"/>
        <v>Suleimenov 1994</v>
      </c>
      <c r="C1878">
        <v>297.34999999999997</v>
      </c>
      <c r="D1878">
        <v>2.2200000000000002</v>
      </c>
      <c r="E1878">
        <v>0</v>
      </c>
      <c r="F1878">
        <v>1.4032000000000044E-2</v>
      </c>
      <c r="H1878">
        <v>4.1250000000000002E-3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>
      <c r="A1879">
        <f t="shared" si="34"/>
        <v>1878</v>
      </c>
      <c r="B1879" t="str">
        <f t="shared" si="33"/>
        <v>Suleimenov 1994</v>
      </c>
      <c r="C1879">
        <v>472.95</v>
      </c>
      <c r="D1879">
        <v>21.12</v>
      </c>
      <c r="E1879">
        <v>0</v>
      </c>
      <c r="F1879">
        <v>0.74242999999999992</v>
      </c>
      <c r="H1879">
        <v>2.4750000000000002E-3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>
      <c r="A1880">
        <f t="shared" si="34"/>
        <v>1879</v>
      </c>
      <c r="B1880" t="str">
        <f t="shared" si="33"/>
        <v>Suleimenov 1994</v>
      </c>
      <c r="C1880">
        <v>489.65</v>
      </c>
      <c r="D1880">
        <v>27.55</v>
      </c>
      <c r="E1880">
        <v>0</v>
      </c>
      <c r="F1880">
        <v>0.79725400000000002</v>
      </c>
      <c r="H1880">
        <v>2.4750000000000002E-3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>
      <c r="A1881">
        <f t="shared" si="34"/>
        <v>1880</v>
      </c>
      <c r="B1881" t="str">
        <f t="shared" si="33"/>
        <v>Suleimenov 1994</v>
      </c>
      <c r="C1881">
        <v>295.95</v>
      </c>
      <c r="D1881">
        <v>7.9</v>
      </c>
      <c r="E1881">
        <v>0</v>
      </c>
      <c r="F1881">
        <v>3.9390000000000258E-3</v>
      </c>
      <c r="H1881">
        <v>1.5546000000000001E-2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>
      <c r="A1882">
        <f t="shared" si="34"/>
        <v>1881</v>
      </c>
      <c r="B1882" t="str">
        <f t="shared" si="33"/>
        <v>Suleimenov 1994</v>
      </c>
      <c r="C1882">
        <v>537.25</v>
      </c>
      <c r="D1882">
        <v>72.849999999999994</v>
      </c>
      <c r="E1882">
        <v>0</v>
      </c>
      <c r="F1882">
        <v>0.74000899999999992</v>
      </c>
      <c r="H1882">
        <v>1.1849999999999999E-2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>
      <c r="A1883">
        <f t="shared" si="34"/>
        <v>1882</v>
      </c>
      <c r="B1883" t="str">
        <f t="shared" si="33"/>
        <v>Suleimenov 1994</v>
      </c>
      <c r="C1883">
        <v>552.25</v>
      </c>
      <c r="D1883">
        <v>86.35</v>
      </c>
      <c r="E1883">
        <v>0</v>
      </c>
      <c r="F1883">
        <v>0.78839999999999999</v>
      </c>
      <c r="H1883">
        <v>1.2592000000000001E-2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>
      <c r="A1884">
        <f t="shared" si="34"/>
        <v>1883</v>
      </c>
      <c r="B1884" t="str">
        <f t="shared" si="33"/>
        <v>Suleimenov 1994</v>
      </c>
      <c r="C1884">
        <v>594.15</v>
      </c>
      <c r="D1884">
        <v>138.61000000000001</v>
      </c>
      <c r="E1884">
        <v>0</v>
      </c>
      <c r="F1884">
        <v>0.88961999999999997</v>
      </c>
      <c r="H1884">
        <v>1.5358E-2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>
      <c r="A1885">
        <f t="shared" si="34"/>
        <v>1884</v>
      </c>
      <c r="B1885" t="str">
        <f t="shared" ref="B1885:B1907" si="35">B1884</f>
        <v>Suleimenov 1994</v>
      </c>
      <c r="C1885">
        <v>428.45</v>
      </c>
      <c r="D1885">
        <v>11.96</v>
      </c>
      <c r="E1885">
        <v>0.50139999999999996</v>
      </c>
      <c r="F1885">
        <v>0.46227000000000001</v>
      </c>
      <c r="H1885">
        <v>2.7230000000000002E-3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>
      <c r="A1886">
        <f t="shared" si="34"/>
        <v>1885</v>
      </c>
      <c r="B1886" t="str">
        <f t="shared" si="35"/>
        <v>Suleimenov 1994</v>
      </c>
      <c r="C1886">
        <v>428.35</v>
      </c>
      <c r="D1886">
        <v>12.14</v>
      </c>
      <c r="E1886">
        <v>0.91739999999999999</v>
      </c>
      <c r="F1886">
        <v>0.4481</v>
      </c>
      <c r="H1886">
        <v>2.647E-3</v>
      </c>
      <c r="N1886">
        <v>0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>
      <c r="A1887">
        <f t="shared" si="34"/>
        <v>1886</v>
      </c>
      <c r="B1887" t="str">
        <f t="shared" si="35"/>
        <v>Suleimenov 1994</v>
      </c>
      <c r="C1887">
        <v>428.45</v>
      </c>
      <c r="D1887">
        <v>12.37</v>
      </c>
      <c r="E1887">
        <v>1.2661</v>
      </c>
      <c r="F1887">
        <v>0.43589</v>
      </c>
      <c r="H1887">
        <v>2.6120000000000002E-3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>
      <c r="A1888">
        <f t="shared" si="34"/>
        <v>1887</v>
      </c>
      <c r="B1888" t="str">
        <f t="shared" si="35"/>
        <v>Suleimenov 1994</v>
      </c>
      <c r="C1888">
        <v>428.55</v>
      </c>
      <c r="D1888">
        <v>12.65</v>
      </c>
      <c r="E1888">
        <v>1.5641</v>
      </c>
      <c r="F1888">
        <v>0.42326999999999998</v>
      </c>
      <c r="H1888">
        <v>2.5899999999999999E-3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>
      <c r="A1889">
        <f t="shared" si="34"/>
        <v>1888</v>
      </c>
      <c r="B1889" t="str">
        <f t="shared" si="35"/>
        <v>Suleimenov 1994</v>
      </c>
      <c r="C1889">
        <v>428.55</v>
      </c>
      <c r="D1889">
        <v>12.92</v>
      </c>
      <c r="E1889">
        <v>1.8133999999999999</v>
      </c>
      <c r="F1889">
        <v>0.41116999999999998</v>
      </c>
      <c r="H1889">
        <v>2.598E-3</v>
      </c>
      <c r="N1889">
        <v>0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>
      <c r="A1890">
        <f t="shared" si="34"/>
        <v>1889</v>
      </c>
      <c r="B1890" t="str">
        <f t="shared" si="35"/>
        <v>Suleimenov 1994</v>
      </c>
      <c r="C1890">
        <v>428.55</v>
      </c>
      <c r="D1890">
        <v>13.12</v>
      </c>
      <c r="E1890">
        <v>2.0310999999999999</v>
      </c>
      <c r="F1890">
        <v>0.40195999999999998</v>
      </c>
      <c r="H1890">
        <v>2.6570000000000001E-3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>
      <c r="A1891">
        <f t="shared" si="34"/>
        <v>1890</v>
      </c>
      <c r="B1891" t="str">
        <f t="shared" si="35"/>
        <v>Suleimenov 1994</v>
      </c>
      <c r="C1891">
        <v>428.45</v>
      </c>
      <c r="D1891">
        <v>13.42</v>
      </c>
      <c r="E1891">
        <v>2.2235</v>
      </c>
      <c r="F1891">
        <v>0.38973000000000002</v>
      </c>
      <c r="H1891">
        <v>2.6970000000000002E-3</v>
      </c>
      <c r="N1891">
        <v>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>
      <c r="A1892">
        <f t="shared" si="34"/>
        <v>1891</v>
      </c>
      <c r="B1892" t="str">
        <f t="shared" si="35"/>
        <v>Suleimenov 1994</v>
      </c>
      <c r="C1892">
        <v>428.45</v>
      </c>
      <c r="D1892">
        <v>13.71</v>
      </c>
      <c r="E1892">
        <v>2.3902999999999999</v>
      </c>
      <c r="F1892">
        <v>0.37958999999999998</v>
      </c>
      <c r="H1892">
        <v>2.764E-3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>
      <c r="A1893">
        <f t="shared" si="34"/>
        <v>1892</v>
      </c>
      <c r="B1893" t="str">
        <f t="shared" si="35"/>
        <v>Suleimenov 1994</v>
      </c>
      <c r="C1893">
        <v>428.35</v>
      </c>
      <c r="D1893">
        <v>14.05</v>
      </c>
      <c r="E1893">
        <v>2.5392999999999999</v>
      </c>
      <c r="F1893">
        <v>0.36797999999999997</v>
      </c>
      <c r="H1893">
        <v>2.8349999999999998E-3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>
      <c r="A1894">
        <f t="shared" si="34"/>
        <v>1893</v>
      </c>
      <c r="B1894" t="str">
        <f t="shared" si="35"/>
        <v>Suleimenov 1994</v>
      </c>
      <c r="C1894">
        <v>489.65</v>
      </c>
      <c r="D1894">
        <v>27.6</v>
      </c>
      <c r="E1894">
        <v>0.23530000000000001</v>
      </c>
      <c r="F1894">
        <v>0.79154999999999998</v>
      </c>
      <c r="H1894">
        <v>2.3809999999999999E-3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>
      <c r="A1895">
        <f t="shared" si="34"/>
        <v>1894</v>
      </c>
      <c r="B1895" t="str">
        <f t="shared" si="35"/>
        <v>Suleimenov 1994</v>
      </c>
      <c r="C1895">
        <v>489.65</v>
      </c>
      <c r="D1895">
        <v>27.58</v>
      </c>
      <c r="E1895">
        <v>0.63360000000000005</v>
      </c>
      <c r="F1895">
        <v>0.78107000000000004</v>
      </c>
      <c r="H1895">
        <v>2.2820000000000002E-3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>
      <c r="A1896">
        <f t="shared" si="34"/>
        <v>1895</v>
      </c>
      <c r="B1896" t="str">
        <f t="shared" si="35"/>
        <v>Suleimenov 1994</v>
      </c>
      <c r="C1896">
        <v>489.55</v>
      </c>
      <c r="D1896">
        <v>27.46</v>
      </c>
      <c r="E1896">
        <v>0.96350000000000002</v>
      </c>
      <c r="F1896">
        <v>0.77344000000000002</v>
      </c>
      <c r="H1896">
        <v>2.284E-3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>
      <c r="A1897">
        <f t="shared" si="34"/>
        <v>1896</v>
      </c>
      <c r="B1897" t="str">
        <f t="shared" si="35"/>
        <v>Suleimenov 1994</v>
      </c>
      <c r="C1897">
        <v>489.45</v>
      </c>
      <c r="D1897">
        <v>27.43</v>
      </c>
      <c r="E1897">
        <v>1.244</v>
      </c>
      <c r="F1897">
        <v>0.76488999999999996</v>
      </c>
      <c r="H1897">
        <v>2.2790000000000002E-3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>
      <c r="A1898">
        <f t="shared" si="34"/>
        <v>1897</v>
      </c>
      <c r="B1898" t="str">
        <f t="shared" si="35"/>
        <v>Suleimenov 1994</v>
      </c>
      <c r="C1898">
        <v>489.45</v>
      </c>
      <c r="D1898">
        <v>27.48</v>
      </c>
      <c r="E1898">
        <v>1.4861</v>
      </c>
      <c r="F1898">
        <v>0.75678999999999996</v>
      </c>
      <c r="H1898">
        <v>2.2920000000000002E-3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>
      <c r="A1899">
        <f t="shared" si="34"/>
        <v>1898</v>
      </c>
      <c r="B1899" t="str">
        <f t="shared" si="35"/>
        <v>Suleimenov 1994</v>
      </c>
      <c r="C1899">
        <v>489.55</v>
      </c>
      <c r="D1899">
        <v>27.56</v>
      </c>
      <c r="E1899">
        <v>1.6924999999999999</v>
      </c>
      <c r="F1899">
        <v>0.75022999999999995</v>
      </c>
      <c r="H1899">
        <v>2.333E-3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>
      <c r="A1900">
        <f t="shared" si="34"/>
        <v>1899</v>
      </c>
      <c r="B1900" t="str">
        <f t="shared" si="35"/>
        <v>Suleimenov 1994</v>
      </c>
      <c r="C1900">
        <v>489.45</v>
      </c>
      <c r="D1900">
        <v>27.7</v>
      </c>
      <c r="E1900">
        <v>1.8783000000000001</v>
      </c>
      <c r="F1900">
        <v>0.74029</v>
      </c>
      <c r="H1900">
        <v>2.3530000000000001E-3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>
      <c r="A1901">
        <f t="shared" si="34"/>
        <v>1900</v>
      </c>
      <c r="B1901" t="str">
        <f t="shared" si="35"/>
        <v>Suleimenov 1994</v>
      </c>
      <c r="C1901">
        <v>489.45</v>
      </c>
      <c r="D1901">
        <v>27.87</v>
      </c>
      <c r="E1901">
        <v>2.0424000000000002</v>
      </c>
      <c r="F1901">
        <v>0.73160999999999998</v>
      </c>
      <c r="H1901">
        <v>2.398E-3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>
      <c r="A1902">
        <f t="shared" si="34"/>
        <v>1901</v>
      </c>
      <c r="B1902" t="str">
        <f t="shared" si="35"/>
        <v>Suleimenov 1994</v>
      </c>
      <c r="C1902">
        <v>593.95000000000005</v>
      </c>
      <c r="D1902">
        <v>137.86000000000001</v>
      </c>
      <c r="E1902">
        <v>0.48820000000000002</v>
      </c>
      <c r="F1902">
        <v>0.88749</v>
      </c>
      <c r="H1902">
        <v>1.4664E-2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>
      <c r="A1903">
        <f t="shared" si="34"/>
        <v>1902</v>
      </c>
      <c r="B1903" t="str">
        <f t="shared" si="35"/>
        <v>Suleimenov 1994</v>
      </c>
      <c r="C1903">
        <v>593.65</v>
      </c>
      <c r="D1903">
        <v>137.38</v>
      </c>
      <c r="E1903">
        <v>0.88790000000000002</v>
      </c>
      <c r="F1903">
        <v>0.87317</v>
      </c>
      <c r="H1903">
        <v>1.3171E-2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>
      <c r="A1904">
        <f t="shared" si="34"/>
        <v>1903</v>
      </c>
      <c r="B1904" t="str">
        <f t="shared" si="35"/>
        <v>Suleimenov 1994</v>
      </c>
      <c r="C1904">
        <v>593.75</v>
      </c>
      <c r="D1904">
        <v>137.21</v>
      </c>
      <c r="E1904">
        <v>1.224</v>
      </c>
      <c r="F1904">
        <v>0.86260999999999999</v>
      </c>
      <c r="H1904">
        <v>1.2418999999999999E-2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>
      <c r="A1905">
        <f t="shared" si="34"/>
        <v>1904</v>
      </c>
      <c r="B1905" t="str">
        <f t="shared" si="35"/>
        <v>Suleimenov 1994</v>
      </c>
      <c r="C1905">
        <v>593.65</v>
      </c>
      <c r="D1905">
        <v>137.54</v>
      </c>
      <c r="E1905">
        <v>1.5157</v>
      </c>
      <c r="F1905">
        <v>0.85045000000000004</v>
      </c>
      <c r="H1905">
        <v>1.1797999999999999E-2</v>
      </c>
      <c r="N1905">
        <v>0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>
      <c r="A1906">
        <f t="shared" si="34"/>
        <v>1905</v>
      </c>
      <c r="B1906" t="str">
        <f t="shared" si="35"/>
        <v>Suleimenov 1994</v>
      </c>
      <c r="C1906">
        <v>593.54999999999995</v>
      </c>
      <c r="D1906">
        <v>137.9</v>
      </c>
      <c r="E1906">
        <v>1.7652000000000001</v>
      </c>
      <c r="F1906">
        <v>0.83967000000000003</v>
      </c>
      <c r="H1906">
        <v>1.1488999999999999E-2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>
      <c r="A1907">
        <f t="shared" si="34"/>
        <v>1906</v>
      </c>
      <c r="B1907" t="str">
        <f t="shared" si="35"/>
        <v>Suleimenov 1994</v>
      </c>
      <c r="C1907">
        <v>593.54999999999995</v>
      </c>
      <c r="D1907">
        <v>138.41999999999999</v>
      </c>
      <c r="E1907">
        <v>1.9802999999999999</v>
      </c>
      <c r="F1907">
        <v>0.83023999999999998</v>
      </c>
      <c r="H1907">
        <v>1.1403999999999999E-2</v>
      </c>
      <c r="N1907">
        <v>0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>
      <c r="A1908">
        <f t="shared" si="34"/>
        <v>1907</v>
      </c>
      <c r="B1908" t="s">
        <v>98</v>
      </c>
      <c r="C1908">
        <v>313.14999999999998</v>
      </c>
      <c r="D1908">
        <v>3.4289999999999998</v>
      </c>
      <c r="E1908">
        <v>4.0069999999999997</v>
      </c>
      <c r="H1908">
        <v>2.163E-3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>
      <c r="A1909">
        <f t="shared" si="34"/>
        <v>1908</v>
      </c>
      <c r="B1909" t="str">
        <f>B1908</f>
        <v>Xia 2000</v>
      </c>
      <c r="C1909">
        <v>313.14</v>
      </c>
      <c r="D1909">
        <v>3.6360000000000001</v>
      </c>
      <c r="E1909">
        <v>4.0069999999999997</v>
      </c>
      <c r="H1909">
        <v>2.297E-3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>
      <c r="A1910">
        <f t="shared" si="34"/>
        <v>1909</v>
      </c>
      <c r="B1910" t="str">
        <f t="shared" ref="B1910:B1973" si="36">B1909</f>
        <v>Xia 2000</v>
      </c>
      <c r="C1910">
        <v>313.14</v>
      </c>
      <c r="D1910">
        <v>8.1300000000000008</v>
      </c>
      <c r="E1910">
        <v>4.0069999999999997</v>
      </c>
      <c r="H1910">
        <v>5.509E-3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>
      <c r="A1911">
        <f t="shared" si="34"/>
        <v>1910</v>
      </c>
      <c r="B1911" t="str">
        <f t="shared" si="36"/>
        <v>Xia 2000</v>
      </c>
      <c r="C1911">
        <v>313.16000000000003</v>
      </c>
      <c r="D1911">
        <v>10.45</v>
      </c>
      <c r="E1911">
        <v>4.0069999999999997</v>
      </c>
      <c r="H1911">
        <v>7.0070000000000002E-3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>
      <c r="A1912">
        <f t="shared" si="34"/>
        <v>1911</v>
      </c>
      <c r="B1912" t="str">
        <f t="shared" si="36"/>
        <v>Xia 2000</v>
      </c>
      <c r="C1912">
        <v>313.13</v>
      </c>
      <c r="D1912">
        <v>12.62</v>
      </c>
      <c r="E1912">
        <v>4.0069999999999997</v>
      </c>
      <c r="H1912">
        <v>8.4989999999999996E-3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>
      <c r="A1913">
        <f t="shared" si="34"/>
        <v>1912</v>
      </c>
      <c r="B1913" t="str">
        <f t="shared" si="36"/>
        <v>Xia 2000</v>
      </c>
      <c r="C1913">
        <v>313.14</v>
      </c>
      <c r="D1913">
        <v>17.57</v>
      </c>
      <c r="E1913">
        <v>4.0069999999999997</v>
      </c>
      <c r="H1913">
        <v>1.1868999999999999E-2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>
      <c r="A1914">
        <f t="shared" si="34"/>
        <v>1913</v>
      </c>
      <c r="B1914" t="str">
        <f t="shared" si="36"/>
        <v>Xia 2000</v>
      </c>
      <c r="C1914">
        <v>313.16000000000003</v>
      </c>
      <c r="D1914">
        <v>21.12</v>
      </c>
      <c r="E1914">
        <v>4.0069999999999997</v>
      </c>
      <c r="H1914">
        <v>1.4258E-2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>
      <c r="A1915">
        <f t="shared" si="34"/>
        <v>1914</v>
      </c>
      <c r="B1915" t="str">
        <f t="shared" si="36"/>
        <v>Xia 2000</v>
      </c>
      <c r="C1915">
        <v>313.13</v>
      </c>
      <c r="D1915">
        <v>24.66</v>
      </c>
      <c r="E1915">
        <v>4.0069999999999997</v>
      </c>
      <c r="H1915">
        <v>1.6299000000000001E-2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>
      <c r="A1916">
        <f t="shared" si="34"/>
        <v>1915</v>
      </c>
      <c r="B1916" t="str">
        <f t="shared" si="36"/>
        <v>Xia 2000</v>
      </c>
      <c r="C1916">
        <v>313.14999999999998</v>
      </c>
      <c r="D1916">
        <v>28.56</v>
      </c>
      <c r="E1916">
        <v>4.0069999999999997</v>
      </c>
      <c r="H1916">
        <v>2.2617999999999999E-2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>
      <c r="A1917">
        <f t="shared" si="34"/>
        <v>1916</v>
      </c>
      <c r="B1917" t="str">
        <f t="shared" si="36"/>
        <v>Xia 2000</v>
      </c>
      <c r="C1917">
        <v>313.14999999999998</v>
      </c>
      <c r="D1917">
        <v>28.53</v>
      </c>
      <c r="E1917">
        <v>4.0069999999999997</v>
      </c>
      <c r="H1917">
        <v>2.828E-2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>
      <c r="A1918">
        <f t="shared" si="34"/>
        <v>1917</v>
      </c>
      <c r="B1918" t="str">
        <f t="shared" si="36"/>
        <v>Xia 2000</v>
      </c>
      <c r="C1918">
        <v>333.15</v>
      </c>
      <c r="D1918">
        <v>4.298</v>
      </c>
      <c r="E1918">
        <v>4.0069999999999997</v>
      </c>
      <c r="H1918">
        <v>1.9300000000000001E-3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>
      <c r="A1919">
        <f t="shared" si="34"/>
        <v>1918</v>
      </c>
      <c r="B1919" t="str">
        <f t="shared" si="36"/>
        <v>Xia 2000</v>
      </c>
      <c r="C1919">
        <v>333.15</v>
      </c>
      <c r="D1919">
        <v>9.75</v>
      </c>
      <c r="E1919">
        <v>4.0069999999999997</v>
      </c>
      <c r="H1919">
        <v>4.8260000000000004E-3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>
      <c r="A1920">
        <f t="shared" si="34"/>
        <v>1919</v>
      </c>
      <c r="B1920" t="str">
        <f t="shared" si="36"/>
        <v>Xia 2000</v>
      </c>
      <c r="C1920">
        <v>333.14</v>
      </c>
      <c r="D1920">
        <v>13.19</v>
      </c>
      <c r="E1920">
        <v>4.0069999999999997</v>
      </c>
      <c r="H1920">
        <v>6.3600000000000002E-3</v>
      </c>
      <c r="N1920">
        <v>0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>
      <c r="A1921">
        <f t="shared" si="34"/>
        <v>1920</v>
      </c>
      <c r="B1921" t="str">
        <f t="shared" si="36"/>
        <v>Xia 2000</v>
      </c>
      <c r="C1921">
        <v>333.16</v>
      </c>
      <c r="D1921">
        <v>25.48</v>
      </c>
      <c r="E1921">
        <v>4.0069999999999997</v>
      </c>
      <c r="H1921">
        <v>1.2435E-2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>
      <c r="A1922">
        <f t="shared" si="34"/>
        <v>1921</v>
      </c>
      <c r="B1922" t="str">
        <f t="shared" si="36"/>
        <v>Xia 2000</v>
      </c>
      <c r="C1922">
        <v>333.17</v>
      </c>
      <c r="D1922">
        <v>26.33</v>
      </c>
      <c r="E1922">
        <v>4.0069999999999997</v>
      </c>
      <c r="H1922">
        <v>1.2733E-2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>
      <c r="A1923">
        <f t="shared" si="34"/>
        <v>1922</v>
      </c>
      <c r="B1923" t="str">
        <f t="shared" si="36"/>
        <v>Xia 2000</v>
      </c>
      <c r="C1923">
        <v>333.13</v>
      </c>
      <c r="D1923">
        <v>40.6</v>
      </c>
      <c r="E1923">
        <v>4.0069999999999997</v>
      </c>
      <c r="H1923">
        <v>1.8695E-2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>
      <c r="A1924">
        <f t="shared" ref="A1924:A1987" si="37">A1923+1</f>
        <v>1923</v>
      </c>
      <c r="B1924" t="str">
        <f t="shared" si="36"/>
        <v>Xia 2000</v>
      </c>
      <c r="C1924">
        <v>333.16</v>
      </c>
      <c r="D1924">
        <v>43.01</v>
      </c>
      <c r="E1924">
        <v>4.0069999999999997</v>
      </c>
      <c r="H1924">
        <v>1.9852000000000002E-2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>
      <c r="A1925">
        <f t="shared" si="37"/>
        <v>1924</v>
      </c>
      <c r="B1925" t="str">
        <f t="shared" si="36"/>
        <v>Xia 2000</v>
      </c>
      <c r="C1925">
        <v>333.16</v>
      </c>
      <c r="D1925">
        <v>42.99</v>
      </c>
      <c r="E1925">
        <v>4.0069999999999997</v>
      </c>
      <c r="H1925">
        <v>4.8613999999999997E-2</v>
      </c>
      <c r="N1925">
        <v>0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>
      <c r="A1926">
        <f t="shared" si="37"/>
        <v>1925</v>
      </c>
      <c r="B1926" t="str">
        <f t="shared" si="36"/>
        <v>Xia 2000</v>
      </c>
      <c r="C1926">
        <v>353.16</v>
      </c>
      <c r="D1926">
        <v>5.8330000000000002</v>
      </c>
      <c r="E1926">
        <v>4.0069999999999997</v>
      </c>
      <c r="H1926">
        <v>2.0470000000000002E-3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>
      <c r="A1927">
        <f t="shared" si="37"/>
        <v>1926</v>
      </c>
      <c r="B1927" t="str">
        <f t="shared" si="36"/>
        <v>Xia 2000</v>
      </c>
      <c r="C1927">
        <v>353.16</v>
      </c>
      <c r="D1927">
        <v>5.843</v>
      </c>
      <c r="E1927">
        <v>4.0069999999999997</v>
      </c>
      <c r="H1927">
        <v>2.0799999999999998E-3</v>
      </c>
      <c r="N1927">
        <v>0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>
      <c r="A1928">
        <f t="shared" si="37"/>
        <v>1927</v>
      </c>
      <c r="B1928" t="str">
        <f t="shared" si="36"/>
        <v>Xia 2000</v>
      </c>
      <c r="C1928">
        <v>353.16</v>
      </c>
      <c r="D1928">
        <v>16.36</v>
      </c>
      <c r="E1928">
        <v>4.0069999999999997</v>
      </c>
      <c r="H1928">
        <v>6.2310000000000004E-3</v>
      </c>
      <c r="N1928">
        <v>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>
      <c r="A1929">
        <f t="shared" si="37"/>
        <v>1928</v>
      </c>
      <c r="B1929" t="str">
        <f t="shared" si="36"/>
        <v>Xia 2000</v>
      </c>
      <c r="C1929">
        <v>353.16</v>
      </c>
      <c r="D1929">
        <v>30.4</v>
      </c>
      <c r="E1929">
        <v>4.0069999999999997</v>
      </c>
      <c r="H1929">
        <v>1.1672999999999999E-2</v>
      </c>
      <c r="N1929">
        <v>0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>
      <c r="A1930">
        <f t="shared" si="37"/>
        <v>1929</v>
      </c>
      <c r="B1930" t="str">
        <f t="shared" si="36"/>
        <v>Xia 2000</v>
      </c>
      <c r="C1930">
        <v>353.16</v>
      </c>
      <c r="D1930">
        <v>45.25</v>
      </c>
      <c r="E1930">
        <v>4.0069999999999997</v>
      </c>
      <c r="H1930">
        <v>1.6722000000000001E-2</v>
      </c>
      <c r="N1930">
        <v>0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>
      <c r="A1931">
        <f t="shared" si="37"/>
        <v>1930</v>
      </c>
      <c r="B1931" t="str">
        <f t="shared" si="36"/>
        <v>Xia 2000</v>
      </c>
      <c r="C1931">
        <v>353.16</v>
      </c>
      <c r="D1931">
        <v>60.25</v>
      </c>
      <c r="E1931">
        <v>4.0069999999999997</v>
      </c>
      <c r="H1931">
        <v>2.0653999999999999E-2</v>
      </c>
      <c r="N1931">
        <v>0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>
      <c r="A1932">
        <f t="shared" si="37"/>
        <v>1931</v>
      </c>
      <c r="B1932" t="str">
        <f t="shared" si="36"/>
        <v>Xia 2000</v>
      </c>
      <c r="C1932">
        <v>353.16</v>
      </c>
      <c r="D1932">
        <v>62.23</v>
      </c>
      <c r="E1932">
        <v>4.0069999999999997</v>
      </c>
      <c r="H1932">
        <v>2.3258000000000001E-2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>
      <c r="A1933">
        <f t="shared" si="37"/>
        <v>1932</v>
      </c>
      <c r="B1933" t="str">
        <f t="shared" si="36"/>
        <v>Xia 2000</v>
      </c>
      <c r="C1933">
        <v>353.16</v>
      </c>
      <c r="D1933">
        <v>62.21</v>
      </c>
      <c r="E1933">
        <v>4.0069999999999997</v>
      </c>
      <c r="H1933">
        <v>2.3577000000000001E-2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>
      <c r="A1934">
        <f t="shared" si="37"/>
        <v>1933</v>
      </c>
      <c r="B1934" t="str">
        <f t="shared" si="36"/>
        <v>Xia 2000</v>
      </c>
      <c r="C1934">
        <v>353.16</v>
      </c>
      <c r="D1934">
        <v>62.2</v>
      </c>
      <c r="E1934">
        <v>4.0069999999999997</v>
      </c>
      <c r="H1934">
        <v>2.6200000000000001E-2</v>
      </c>
      <c r="N1934">
        <v>0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>
      <c r="A1935">
        <f t="shared" si="37"/>
        <v>1934</v>
      </c>
      <c r="B1935" t="str">
        <f t="shared" si="36"/>
        <v>Xia 2000</v>
      </c>
      <c r="C1935">
        <v>393.21</v>
      </c>
      <c r="D1935">
        <v>1.6930000000000001</v>
      </c>
      <c r="E1935">
        <v>4.0069999999999997</v>
      </c>
      <c r="H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>
      <c r="A1936">
        <f t="shared" si="37"/>
        <v>1935</v>
      </c>
      <c r="B1936" t="str">
        <f t="shared" si="36"/>
        <v>Xia 2000</v>
      </c>
      <c r="C1936">
        <v>393.16</v>
      </c>
      <c r="D1936">
        <v>6.15</v>
      </c>
      <c r="E1936">
        <v>4.0069999999999997</v>
      </c>
      <c r="H1936">
        <v>1.276E-3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>
      <c r="A1937">
        <f t="shared" si="37"/>
        <v>1936</v>
      </c>
      <c r="B1937" t="str">
        <f t="shared" si="36"/>
        <v>Xia 2000</v>
      </c>
      <c r="C1937">
        <v>393.19</v>
      </c>
      <c r="D1937">
        <v>19.559999999999999</v>
      </c>
      <c r="E1937">
        <v>4.0069999999999997</v>
      </c>
      <c r="H1937">
        <v>5.1269999999999996E-3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>
      <c r="A1938">
        <f t="shared" si="37"/>
        <v>1937</v>
      </c>
      <c r="B1938" t="str">
        <f t="shared" si="36"/>
        <v>Xia 2000</v>
      </c>
      <c r="C1938">
        <v>393.16</v>
      </c>
      <c r="D1938">
        <v>19.64</v>
      </c>
      <c r="E1938">
        <v>4.0069999999999997</v>
      </c>
      <c r="H1938">
        <v>5.1929999999999997E-3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>
      <c r="A1939">
        <f t="shared" si="37"/>
        <v>1938</v>
      </c>
      <c r="B1939" t="str">
        <f t="shared" si="36"/>
        <v>Xia 2000</v>
      </c>
      <c r="C1939">
        <v>393.18</v>
      </c>
      <c r="D1939">
        <v>41</v>
      </c>
      <c r="E1939">
        <v>4.0069999999999997</v>
      </c>
      <c r="H1939">
        <v>1.1115E-2</v>
      </c>
      <c r="N1939">
        <v>0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>
      <c r="A1940">
        <f t="shared" si="37"/>
        <v>1939</v>
      </c>
      <c r="B1940" t="str">
        <f t="shared" si="36"/>
        <v>Xia 2000</v>
      </c>
      <c r="C1940">
        <v>393.16</v>
      </c>
      <c r="D1940">
        <v>66.58</v>
      </c>
      <c r="E1940">
        <v>4.0069999999999997</v>
      </c>
      <c r="H1940">
        <v>1.7495E-2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>
      <c r="A1941">
        <f t="shared" si="37"/>
        <v>1940</v>
      </c>
      <c r="B1941" t="str">
        <f t="shared" si="36"/>
        <v>Xia 2000</v>
      </c>
      <c r="C1941">
        <v>393.16</v>
      </c>
      <c r="D1941">
        <v>83.28</v>
      </c>
      <c r="E1941">
        <v>4.0069999999999997</v>
      </c>
      <c r="H1941">
        <v>2.0795000000000001E-2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>
      <c r="A1942">
        <f t="shared" si="37"/>
        <v>1941</v>
      </c>
      <c r="B1942" t="str">
        <f t="shared" si="36"/>
        <v>Xia 2000</v>
      </c>
      <c r="C1942">
        <v>393.16</v>
      </c>
      <c r="D1942">
        <v>97</v>
      </c>
      <c r="E1942">
        <v>4.0069999999999997</v>
      </c>
      <c r="H1942">
        <v>2.2904999999999998E-2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>
      <c r="A1943">
        <f t="shared" si="37"/>
        <v>1942</v>
      </c>
      <c r="B1943" t="str">
        <f t="shared" si="36"/>
        <v>Xia 2000</v>
      </c>
      <c r="C1943">
        <v>313.14999999999998</v>
      </c>
      <c r="D1943">
        <v>2.992</v>
      </c>
      <c r="E1943">
        <v>5.9530000000000003</v>
      </c>
      <c r="H1943">
        <v>1.6429999999999999E-3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>
      <c r="A1944">
        <f t="shared" si="37"/>
        <v>1943</v>
      </c>
      <c r="B1944" t="str">
        <f t="shared" si="36"/>
        <v>Xia 2000</v>
      </c>
      <c r="C1944">
        <v>313.16000000000003</v>
      </c>
      <c r="D1944">
        <v>4.8120000000000003</v>
      </c>
      <c r="E1944">
        <v>5.9530000000000003</v>
      </c>
      <c r="H1944">
        <v>2.65E-3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>
      <c r="A1945">
        <f t="shared" si="37"/>
        <v>1944</v>
      </c>
      <c r="B1945" t="str">
        <f t="shared" si="36"/>
        <v>Xia 2000</v>
      </c>
      <c r="C1945">
        <v>313.16000000000003</v>
      </c>
      <c r="D1945">
        <v>8.27</v>
      </c>
      <c r="E1945">
        <v>5.9530000000000003</v>
      </c>
      <c r="H1945">
        <v>4.8050000000000002E-3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>
      <c r="A1946">
        <f t="shared" si="37"/>
        <v>1945</v>
      </c>
      <c r="B1946" t="str">
        <f t="shared" si="36"/>
        <v>Xia 2000</v>
      </c>
      <c r="C1946">
        <v>313.16000000000003</v>
      </c>
      <c r="D1946">
        <v>9.39</v>
      </c>
      <c r="E1946">
        <v>5.9530000000000003</v>
      </c>
      <c r="H1946">
        <v>5.339E-3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>
      <c r="A1947">
        <f t="shared" si="37"/>
        <v>1946</v>
      </c>
      <c r="B1947" t="str">
        <f t="shared" si="36"/>
        <v>Xia 2000</v>
      </c>
      <c r="C1947">
        <v>313.14999999999998</v>
      </c>
      <c r="D1947">
        <v>16.22</v>
      </c>
      <c r="E1947">
        <v>5.9530000000000003</v>
      </c>
      <c r="H1947">
        <v>8.9409999999999993E-3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>
      <c r="A1948">
        <f t="shared" si="37"/>
        <v>1947</v>
      </c>
      <c r="B1948" t="str">
        <f t="shared" si="36"/>
        <v>Xia 2000</v>
      </c>
      <c r="C1948">
        <v>313.17</v>
      </c>
      <c r="D1948">
        <v>17.62</v>
      </c>
      <c r="E1948">
        <v>5.9530000000000003</v>
      </c>
      <c r="H1948">
        <v>9.4549999999999999E-3</v>
      </c>
      <c r="N1948">
        <v>0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>
      <c r="A1949">
        <f t="shared" si="37"/>
        <v>1948</v>
      </c>
      <c r="B1949" t="str">
        <f t="shared" si="36"/>
        <v>Xia 2000</v>
      </c>
      <c r="C1949">
        <v>313.16000000000003</v>
      </c>
      <c r="D1949">
        <v>17.739999999999998</v>
      </c>
      <c r="E1949">
        <v>5.9530000000000003</v>
      </c>
      <c r="H1949">
        <v>9.7439999999999992E-3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>
      <c r="A1950">
        <f t="shared" si="37"/>
        <v>1949</v>
      </c>
      <c r="B1950" t="str">
        <f t="shared" si="36"/>
        <v>Xia 2000</v>
      </c>
      <c r="C1950">
        <v>313.17</v>
      </c>
      <c r="D1950">
        <v>23.6</v>
      </c>
      <c r="E1950">
        <v>5.9530000000000003</v>
      </c>
      <c r="H1950">
        <v>1.2640999999999999E-2</v>
      </c>
      <c r="N1950">
        <v>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>
      <c r="A1951">
        <f t="shared" si="37"/>
        <v>1950</v>
      </c>
      <c r="B1951" t="str">
        <f t="shared" si="36"/>
        <v>Xia 2000</v>
      </c>
      <c r="C1951">
        <v>313.19</v>
      </c>
      <c r="D1951">
        <v>26.91</v>
      </c>
      <c r="E1951">
        <v>5.9530000000000003</v>
      </c>
      <c r="H1951">
        <v>1.4063000000000001E-2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>
      <c r="A1952">
        <f t="shared" si="37"/>
        <v>1951</v>
      </c>
      <c r="B1952" t="str">
        <f t="shared" si="36"/>
        <v>Xia 2000</v>
      </c>
      <c r="C1952">
        <v>313.17</v>
      </c>
      <c r="D1952">
        <v>28.34</v>
      </c>
      <c r="E1952">
        <v>5.9530000000000003</v>
      </c>
      <c r="H1952">
        <v>1.5051999999999999E-2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>
      <c r="A1953">
        <f t="shared" si="37"/>
        <v>1952</v>
      </c>
      <c r="B1953" t="str">
        <f t="shared" si="36"/>
        <v>Xia 2000</v>
      </c>
      <c r="C1953">
        <v>313.17</v>
      </c>
      <c r="D1953">
        <v>28.37</v>
      </c>
      <c r="E1953">
        <v>5.9530000000000003</v>
      </c>
      <c r="H1953">
        <v>2.3602000000000001E-2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>
      <c r="A1954">
        <f t="shared" si="37"/>
        <v>1953</v>
      </c>
      <c r="B1954" t="str">
        <f t="shared" si="36"/>
        <v>Xia 2000</v>
      </c>
      <c r="C1954">
        <v>333.16</v>
      </c>
      <c r="D1954">
        <v>5.0279999999999996</v>
      </c>
      <c r="E1954">
        <v>5.9530000000000003</v>
      </c>
      <c r="H1954">
        <v>1.9680000000000001E-3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>
      <c r="A1955">
        <f t="shared" si="37"/>
        <v>1954</v>
      </c>
      <c r="B1955" t="str">
        <f t="shared" si="36"/>
        <v>Xia 2000</v>
      </c>
      <c r="C1955">
        <v>333.15</v>
      </c>
      <c r="D1955">
        <v>7.52</v>
      </c>
      <c r="E1955">
        <v>5.9530000000000003</v>
      </c>
      <c r="H1955">
        <v>3.1849999999999999E-3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>
      <c r="A1956">
        <f t="shared" si="37"/>
        <v>1955</v>
      </c>
      <c r="B1956" t="str">
        <f t="shared" si="36"/>
        <v>Xia 2000</v>
      </c>
      <c r="C1956">
        <v>333.16</v>
      </c>
      <c r="D1956">
        <v>15.59</v>
      </c>
      <c r="E1956">
        <v>5.9530000000000003</v>
      </c>
      <c r="H1956">
        <v>6.391E-3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 spans="1:20">
      <c r="A1957">
        <f t="shared" si="37"/>
        <v>1956</v>
      </c>
      <c r="B1957" t="str">
        <f t="shared" si="36"/>
        <v>Xia 2000</v>
      </c>
      <c r="C1957">
        <v>333.17</v>
      </c>
      <c r="D1957">
        <v>18.23</v>
      </c>
      <c r="E1957">
        <v>5.9530000000000003</v>
      </c>
      <c r="H1957">
        <v>7.4250000000000002E-3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>
      <c r="A1958">
        <f t="shared" si="37"/>
        <v>1957</v>
      </c>
      <c r="B1958" t="str">
        <f t="shared" si="36"/>
        <v>Xia 2000</v>
      </c>
      <c r="C1958">
        <v>333.15</v>
      </c>
      <c r="D1958">
        <v>29.86</v>
      </c>
      <c r="E1958">
        <v>5.9530000000000003</v>
      </c>
      <c r="H1958">
        <v>1.1717999999999999E-2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>
      <c r="A1959">
        <f t="shared" si="37"/>
        <v>1958</v>
      </c>
      <c r="B1959" t="str">
        <f t="shared" si="36"/>
        <v>Xia 2000</v>
      </c>
      <c r="C1959">
        <v>333.15</v>
      </c>
      <c r="D1959">
        <v>38.520000000000003</v>
      </c>
      <c r="E1959">
        <v>5.9530000000000003</v>
      </c>
      <c r="H1959">
        <v>1.4435999999999999E-2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>
      <c r="A1960">
        <f t="shared" si="37"/>
        <v>1959</v>
      </c>
      <c r="B1960" t="str">
        <f t="shared" si="36"/>
        <v>Xia 2000</v>
      </c>
      <c r="C1960">
        <v>333.16</v>
      </c>
      <c r="D1960">
        <v>42.83</v>
      </c>
      <c r="E1960">
        <v>5.9530000000000003</v>
      </c>
      <c r="H1960">
        <v>1.6084999999999999E-2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>
      <c r="A1961">
        <f t="shared" si="37"/>
        <v>1960</v>
      </c>
      <c r="B1961" t="str">
        <f t="shared" si="36"/>
        <v>Xia 2000</v>
      </c>
      <c r="C1961">
        <v>333.15</v>
      </c>
      <c r="D1961">
        <v>42.85</v>
      </c>
      <c r="E1961">
        <v>5.9530000000000003</v>
      </c>
      <c r="H1961">
        <v>1.6355999999999999E-2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>
      <c r="A1962">
        <f t="shared" si="37"/>
        <v>1961</v>
      </c>
      <c r="B1962" t="str">
        <f t="shared" si="36"/>
        <v>Xia 2000</v>
      </c>
      <c r="C1962">
        <v>333.18</v>
      </c>
      <c r="D1962">
        <v>42.93</v>
      </c>
      <c r="E1962">
        <v>5.9530000000000003</v>
      </c>
      <c r="H1962">
        <v>1.8367999999999999E-2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>
      <c r="A1963">
        <f t="shared" si="37"/>
        <v>1962</v>
      </c>
      <c r="B1963" t="str">
        <f t="shared" si="36"/>
        <v>Xia 2000</v>
      </c>
      <c r="C1963">
        <v>353.17</v>
      </c>
      <c r="D1963">
        <v>3.331</v>
      </c>
      <c r="E1963">
        <v>5.9530000000000003</v>
      </c>
      <c r="H1963">
        <v>9.4399999999999996E-4</v>
      </c>
      <c r="N1963">
        <v>0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>
      <c r="A1964">
        <f t="shared" si="37"/>
        <v>1963</v>
      </c>
      <c r="B1964" t="str">
        <f t="shared" si="36"/>
        <v>Xia 2000</v>
      </c>
      <c r="C1964">
        <v>353.15</v>
      </c>
      <c r="D1964">
        <v>10.83</v>
      </c>
      <c r="E1964">
        <v>5.9530000000000003</v>
      </c>
      <c r="H1964">
        <v>3.3800000000000002E-3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>
      <c r="A1965">
        <f t="shared" si="37"/>
        <v>1964</v>
      </c>
      <c r="B1965" t="str">
        <f t="shared" si="36"/>
        <v>Xia 2000</v>
      </c>
      <c r="C1965">
        <v>353.18</v>
      </c>
      <c r="D1965">
        <v>18.100000000000001</v>
      </c>
      <c r="E1965">
        <v>5.9530000000000003</v>
      </c>
      <c r="H1965">
        <v>5.8770000000000003E-3</v>
      </c>
      <c r="N1965">
        <v>0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>
      <c r="A1966">
        <f t="shared" si="37"/>
        <v>1965</v>
      </c>
      <c r="B1966" t="str">
        <f t="shared" si="36"/>
        <v>Xia 2000</v>
      </c>
      <c r="C1966">
        <v>353.15</v>
      </c>
      <c r="D1966">
        <v>18.190000000000001</v>
      </c>
      <c r="E1966">
        <v>5.9530000000000003</v>
      </c>
      <c r="H1966">
        <v>5.9740000000000001E-3</v>
      </c>
      <c r="N1966">
        <v>0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>
      <c r="A1967">
        <f t="shared" si="37"/>
        <v>1966</v>
      </c>
      <c r="B1967" t="str">
        <f t="shared" si="36"/>
        <v>Xia 2000</v>
      </c>
      <c r="C1967">
        <v>353.16</v>
      </c>
      <c r="D1967">
        <v>29.24</v>
      </c>
      <c r="E1967">
        <v>5.9530000000000003</v>
      </c>
      <c r="H1967">
        <v>9.2540000000000001E-3</v>
      </c>
      <c r="N1967">
        <v>0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>
      <c r="A1968">
        <f t="shared" si="37"/>
        <v>1967</v>
      </c>
      <c r="B1968" t="str">
        <f t="shared" si="36"/>
        <v>Xia 2000</v>
      </c>
      <c r="C1968">
        <v>353.15</v>
      </c>
      <c r="D1968">
        <v>38.58</v>
      </c>
      <c r="E1968">
        <v>5.9530000000000003</v>
      </c>
      <c r="H1968">
        <v>1.1651E-2</v>
      </c>
      <c r="N1968">
        <v>0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>
      <c r="A1969">
        <f t="shared" si="37"/>
        <v>1968</v>
      </c>
      <c r="B1969" t="str">
        <f t="shared" si="36"/>
        <v>Xia 2000</v>
      </c>
      <c r="C1969">
        <v>353.14</v>
      </c>
      <c r="D1969">
        <v>59.33</v>
      </c>
      <c r="E1969">
        <v>5.9530000000000003</v>
      </c>
      <c r="H1969">
        <v>1.6390999999999999E-2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>
      <c r="A1970">
        <f t="shared" si="37"/>
        <v>1969</v>
      </c>
      <c r="B1970" t="str">
        <f t="shared" si="36"/>
        <v>Xia 2000</v>
      </c>
      <c r="C1970">
        <v>353.16</v>
      </c>
      <c r="D1970">
        <v>61.99</v>
      </c>
      <c r="E1970">
        <v>5.9530000000000003</v>
      </c>
      <c r="H1970">
        <v>1.7919000000000001E-2</v>
      </c>
      <c r="N1970">
        <v>0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>
      <c r="A1971">
        <f t="shared" si="37"/>
        <v>1970</v>
      </c>
      <c r="B1971" t="str">
        <f t="shared" si="36"/>
        <v>Xia 2000</v>
      </c>
      <c r="C1971">
        <v>353.16</v>
      </c>
      <c r="D1971">
        <v>62.03</v>
      </c>
      <c r="E1971">
        <v>5.9530000000000003</v>
      </c>
      <c r="H1971">
        <v>1.9899E-2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>
      <c r="A1972">
        <f t="shared" si="37"/>
        <v>1971</v>
      </c>
      <c r="B1972" t="str">
        <f t="shared" si="36"/>
        <v>Xia 2000</v>
      </c>
      <c r="C1972">
        <v>393.15</v>
      </c>
      <c r="D1972">
        <v>1.5329999999999999</v>
      </c>
      <c r="E1972">
        <v>5.9530000000000003</v>
      </c>
      <c r="H1972">
        <v>0</v>
      </c>
      <c r="N1972">
        <v>0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>
      <c r="A1973">
        <f t="shared" si="37"/>
        <v>1972</v>
      </c>
      <c r="B1973" t="str">
        <f t="shared" si="36"/>
        <v>Xia 2000</v>
      </c>
      <c r="C1973">
        <v>393.14</v>
      </c>
      <c r="D1973">
        <v>2.4830000000000001</v>
      </c>
      <c r="E1973">
        <v>5.9530000000000003</v>
      </c>
      <c r="H1973">
        <v>2.5999999999999998E-4</v>
      </c>
      <c r="N1973">
        <v>0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>
      <c r="A1974">
        <f t="shared" si="37"/>
        <v>1973</v>
      </c>
      <c r="B1974" t="str">
        <f t="shared" ref="B1974:B1980" si="38">B1973</f>
        <v>Xia 2000</v>
      </c>
      <c r="C1974">
        <v>393.13</v>
      </c>
      <c r="D1974">
        <v>10.93</v>
      </c>
      <c r="E1974">
        <v>5.9530000000000003</v>
      </c>
      <c r="H1974">
        <v>2.2929999999999999E-3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>
      <c r="A1975">
        <f t="shared" si="37"/>
        <v>1974</v>
      </c>
      <c r="B1975" t="str">
        <f t="shared" si="38"/>
        <v>Xia 2000</v>
      </c>
      <c r="C1975">
        <v>393.14</v>
      </c>
      <c r="D1975">
        <v>22.69</v>
      </c>
      <c r="E1975">
        <v>5.9530000000000003</v>
      </c>
      <c r="H1975">
        <v>5.0660000000000002E-3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>
      <c r="A1976">
        <f t="shared" si="37"/>
        <v>1975</v>
      </c>
      <c r="B1976" t="str">
        <f t="shared" si="38"/>
        <v>Xia 2000</v>
      </c>
      <c r="C1976">
        <v>393.14</v>
      </c>
      <c r="D1976">
        <v>22.71</v>
      </c>
      <c r="E1976">
        <v>5.9530000000000003</v>
      </c>
      <c r="H1976">
        <v>5.0660000000000002E-3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>
      <c r="A1977">
        <f t="shared" si="37"/>
        <v>1976</v>
      </c>
      <c r="B1977" t="str">
        <f t="shared" si="38"/>
        <v>Xia 2000</v>
      </c>
      <c r="C1977">
        <v>393.15</v>
      </c>
      <c r="D1977">
        <v>35.06</v>
      </c>
      <c r="E1977">
        <v>5.9530000000000003</v>
      </c>
      <c r="H1977">
        <v>7.7869999999999997E-3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>
      <c r="A1978">
        <f t="shared" si="37"/>
        <v>1977</v>
      </c>
      <c r="B1978" t="str">
        <f t="shared" si="38"/>
        <v>Xia 2000</v>
      </c>
      <c r="C1978">
        <v>393.16</v>
      </c>
      <c r="D1978">
        <v>45.28</v>
      </c>
      <c r="E1978">
        <v>5.9530000000000003</v>
      </c>
      <c r="H1978">
        <v>9.9850000000000008E-3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>
      <c r="A1979">
        <f t="shared" si="37"/>
        <v>1978</v>
      </c>
      <c r="B1979" t="str">
        <f t="shared" si="38"/>
        <v>Xia 2000</v>
      </c>
      <c r="C1979">
        <v>393.18</v>
      </c>
      <c r="D1979">
        <v>73.98</v>
      </c>
      <c r="E1979">
        <v>5.9530000000000003</v>
      </c>
      <c r="H1979">
        <v>1.5152000000000001E-2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>
      <c r="A1980">
        <f t="shared" si="37"/>
        <v>1979</v>
      </c>
      <c r="B1980" t="str">
        <f t="shared" si="38"/>
        <v>Xia 2000</v>
      </c>
      <c r="C1980">
        <v>393.13</v>
      </c>
      <c r="D1980">
        <v>96.11</v>
      </c>
      <c r="E1980">
        <v>5.9530000000000003</v>
      </c>
      <c r="H1980">
        <v>1.8196E-2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>
      <c r="A1981">
        <f t="shared" si="37"/>
        <v>1980</v>
      </c>
      <c r="B1981" t="s">
        <v>99</v>
      </c>
      <c r="C1981">
        <v>300.64999999999998</v>
      </c>
      <c r="D1981">
        <v>1.01325</v>
      </c>
      <c r="E1981">
        <v>0</v>
      </c>
      <c r="H1981">
        <v>1.6540000000000001E-3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>
      <c r="A1982">
        <f t="shared" si="37"/>
        <v>1981</v>
      </c>
      <c r="B1982" t="str">
        <f t="shared" ref="B1982" si="39">B1981</f>
        <v>Barrett 1988</v>
      </c>
      <c r="C1982">
        <v>300.64999999999998</v>
      </c>
      <c r="D1982">
        <v>1.01325</v>
      </c>
      <c r="E1982">
        <v>0</v>
      </c>
      <c r="H1982">
        <v>1.6360000000000001E-3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>
      <c r="A1983">
        <f t="shared" si="37"/>
        <v>1982</v>
      </c>
      <c r="B1983" t="str">
        <f t="shared" ref="B1983:B2046" si="40">B1982</f>
        <v>Barrett 1988</v>
      </c>
      <c r="C1983">
        <v>299.64999999999998</v>
      </c>
      <c r="D1983">
        <v>1.01325</v>
      </c>
      <c r="E1983">
        <v>0</v>
      </c>
      <c r="H1983">
        <v>1.781E-3</v>
      </c>
      <c r="N1983">
        <v>0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 spans="1:20">
      <c r="A1984">
        <f t="shared" si="37"/>
        <v>1983</v>
      </c>
      <c r="B1984" t="str">
        <f t="shared" si="40"/>
        <v>Barrett 1988</v>
      </c>
      <c r="C1984">
        <v>299.64999999999998</v>
      </c>
      <c r="D1984">
        <v>1.01325</v>
      </c>
      <c r="E1984">
        <v>0</v>
      </c>
      <c r="H1984">
        <v>1.7260000000000001E-3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>
      <c r="A1985">
        <f t="shared" si="37"/>
        <v>1984</v>
      </c>
      <c r="B1985" t="str">
        <f t="shared" si="40"/>
        <v>Barrett 1988</v>
      </c>
      <c r="C1985">
        <v>296.64999999999998</v>
      </c>
      <c r="D1985">
        <v>1.01325</v>
      </c>
      <c r="E1985">
        <v>0</v>
      </c>
      <c r="H1985">
        <v>1.836E-3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>
      <c r="A1986">
        <f t="shared" si="37"/>
        <v>1985</v>
      </c>
      <c r="B1986" t="str">
        <f t="shared" si="40"/>
        <v>Barrett 1988</v>
      </c>
      <c r="C1986">
        <v>296.64999999999998</v>
      </c>
      <c r="D1986">
        <v>1.01325</v>
      </c>
      <c r="E1986">
        <v>0</v>
      </c>
      <c r="H1986">
        <v>1.8389999999999999E-3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 spans="1:20">
      <c r="A1987">
        <f t="shared" si="37"/>
        <v>1986</v>
      </c>
      <c r="B1987" t="str">
        <f t="shared" si="40"/>
        <v>Barrett 1988</v>
      </c>
      <c r="C1987">
        <v>297.14999999999998</v>
      </c>
      <c r="D1987">
        <v>1.01325</v>
      </c>
      <c r="E1987">
        <v>0</v>
      </c>
      <c r="H1987">
        <v>1.8140000000000001E-3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>
      <c r="A1988">
        <f t="shared" ref="A1988:A2051" si="41">A1987+1</f>
        <v>1987</v>
      </c>
      <c r="B1988" t="str">
        <f t="shared" si="40"/>
        <v>Barrett 1988</v>
      </c>
      <c r="C1988">
        <v>297.14999999999998</v>
      </c>
      <c r="D1988">
        <v>1.01325</v>
      </c>
      <c r="E1988">
        <v>0</v>
      </c>
      <c r="H1988">
        <v>1.8289999999999999E-3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>
      <c r="A1989">
        <f t="shared" si="41"/>
        <v>1988</v>
      </c>
      <c r="B1989" t="str">
        <f t="shared" si="40"/>
        <v>Barrett 1988</v>
      </c>
      <c r="C1989">
        <v>298.14999999999998</v>
      </c>
      <c r="D1989">
        <v>1.01325</v>
      </c>
      <c r="E1989">
        <v>0</v>
      </c>
      <c r="H1989">
        <v>1.5989999999999999E-3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>
      <c r="A1990">
        <f t="shared" si="41"/>
        <v>1989</v>
      </c>
      <c r="B1990" t="str">
        <f t="shared" si="40"/>
        <v>Barrett 1988</v>
      </c>
      <c r="C1990">
        <v>298.14999999999998</v>
      </c>
      <c r="D1990">
        <v>1.01325</v>
      </c>
      <c r="E1990">
        <v>0</v>
      </c>
      <c r="H1990">
        <v>1.6540000000000001E-3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>
      <c r="A1991">
        <f t="shared" si="41"/>
        <v>1990</v>
      </c>
      <c r="B1991" t="str">
        <f t="shared" si="40"/>
        <v>Barrett 1988</v>
      </c>
      <c r="C1991">
        <v>298.14999999999998</v>
      </c>
      <c r="D1991">
        <v>1.01325</v>
      </c>
      <c r="E1991">
        <v>0</v>
      </c>
      <c r="H1991">
        <v>1.673E-3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>
      <c r="A1992">
        <f t="shared" si="41"/>
        <v>1991</v>
      </c>
      <c r="B1992" t="str">
        <f t="shared" si="40"/>
        <v>Barrett 1988</v>
      </c>
      <c r="C1992">
        <v>298.14999999999998</v>
      </c>
      <c r="D1992">
        <v>1.01325</v>
      </c>
      <c r="E1992">
        <v>0</v>
      </c>
      <c r="H1992">
        <v>1.573E-3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>
      <c r="A1993">
        <f t="shared" si="41"/>
        <v>1992</v>
      </c>
      <c r="B1993" t="str">
        <f t="shared" si="40"/>
        <v>Barrett 1988</v>
      </c>
      <c r="C1993">
        <v>333.15</v>
      </c>
      <c r="D1993">
        <v>1.01325</v>
      </c>
      <c r="E1993">
        <v>0</v>
      </c>
      <c r="H1993">
        <v>8.4999999999999995E-4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>
      <c r="A1994">
        <f t="shared" si="41"/>
        <v>1993</v>
      </c>
      <c r="B1994" t="str">
        <f t="shared" si="40"/>
        <v>Barrett 1988</v>
      </c>
      <c r="C1994">
        <v>333.15</v>
      </c>
      <c r="D1994">
        <v>1.01325</v>
      </c>
      <c r="E1994">
        <v>0</v>
      </c>
      <c r="H1994">
        <v>7.76E-4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>
      <c r="A1995">
        <f t="shared" si="41"/>
        <v>1994</v>
      </c>
      <c r="B1995" t="str">
        <f t="shared" si="40"/>
        <v>Barrett 1988</v>
      </c>
      <c r="C1995">
        <v>332.15</v>
      </c>
      <c r="D1995">
        <v>1.01325</v>
      </c>
      <c r="E1995">
        <v>0</v>
      </c>
      <c r="H1995">
        <v>8.0800000000000002E-4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 spans="1:20">
      <c r="A1996">
        <f t="shared" si="41"/>
        <v>1995</v>
      </c>
      <c r="B1996" t="str">
        <f t="shared" si="40"/>
        <v>Barrett 1988</v>
      </c>
      <c r="C1996">
        <v>332.15</v>
      </c>
      <c r="D1996">
        <v>1.01325</v>
      </c>
      <c r="E1996">
        <v>0</v>
      </c>
      <c r="H1996">
        <v>8.0400000000000003E-4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>
      <c r="A1997">
        <f t="shared" si="41"/>
        <v>1996</v>
      </c>
      <c r="B1997" t="str">
        <f t="shared" si="40"/>
        <v>Barrett 1988</v>
      </c>
      <c r="C1997">
        <v>332.15</v>
      </c>
      <c r="D1997">
        <v>1.01325</v>
      </c>
      <c r="E1997">
        <v>0</v>
      </c>
      <c r="H1997">
        <v>7.9900000000000001E-4</v>
      </c>
      <c r="N1997">
        <v>0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>
      <c r="A1998">
        <f t="shared" si="41"/>
        <v>1997</v>
      </c>
      <c r="B1998" t="str">
        <f t="shared" si="40"/>
        <v>Barrett 1988</v>
      </c>
      <c r="C1998">
        <v>332.15</v>
      </c>
      <c r="D1998">
        <v>1.01325</v>
      </c>
      <c r="E1998">
        <v>0</v>
      </c>
      <c r="H1998">
        <v>8.0500000000000005E-4</v>
      </c>
      <c r="N1998">
        <v>0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>
      <c r="A1999">
        <f t="shared" si="41"/>
        <v>1998</v>
      </c>
      <c r="B1999" t="str">
        <f t="shared" si="40"/>
        <v>Barrett 1988</v>
      </c>
      <c r="C1999">
        <v>334.15</v>
      </c>
      <c r="D1999">
        <v>1.01325</v>
      </c>
      <c r="E1999">
        <v>0</v>
      </c>
      <c r="H1999">
        <v>7.5000000000000002E-4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>
      <c r="A2000">
        <f t="shared" si="41"/>
        <v>1999</v>
      </c>
      <c r="B2000" t="str">
        <f t="shared" si="40"/>
        <v>Barrett 1988</v>
      </c>
      <c r="C2000">
        <v>334.15</v>
      </c>
      <c r="D2000">
        <v>1.01325</v>
      </c>
      <c r="E2000">
        <v>0</v>
      </c>
      <c r="H2000">
        <v>7.5299999999999998E-4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 spans="1:20">
      <c r="A2001">
        <f t="shared" si="41"/>
        <v>2000</v>
      </c>
      <c r="B2001" t="str">
        <f t="shared" si="40"/>
        <v>Barrett 1988</v>
      </c>
      <c r="C2001">
        <v>333.15</v>
      </c>
      <c r="D2001">
        <v>1.01325</v>
      </c>
      <c r="E2001">
        <v>0</v>
      </c>
      <c r="H2001">
        <v>7.2099999999999996E-4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 spans="1:20">
      <c r="A2002">
        <f t="shared" si="41"/>
        <v>2001</v>
      </c>
      <c r="B2002" t="str">
        <f t="shared" si="40"/>
        <v>Barrett 1988</v>
      </c>
      <c r="C2002">
        <v>333.15</v>
      </c>
      <c r="D2002">
        <v>1.01325</v>
      </c>
      <c r="E2002">
        <v>0</v>
      </c>
      <c r="H2002">
        <v>7.3300000000000004E-4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 spans="1:20">
      <c r="A2003">
        <f t="shared" si="41"/>
        <v>2002</v>
      </c>
      <c r="B2003" t="str">
        <f t="shared" si="40"/>
        <v>Barrett 1988</v>
      </c>
      <c r="C2003">
        <v>333.15</v>
      </c>
      <c r="D2003">
        <v>1.01325</v>
      </c>
      <c r="E2003">
        <v>0</v>
      </c>
      <c r="H2003">
        <v>7.1400000000000001E-4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 spans="1:20">
      <c r="A2004">
        <f t="shared" si="41"/>
        <v>2003</v>
      </c>
      <c r="B2004" t="str">
        <f t="shared" si="40"/>
        <v>Barrett 1988</v>
      </c>
      <c r="C2004">
        <v>333.15</v>
      </c>
      <c r="D2004">
        <v>1.01325</v>
      </c>
      <c r="E2004">
        <v>0</v>
      </c>
      <c r="H2004">
        <v>7.8600000000000002E-4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 spans="1:20">
      <c r="A2005">
        <f t="shared" si="41"/>
        <v>2004</v>
      </c>
      <c r="B2005" t="str">
        <f t="shared" si="40"/>
        <v>Barrett 1988</v>
      </c>
      <c r="C2005">
        <v>354.15</v>
      </c>
      <c r="D2005">
        <v>1.01325</v>
      </c>
      <c r="E2005">
        <v>0</v>
      </c>
      <c r="H2005">
        <v>4.0999999999999999E-4</v>
      </c>
      <c r="N2005">
        <v>0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 spans="1:20">
      <c r="A2006">
        <f t="shared" si="41"/>
        <v>2005</v>
      </c>
      <c r="B2006" t="str">
        <f t="shared" si="40"/>
        <v>Barrett 1988</v>
      </c>
      <c r="C2006">
        <v>354.15</v>
      </c>
      <c r="D2006">
        <v>1.01325</v>
      </c>
      <c r="E2006">
        <v>0</v>
      </c>
      <c r="H2006">
        <v>4.2099999999999999E-4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 spans="1:20">
      <c r="A2007">
        <f t="shared" si="41"/>
        <v>2006</v>
      </c>
      <c r="B2007" t="str">
        <f t="shared" si="40"/>
        <v>Barrett 1988</v>
      </c>
      <c r="C2007">
        <v>354.15</v>
      </c>
      <c r="D2007">
        <v>1.01325</v>
      </c>
      <c r="E2007">
        <v>0</v>
      </c>
      <c r="H2007">
        <v>4.08E-4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 spans="1:20">
      <c r="A2008">
        <f t="shared" si="41"/>
        <v>2007</v>
      </c>
      <c r="B2008" t="str">
        <f t="shared" si="40"/>
        <v>Barrett 1988</v>
      </c>
      <c r="C2008">
        <v>354.15</v>
      </c>
      <c r="D2008">
        <v>1.01325</v>
      </c>
      <c r="E2008">
        <v>0</v>
      </c>
      <c r="H2008">
        <v>4.1100000000000002E-4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 spans="1:20">
      <c r="A2009">
        <f t="shared" si="41"/>
        <v>2008</v>
      </c>
      <c r="B2009" t="str">
        <f t="shared" si="40"/>
        <v>Barrett 1988</v>
      </c>
      <c r="C2009">
        <v>354.15</v>
      </c>
      <c r="D2009">
        <v>1.01325</v>
      </c>
      <c r="E2009">
        <v>0</v>
      </c>
      <c r="H2009">
        <v>4.0299999999999998E-4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 spans="1:20">
      <c r="A2010">
        <f t="shared" si="41"/>
        <v>2009</v>
      </c>
      <c r="B2010" t="str">
        <f t="shared" si="40"/>
        <v>Barrett 1988</v>
      </c>
      <c r="C2010">
        <v>354.15</v>
      </c>
      <c r="D2010">
        <v>1.01325</v>
      </c>
      <c r="E2010">
        <v>0</v>
      </c>
      <c r="H2010">
        <v>4.0700000000000003E-4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 spans="1:20">
      <c r="A2011">
        <f t="shared" si="41"/>
        <v>2010</v>
      </c>
      <c r="B2011" t="str">
        <f t="shared" si="40"/>
        <v>Barrett 1988</v>
      </c>
      <c r="C2011">
        <v>354.15</v>
      </c>
      <c r="D2011">
        <v>1.01325</v>
      </c>
      <c r="E2011">
        <v>0</v>
      </c>
      <c r="H2011">
        <v>3.7500000000000001E-4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0">
      <c r="A2012">
        <f t="shared" si="41"/>
        <v>2011</v>
      </c>
      <c r="B2012" t="str">
        <f t="shared" si="40"/>
        <v>Barrett 1988</v>
      </c>
      <c r="C2012">
        <v>354.15</v>
      </c>
      <c r="D2012">
        <v>1.01325</v>
      </c>
      <c r="E2012">
        <v>0</v>
      </c>
      <c r="H2012">
        <v>3.68E-4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 spans="1:20">
      <c r="A2013">
        <f t="shared" si="41"/>
        <v>2012</v>
      </c>
      <c r="B2013" t="str">
        <f t="shared" si="40"/>
        <v>Barrett 1988</v>
      </c>
      <c r="C2013">
        <v>367.65</v>
      </c>
      <c r="D2013">
        <v>1.01325</v>
      </c>
      <c r="E2013">
        <v>0</v>
      </c>
      <c r="H2013">
        <v>1.6899999999999999E-4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 spans="1:20">
      <c r="A2014">
        <f t="shared" si="41"/>
        <v>2013</v>
      </c>
      <c r="B2014" t="str">
        <f t="shared" si="40"/>
        <v>Barrett 1988</v>
      </c>
      <c r="C2014">
        <v>367.65</v>
      </c>
      <c r="D2014">
        <v>1.01325</v>
      </c>
      <c r="E2014">
        <v>0</v>
      </c>
      <c r="H2014">
        <v>1.7000000000000001E-4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 spans="1:20">
      <c r="A2015">
        <f t="shared" si="41"/>
        <v>2014</v>
      </c>
      <c r="B2015" t="str">
        <f t="shared" si="40"/>
        <v>Barrett 1988</v>
      </c>
      <c r="C2015">
        <v>367.15</v>
      </c>
      <c r="D2015">
        <v>1.01325</v>
      </c>
      <c r="E2015">
        <v>0</v>
      </c>
      <c r="H2015">
        <v>1.66E-4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 spans="1:20">
      <c r="A2016">
        <f t="shared" si="41"/>
        <v>2015</v>
      </c>
      <c r="B2016" t="str">
        <f t="shared" si="40"/>
        <v>Barrett 1988</v>
      </c>
      <c r="C2016">
        <v>367.15</v>
      </c>
      <c r="D2016">
        <v>1.01325</v>
      </c>
      <c r="E2016">
        <v>0</v>
      </c>
      <c r="H2016">
        <v>1.6699999999999999E-4</v>
      </c>
      <c r="N2016">
        <v>0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 spans="1:20">
      <c r="A2017">
        <f t="shared" si="41"/>
        <v>2016</v>
      </c>
      <c r="B2017" t="str">
        <f t="shared" si="40"/>
        <v>Barrett 1988</v>
      </c>
      <c r="C2017">
        <v>367.15</v>
      </c>
      <c r="D2017">
        <v>1.01325</v>
      </c>
      <c r="E2017">
        <v>0</v>
      </c>
      <c r="H2017">
        <v>1.7000000000000001E-4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 spans="1:20">
      <c r="A2018">
        <f t="shared" si="41"/>
        <v>2017</v>
      </c>
      <c r="B2018" t="str">
        <f t="shared" si="40"/>
        <v>Barrett 1988</v>
      </c>
      <c r="C2018">
        <v>367.65</v>
      </c>
      <c r="D2018">
        <v>1.01325</v>
      </c>
      <c r="E2018">
        <v>0</v>
      </c>
      <c r="H2018">
        <v>1.5699999999999999E-4</v>
      </c>
      <c r="N2018">
        <v>0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>
      <c r="A2019">
        <f t="shared" si="41"/>
        <v>2018</v>
      </c>
      <c r="B2019" t="str">
        <f t="shared" si="40"/>
        <v>Barrett 1988</v>
      </c>
      <c r="C2019">
        <v>367.65</v>
      </c>
      <c r="D2019">
        <v>1.01325</v>
      </c>
      <c r="E2019">
        <v>0</v>
      </c>
      <c r="H2019">
        <v>1.6100000000000001E-4</v>
      </c>
      <c r="N2019">
        <v>0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>
      <c r="A2020">
        <f t="shared" si="41"/>
        <v>2019</v>
      </c>
      <c r="B2020" t="str">
        <f t="shared" si="40"/>
        <v>Barrett 1988</v>
      </c>
      <c r="C2020">
        <v>299.14999999999998</v>
      </c>
      <c r="D2020">
        <v>1.01325</v>
      </c>
      <c r="E2020">
        <v>1</v>
      </c>
      <c r="H2020">
        <v>1.47E-3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>
      <c r="A2021">
        <f t="shared" si="41"/>
        <v>2020</v>
      </c>
      <c r="B2021" t="str">
        <f t="shared" si="40"/>
        <v>Barrett 1988</v>
      </c>
      <c r="C2021">
        <v>299.14999999999998</v>
      </c>
      <c r="D2021">
        <v>1.01325</v>
      </c>
      <c r="E2021">
        <v>1</v>
      </c>
      <c r="H2021">
        <v>1.4809999999999999E-3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 spans="1:20">
      <c r="A2022">
        <f t="shared" si="41"/>
        <v>2021</v>
      </c>
      <c r="B2022" t="str">
        <f t="shared" si="40"/>
        <v>Barrett 1988</v>
      </c>
      <c r="C2022">
        <v>299.14999999999998</v>
      </c>
      <c r="D2022">
        <v>1.01325</v>
      </c>
      <c r="E2022">
        <v>1</v>
      </c>
      <c r="H2022">
        <v>1.4790000000000001E-3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 spans="1:20">
      <c r="A2023">
        <f t="shared" si="41"/>
        <v>2022</v>
      </c>
      <c r="B2023" t="str">
        <f t="shared" si="40"/>
        <v>Barrett 1988</v>
      </c>
      <c r="C2023">
        <v>299.14999999999998</v>
      </c>
      <c r="D2023">
        <v>1.01325</v>
      </c>
      <c r="E2023">
        <v>1</v>
      </c>
      <c r="H2023">
        <v>1.49E-3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 spans="1:20">
      <c r="A2024">
        <f t="shared" si="41"/>
        <v>2023</v>
      </c>
      <c r="B2024" t="str">
        <f t="shared" si="40"/>
        <v>Barrett 1988</v>
      </c>
      <c r="C2024">
        <v>300.64999999999998</v>
      </c>
      <c r="D2024">
        <v>1.01325</v>
      </c>
      <c r="E2024">
        <v>1</v>
      </c>
      <c r="H2024">
        <v>1.436E-3</v>
      </c>
      <c r="N2024">
        <v>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 spans="1:20">
      <c r="A2025">
        <f t="shared" si="41"/>
        <v>2024</v>
      </c>
      <c r="B2025" t="str">
        <f t="shared" si="40"/>
        <v>Barrett 1988</v>
      </c>
      <c r="C2025">
        <v>300.64999999999998</v>
      </c>
      <c r="D2025">
        <v>1.01325</v>
      </c>
      <c r="E2025">
        <v>1</v>
      </c>
      <c r="H2025">
        <v>1.464E-3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 spans="1:20">
      <c r="A2026">
        <f t="shared" si="41"/>
        <v>2025</v>
      </c>
      <c r="B2026" t="str">
        <f t="shared" si="40"/>
        <v>Barrett 1988</v>
      </c>
      <c r="C2026">
        <v>300.64999999999998</v>
      </c>
      <c r="D2026">
        <v>1.01325</v>
      </c>
      <c r="E2026">
        <v>1</v>
      </c>
      <c r="H2026">
        <v>1.4369999999999999E-3</v>
      </c>
      <c r="N2026">
        <v>0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 spans="1:20">
      <c r="A2027">
        <f t="shared" si="41"/>
        <v>2026</v>
      </c>
      <c r="B2027" t="str">
        <f t="shared" si="40"/>
        <v>Barrett 1988</v>
      </c>
      <c r="C2027">
        <v>334.15</v>
      </c>
      <c r="D2027">
        <v>1.01325</v>
      </c>
      <c r="E2027">
        <v>1</v>
      </c>
      <c r="H2027">
        <v>6.5300000000000004E-4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 spans="1:20">
      <c r="A2028">
        <f t="shared" si="41"/>
        <v>2027</v>
      </c>
      <c r="B2028" t="str">
        <f t="shared" si="40"/>
        <v>Barrett 1988</v>
      </c>
      <c r="C2028">
        <v>334.15</v>
      </c>
      <c r="D2028">
        <v>1.01325</v>
      </c>
      <c r="E2028">
        <v>1</v>
      </c>
      <c r="H2028">
        <v>6.6200000000000005E-4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 spans="1:20">
      <c r="A2029">
        <f t="shared" si="41"/>
        <v>2028</v>
      </c>
      <c r="B2029" t="str">
        <f t="shared" si="40"/>
        <v>Barrett 1988</v>
      </c>
      <c r="C2029">
        <v>333.65</v>
      </c>
      <c r="D2029">
        <v>1.01325</v>
      </c>
      <c r="E2029">
        <v>1</v>
      </c>
      <c r="H2029">
        <v>5.6800000000000004E-4</v>
      </c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 spans="1:20">
      <c r="A2030">
        <f t="shared" si="41"/>
        <v>2029</v>
      </c>
      <c r="B2030" t="str">
        <f t="shared" si="40"/>
        <v>Barrett 1988</v>
      </c>
      <c r="C2030">
        <v>333.65</v>
      </c>
      <c r="D2030">
        <v>1.01325</v>
      </c>
      <c r="E2030">
        <v>1</v>
      </c>
      <c r="H2030">
        <v>6.6E-4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 spans="1:20">
      <c r="A2031">
        <f t="shared" si="41"/>
        <v>2030</v>
      </c>
      <c r="B2031" t="str">
        <f t="shared" si="40"/>
        <v>Barrett 1988</v>
      </c>
      <c r="C2031">
        <v>334.15</v>
      </c>
      <c r="D2031">
        <v>1.01325</v>
      </c>
      <c r="E2031">
        <v>1</v>
      </c>
      <c r="H2031">
        <v>6.7199999999999996E-4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 spans="1:20">
      <c r="A2032">
        <f t="shared" si="41"/>
        <v>2031</v>
      </c>
      <c r="B2032" t="str">
        <f t="shared" si="40"/>
        <v>Barrett 1988</v>
      </c>
      <c r="C2032">
        <v>333.65</v>
      </c>
      <c r="D2032">
        <v>1.01325</v>
      </c>
      <c r="E2032">
        <v>1</v>
      </c>
      <c r="H2032">
        <v>5.8799999999999998E-4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 spans="1:20">
      <c r="A2033">
        <f t="shared" si="41"/>
        <v>2032</v>
      </c>
      <c r="B2033" t="str">
        <f t="shared" si="40"/>
        <v>Barrett 1988</v>
      </c>
      <c r="C2033">
        <v>333.65</v>
      </c>
      <c r="D2033">
        <v>1.01325</v>
      </c>
      <c r="E2033">
        <v>1</v>
      </c>
      <c r="H2033">
        <v>6.9499999999999998E-4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 spans="1:20">
      <c r="A2034">
        <f t="shared" si="41"/>
        <v>2033</v>
      </c>
      <c r="B2034" t="str">
        <f t="shared" si="40"/>
        <v>Barrett 1988</v>
      </c>
      <c r="C2034">
        <v>333.65</v>
      </c>
      <c r="D2034">
        <v>1.01325</v>
      </c>
      <c r="E2034">
        <v>1</v>
      </c>
      <c r="H2034">
        <v>6.6E-4</v>
      </c>
      <c r="N2034">
        <v>0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 spans="1:20">
      <c r="A2035">
        <f t="shared" si="41"/>
        <v>2034</v>
      </c>
      <c r="B2035" t="str">
        <f t="shared" si="40"/>
        <v>Barrett 1988</v>
      </c>
      <c r="C2035">
        <v>333.65</v>
      </c>
      <c r="D2035">
        <v>1.01325</v>
      </c>
      <c r="E2035">
        <v>1</v>
      </c>
      <c r="H2035">
        <v>6.8900000000000005E-4</v>
      </c>
      <c r="N2035">
        <v>0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 spans="1:20">
      <c r="A2036">
        <f t="shared" si="41"/>
        <v>2035</v>
      </c>
      <c r="B2036" t="str">
        <f t="shared" si="40"/>
        <v>Barrett 1988</v>
      </c>
      <c r="C2036">
        <v>333.65</v>
      </c>
      <c r="D2036">
        <v>1.01325</v>
      </c>
      <c r="E2036">
        <v>1</v>
      </c>
      <c r="H2036">
        <v>6.6500000000000001E-4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0">
      <c r="A2037">
        <f t="shared" si="41"/>
        <v>2036</v>
      </c>
      <c r="B2037" t="str">
        <f t="shared" si="40"/>
        <v>Barrett 1988</v>
      </c>
      <c r="C2037">
        <v>352.15</v>
      </c>
      <c r="D2037">
        <v>1.01325</v>
      </c>
      <c r="E2037">
        <v>1</v>
      </c>
      <c r="H2037">
        <v>3.5599999999999998E-4</v>
      </c>
      <c r="N2037">
        <v>0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0">
      <c r="A2038">
        <f t="shared" si="41"/>
        <v>2037</v>
      </c>
      <c r="B2038" t="str">
        <f t="shared" si="40"/>
        <v>Barrett 1988</v>
      </c>
      <c r="C2038">
        <v>352.15</v>
      </c>
      <c r="D2038">
        <v>1.01325</v>
      </c>
      <c r="E2038">
        <v>1</v>
      </c>
      <c r="H2038">
        <v>3.5199999999999999E-4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>
      <c r="A2039">
        <f t="shared" si="41"/>
        <v>2038</v>
      </c>
      <c r="B2039" t="str">
        <f t="shared" si="40"/>
        <v>Barrett 1988</v>
      </c>
      <c r="C2039">
        <v>353.15</v>
      </c>
      <c r="D2039">
        <v>1.01325</v>
      </c>
      <c r="E2039">
        <v>1</v>
      </c>
      <c r="H2039">
        <v>3.5100000000000002E-4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 spans="1:20">
      <c r="A2040">
        <f t="shared" si="41"/>
        <v>2039</v>
      </c>
      <c r="B2040" t="str">
        <f t="shared" si="40"/>
        <v>Barrett 1988</v>
      </c>
      <c r="C2040">
        <v>353.15</v>
      </c>
      <c r="D2040">
        <v>1.01325</v>
      </c>
      <c r="E2040">
        <v>1</v>
      </c>
      <c r="H2040">
        <v>3.57E-4</v>
      </c>
      <c r="N2040">
        <v>0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>
      <c r="A2041">
        <f t="shared" si="41"/>
        <v>2040</v>
      </c>
      <c r="B2041" t="str">
        <f t="shared" si="40"/>
        <v>Barrett 1988</v>
      </c>
      <c r="C2041">
        <v>353.15</v>
      </c>
      <c r="D2041">
        <v>1.01325</v>
      </c>
      <c r="E2041">
        <v>1</v>
      </c>
      <c r="H2041">
        <v>3.2499999999999999E-4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 spans="1:20">
      <c r="A2042">
        <f t="shared" si="41"/>
        <v>2041</v>
      </c>
      <c r="B2042" t="str">
        <f t="shared" si="40"/>
        <v>Barrett 1988</v>
      </c>
      <c r="C2042">
        <v>353.15</v>
      </c>
      <c r="D2042">
        <v>1.01325</v>
      </c>
      <c r="E2042">
        <v>1</v>
      </c>
      <c r="H2042">
        <v>3.1599999999999998E-4</v>
      </c>
      <c r="N2042">
        <v>0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>
      <c r="A2043">
        <f t="shared" si="41"/>
        <v>2042</v>
      </c>
      <c r="B2043" t="str">
        <f t="shared" si="40"/>
        <v>Barrett 1988</v>
      </c>
      <c r="C2043">
        <v>353.15</v>
      </c>
      <c r="D2043">
        <v>1.01325</v>
      </c>
      <c r="E2043">
        <v>1</v>
      </c>
      <c r="H2043">
        <v>3.3700000000000001E-4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>
      <c r="A2044">
        <f t="shared" si="41"/>
        <v>2043</v>
      </c>
      <c r="B2044" t="str">
        <f t="shared" si="40"/>
        <v>Barrett 1988</v>
      </c>
      <c r="C2044">
        <v>353.15</v>
      </c>
      <c r="D2044">
        <v>1.01325</v>
      </c>
      <c r="E2044">
        <v>1</v>
      </c>
      <c r="H2044">
        <v>3.3599999999999998E-4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>
      <c r="A2045">
        <f t="shared" si="41"/>
        <v>2044</v>
      </c>
      <c r="B2045" t="str">
        <f t="shared" si="40"/>
        <v>Barrett 1988</v>
      </c>
      <c r="C2045">
        <v>353.15</v>
      </c>
      <c r="D2045">
        <v>1.01325</v>
      </c>
      <c r="E2045">
        <v>1</v>
      </c>
      <c r="H2045">
        <v>3.7199999999999999E-4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>
      <c r="A2046">
        <f t="shared" si="41"/>
        <v>2045</v>
      </c>
      <c r="B2046" t="str">
        <f t="shared" si="40"/>
        <v>Barrett 1988</v>
      </c>
      <c r="C2046">
        <v>353.15</v>
      </c>
      <c r="D2046">
        <v>1.01325</v>
      </c>
      <c r="E2046">
        <v>1</v>
      </c>
      <c r="H2046">
        <v>3.9199999999999999E-4</v>
      </c>
      <c r="N2046">
        <v>0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0">
      <c r="A2047">
        <f t="shared" si="41"/>
        <v>2046</v>
      </c>
      <c r="B2047" t="str">
        <f t="shared" ref="B2047:B2110" si="42">B2046</f>
        <v>Barrett 1988</v>
      </c>
      <c r="C2047">
        <v>368.15</v>
      </c>
      <c r="D2047">
        <v>1.01325</v>
      </c>
      <c r="E2047">
        <v>1</v>
      </c>
      <c r="H2047">
        <v>1.4300000000000001E-4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 spans="1:20">
      <c r="A2048">
        <f t="shared" si="41"/>
        <v>2047</v>
      </c>
      <c r="B2048" t="str">
        <f t="shared" si="42"/>
        <v>Barrett 1988</v>
      </c>
      <c r="C2048">
        <v>368.15</v>
      </c>
      <c r="D2048">
        <v>1.01325</v>
      </c>
      <c r="E2048">
        <v>1</v>
      </c>
      <c r="H2048">
        <v>1.5100000000000001E-4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 spans="1:20">
      <c r="A2049">
        <f t="shared" si="41"/>
        <v>2048</v>
      </c>
      <c r="B2049" t="str">
        <f t="shared" si="42"/>
        <v>Barrett 1988</v>
      </c>
      <c r="C2049">
        <v>368.15</v>
      </c>
      <c r="D2049">
        <v>1.01325</v>
      </c>
      <c r="E2049">
        <v>1</v>
      </c>
      <c r="H2049">
        <v>1.4899999999999999E-4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>
      <c r="A2050">
        <f t="shared" si="41"/>
        <v>2049</v>
      </c>
      <c r="B2050" t="str">
        <f t="shared" si="42"/>
        <v>Barrett 1988</v>
      </c>
      <c r="C2050">
        <v>368.15</v>
      </c>
      <c r="D2050">
        <v>1.01325</v>
      </c>
      <c r="E2050">
        <v>1</v>
      </c>
      <c r="H2050">
        <v>1.5100000000000001E-4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 spans="1:20">
      <c r="A2051">
        <f t="shared" si="41"/>
        <v>2050</v>
      </c>
      <c r="B2051" t="str">
        <f t="shared" si="42"/>
        <v>Barrett 1988</v>
      </c>
      <c r="C2051">
        <v>299.64999999999998</v>
      </c>
      <c r="D2051">
        <v>1.01325</v>
      </c>
      <c r="E2051">
        <v>2</v>
      </c>
      <c r="H2051">
        <v>1.199E-3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 spans="1:20">
      <c r="A2052">
        <f t="shared" ref="A2052:A2115" si="43">A2051+1</f>
        <v>2051</v>
      </c>
      <c r="B2052" t="str">
        <f t="shared" si="42"/>
        <v>Barrett 1988</v>
      </c>
      <c r="C2052">
        <v>299.64999999999998</v>
      </c>
      <c r="D2052">
        <v>1.01325</v>
      </c>
      <c r="E2052">
        <v>2</v>
      </c>
      <c r="H2052">
        <v>1.2539999999999999E-3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>
      <c r="A2053">
        <f t="shared" si="43"/>
        <v>2052</v>
      </c>
      <c r="B2053" t="str">
        <f t="shared" si="42"/>
        <v>Barrett 1988</v>
      </c>
      <c r="C2053">
        <v>299.64999999999998</v>
      </c>
      <c r="D2053">
        <v>1.01325</v>
      </c>
      <c r="E2053">
        <v>2</v>
      </c>
      <c r="H2053">
        <v>1.2390000000000001E-3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>
      <c r="A2054">
        <f t="shared" si="43"/>
        <v>2053</v>
      </c>
      <c r="B2054" t="str">
        <f t="shared" si="42"/>
        <v>Barrett 1988</v>
      </c>
      <c r="C2054">
        <v>299.64999999999998</v>
      </c>
      <c r="D2054">
        <v>1.01325</v>
      </c>
      <c r="E2054">
        <v>2</v>
      </c>
      <c r="H2054">
        <v>1.2520000000000001E-3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>
      <c r="A2055">
        <f t="shared" si="43"/>
        <v>2054</v>
      </c>
      <c r="B2055" t="str">
        <f t="shared" si="42"/>
        <v>Barrett 1988</v>
      </c>
      <c r="C2055">
        <v>299.14999999999998</v>
      </c>
      <c r="D2055">
        <v>1.01325</v>
      </c>
      <c r="E2055">
        <v>2</v>
      </c>
      <c r="H2055">
        <v>1.222E-3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 spans="1:20">
      <c r="A2056">
        <f t="shared" si="43"/>
        <v>2055</v>
      </c>
      <c r="B2056" t="str">
        <f t="shared" si="42"/>
        <v>Barrett 1988</v>
      </c>
      <c r="C2056">
        <v>299.14999999999998</v>
      </c>
      <c r="D2056">
        <v>1.01325</v>
      </c>
      <c r="E2056">
        <v>2</v>
      </c>
      <c r="H2056">
        <v>1.273E-3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>
      <c r="A2057">
        <f t="shared" si="43"/>
        <v>2056</v>
      </c>
      <c r="B2057" t="str">
        <f t="shared" si="42"/>
        <v>Barrett 1988</v>
      </c>
      <c r="C2057">
        <v>332.65</v>
      </c>
      <c r="D2057">
        <v>1.01325</v>
      </c>
      <c r="E2057">
        <v>2</v>
      </c>
      <c r="H2057">
        <v>5.7600000000000001E-4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 spans="1:20">
      <c r="A2058">
        <f t="shared" si="43"/>
        <v>2057</v>
      </c>
      <c r="B2058" t="str">
        <f t="shared" si="42"/>
        <v>Barrett 1988</v>
      </c>
      <c r="C2058">
        <v>332.65</v>
      </c>
      <c r="D2058">
        <v>1.01325</v>
      </c>
      <c r="E2058">
        <v>2</v>
      </c>
      <c r="H2058">
        <v>5.7799999999999995E-4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 spans="1:20">
      <c r="A2059">
        <f t="shared" si="43"/>
        <v>2058</v>
      </c>
      <c r="B2059" t="str">
        <f t="shared" si="42"/>
        <v>Barrett 1988</v>
      </c>
      <c r="C2059">
        <v>333.15</v>
      </c>
      <c r="D2059">
        <v>1.01325</v>
      </c>
      <c r="E2059">
        <v>2</v>
      </c>
      <c r="H2059">
        <v>5.6400000000000005E-4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>
      <c r="A2060">
        <f t="shared" si="43"/>
        <v>2059</v>
      </c>
      <c r="B2060" t="str">
        <f t="shared" si="42"/>
        <v>Barrett 1988</v>
      </c>
      <c r="C2060">
        <v>333.15</v>
      </c>
      <c r="D2060">
        <v>1.01325</v>
      </c>
      <c r="E2060">
        <v>2</v>
      </c>
      <c r="H2060">
        <v>5.6400000000000005E-4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 spans="1:20">
      <c r="A2061">
        <f t="shared" si="43"/>
        <v>2060</v>
      </c>
      <c r="B2061" t="str">
        <f t="shared" si="42"/>
        <v>Barrett 1988</v>
      </c>
      <c r="C2061">
        <v>353.15</v>
      </c>
      <c r="D2061">
        <v>1.01325</v>
      </c>
      <c r="E2061">
        <v>2</v>
      </c>
      <c r="H2061">
        <v>3.0800000000000001E-4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>
      <c r="A2062">
        <f t="shared" si="43"/>
        <v>2061</v>
      </c>
      <c r="B2062" t="str">
        <f t="shared" si="42"/>
        <v>Barrett 1988</v>
      </c>
      <c r="C2062">
        <v>353.15</v>
      </c>
      <c r="D2062">
        <v>1.01325</v>
      </c>
      <c r="E2062">
        <v>2</v>
      </c>
      <c r="H2062">
        <v>2.9999999999999997E-4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 spans="1:20">
      <c r="A2063">
        <f t="shared" si="43"/>
        <v>2062</v>
      </c>
      <c r="B2063" t="str">
        <f t="shared" si="42"/>
        <v>Barrett 1988</v>
      </c>
      <c r="C2063">
        <v>353.15</v>
      </c>
      <c r="D2063">
        <v>1.01325</v>
      </c>
      <c r="E2063">
        <v>2</v>
      </c>
      <c r="H2063">
        <v>3.1E-4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 spans="1:20">
      <c r="A2064">
        <f t="shared" si="43"/>
        <v>2063</v>
      </c>
      <c r="B2064" t="str">
        <f t="shared" si="42"/>
        <v>Barrett 1988</v>
      </c>
      <c r="C2064">
        <v>353.15</v>
      </c>
      <c r="D2064">
        <v>1.01325</v>
      </c>
      <c r="E2064">
        <v>2</v>
      </c>
      <c r="H2064">
        <v>3.1100000000000002E-4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 spans="1:20">
      <c r="A2065">
        <f t="shared" si="43"/>
        <v>2064</v>
      </c>
      <c r="B2065" t="str">
        <f t="shared" si="42"/>
        <v>Barrett 1988</v>
      </c>
      <c r="C2065">
        <v>353.15</v>
      </c>
      <c r="D2065">
        <v>1.01325</v>
      </c>
      <c r="E2065">
        <v>2</v>
      </c>
      <c r="H2065">
        <v>3.1300000000000002E-4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 spans="1:20">
      <c r="A2066">
        <f t="shared" si="43"/>
        <v>2065</v>
      </c>
      <c r="B2066" t="str">
        <f t="shared" si="42"/>
        <v>Barrett 1988</v>
      </c>
      <c r="C2066">
        <v>353.15</v>
      </c>
      <c r="D2066">
        <v>1.01325</v>
      </c>
      <c r="E2066">
        <v>2</v>
      </c>
      <c r="H2066">
        <v>3.1399999999999999E-4</v>
      </c>
      <c r="N2066">
        <v>0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>
      <c r="A2067">
        <f t="shared" si="43"/>
        <v>2066</v>
      </c>
      <c r="B2067" t="str">
        <f t="shared" si="42"/>
        <v>Barrett 1988</v>
      </c>
      <c r="C2067">
        <v>353.15</v>
      </c>
      <c r="D2067">
        <v>1.01325</v>
      </c>
      <c r="E2067">
        <v>2</v>
      </c>
      <c r="H2067">
        <v>3.0699999999999998E-4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>
      <c r="A2068">
        <f t="shared" si="43"/>
        <v>2067</v>
      </c>
      <c r="B2068" t="str">
        <f t="shared" si="42"/>
        <v>Barrett 1988</v>
      </c>
      <c r="C2068">
        <v>368.15</v>
      </c>
      <c r="D2068">
        <v>1.01325</v>
      </c>
      <c r="E2068">
        <v>2</v>
      </c>
      <c r="H2068">
        <v>1.45E-4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>
      <c r="A2069">
        <f t="shared" si="43"/>
        <v>2068</v>
      </c>
      <c r="B2069" t="str">
        <f t="shared" si="42"/>
        <v>Barrett 1988</v>
      </c>
      <c r="C2069">
        <v>368.15</v>
      </c>
      <c r="D2069">
        <v>1.01325</v>
      </c>
      <c r="E2069">
        <v>2</v>
      </c>
      <c r="H2069">
        <v>1.3999999999999999E-4</v>
      </c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>
      <c r="A2070">
        <f t="shared" si="43"/>
        <v>2069</v>
      </c>
      <c r="B2070" t="str">
        <f t="shared" si="42"/>
        <v>Barrett 1988</v>
      </c>
      <c r="C2070">
        <v>368.15</v>
      </c>
      <c r="D2070">
        <v>1.01325</v>
      </c>
      <c r="E2070">
        <v>2</v>
      </c>
      <c r="H2070">
        <v>1.4200000000000001E-4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>
      <c r="A2071">
        <f t="shared" si="43"/>
        <v>2070</v>
      </c>
      <c r="B2071" t="str">
        <f t="shared" si="42"/>
        <v>Barrett 1988</v>
      </c>
      <c r="C2071">
        <v>369.15</v>
      </c>
      <c r="D2071">
        <v>1.01325</v>
      </c>
      <c r="E2071">
        <v>2</v>
      </c>
      <c r="H2071">
        <v>1.35E-4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 spans="1:20">
      <c r="A2072">
        <f t="shared" si="43"/>
        <v>2071</v>
      </c>
      <c r="B2072" t="str">
        <f t="shared" si="42"/>
        <v>Barrett 1988</v>
      </c>
      <c r="C2072">
        <v>369.15</v>
      </c>
      <c r="D2072">
        <v>1.01325</v>
      </c>
      <c r="E2072">
        <v>2</v>
      </c>
      <c r="H2072">
        <v>1.2799999999999999E-4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>
      <c r="A2073">
        <f t="shared" si="43"/>
        <v>2072</v>
      </c>
      <c r="B2073" t="str">
        <f t="shared" si="42"/>
        <v>Barrett 1988</v>
      </c>
      <c r="C2073">
        <v>301.14999999999998</v>
      </c>
      <c r="D2073">
        <v>1.01325</v>
      </c>
      <c r="E2073">
        <v>3</v>
      </c>
      <c r="H2073">
        <v>1.0399999999999999E-3</v>
      </c>
      <c r="N2073">
        <v>0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>
      <c r="A2074">
        <f t="shared" si="43"/>
        <v>2073</v>
      </c>
      <c r="B2074" t="str">
        <f t="shared" si="42"/>
        <v>Barrett 1988</v>
      </c>
      <c r="C2074">
        <v>302.14999999999998</v>
      </c>
      <c r="D2074">
        <v>1.01325</v>
      </c>
      <c r="E2074">
        <v>3</v>
      </c>
      <c r="H2074">
        <v>1.054E-3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 spans="1:20">
      <c r="A2075">
        <f t="shared" si="43"/>
        <v>2074</v>
      </c>
      <c r="B2075" t="str">
        <f t="shared" si="42"/>
        <v>Barrett 1988</v>
      </c>
      <c r="C2075">
        <v>302.14999999999998</v>
      </c>
      <c r="D2075">
        <v>1.01325</v>
      </c>
      <c r="E2075">
        <v>3</v>
      </c>
      <c r="H2075">
        <v>1.042E-3</v>
      </c>
      <c r="N2075">
        <v>0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 spans="1:20">
      <c r="A2076">
        <f t="shared" si="43"/>
        <v>2075</v>
      </c>
      <c r="B2076" t="str">
        <f t="shared" si="42"/>
        <v>Barrett 1988</v>
      </c>
      <c r="C2076">
        <v>302.14999999999998</v>
      </c>
      <c r="D2076">
        <v>1.01325</v>
      </c>
      <c r="E2076">
        <v>3</v>
      </c>
      <c r="H2076">
        <v>1.0269999999999999E-3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 spans="1:20">
      <c r="A2077">
        <f t="shared" si="43"/>
        <v>2076</v>
      </c>
      <c r="B2077" t="str">
        <f t="shared" si="42"/>
        <v>Barrett 1988</v>
      </c>
      <c r="C2077">
        <v>302.14999999999998</v>
      </c>
      <c r="D2077">
        <v>1.01325</v>
      </c>
      <c r="E2077">
        <v>3</v>
      </c>
      <c r="H2077">
        <v>1.0319999999999999E-3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 spans="1:20">
      <c r="A2078">
        <f t="shared" si="43"/>
        <v>2077</v>
      </c>
      <c r="B2078" t="str">
        <f t="shared" si="42"/>
        <v>Barrett 1988</v>
      </c>
      <c r="C2078">
        <v>299.14999999999998</v>
      </c>
      <c r="D2078">
        <v>1.01325</v>
      </c>
      <c r="E2078">
        <v>3</v>
      </c>
      <c r="H2078">
        <v>1.0330000000000001E-3</v>
      </c>
      <c r="N2078">
        <v>0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 spans="1:20">
      <c r="A2079">
        <f t="shared" si="43"/>
        <v>2078</v>
      </c>
      <c r="B2079" t="str">
        <f t="shared" si="42"/>
        <v>Barrett 1988</v>
      </c>
      <c r="C2079">
        <v>299.14999999999998</v>
      </c>
      <c r="D2079">
        <v>1.01325</v>
      </c>
      <c r="E2079">
        <v>3</v>
      </c>
      <c r="H2079">
        <v>1.0950000000000001E-3</v>
      </c>
      <c r="N2079">
        <v>0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 spans="1:20">
      <c r="A2080">
        <f t="shared" si="43"/>
        <v>2079</v>
      </c>
      <c r="B2080" t="str">
        <f t="shared" si="42"/>
        <v>Barrett 1988</v>
      </c>
      <c r="C2080">
        <v>298.14999999999998</v>
      </c>
      <c r="D2080">
        <v>1.01325</v>
      </c>
      <c r="E2080">
        <v>3</v>
      </c>
      <c r="H2080">
        <v>1.041E-3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 spans="1:20">
      <c r="A2081">
        <f t="shared" si="43"/>
        <v>2080</v>
      </c>
      <c r="B2081" t="str">
        <f t="shared" si="42"/>
        <v>Barrett 1988</v>
      </c>
      <c r="C2081">
        <v>298.14999999999998</v>
      </c>
      <c r="D2081">
        <v>1.01325</v>
      </c>
      <c r="E2081">
        <v>3</v>
      </c>
      <c r="H2081">
        <v>1.0529999999999999E-3</v>
      </c>
      <c r="N2081">
        <v>0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 spans="1:20">
      <c r="A2082">
        <f t="shared" si="43"/>
        <v>2081</v>
      </c>
      <c r="B2082" t="str">
        <f t="shared" si="42"/>
        <v>Barrett 1988</v>
      </c>
      <c r="C2082">
        <v>297.64999999999998</v>
      </c>
      <c r="D2082">
        <v>1.01325</v>
      </c>
      <c r="E2082">
        <v>3</v>
      </c>
      <c r="H2082">
        <v>1.1360000000000001E-3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 spans="1:20">
      <c r="A2083">
        <f t="shared" si="43"/>
        <v>2082</v>
      </c>
      <c r="B2083" t="str">
        <f t="shared" si="42"/>
        <v>Barrett 1988</v>
      </c>
      <c r="C2083">
        <v>297.64999999999998</v>
      </c>
      <c r="D2083">
        <v>1.01325</v>
      </c>
      <c r="E2083">
        <v>3</v>
      </c>
      <c r="H2083">
        <v>1.1299999999999999E-3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 spans="1:20">
      <c r="A2084">
        <f t="shared" si="43"/>
        <v>2083</v>
      </c>
      <c r="B2084" t="str">
        <f t="shared" si="42"/>
        <v>Barrett 1988</v>
      </c>
      <c r="C2084">
        <v>297.14999999999998</v>
      </c>
      <c r="D2084">
        <v>1.01325</v>
      </c>
      <c r="E2084">
        <v>3</v>
      </c>
      <c r="H2084">
        <v>1.139E-3</v>
      </c>
      <c r="N2084">
        <v>0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 spans="1:20">
      <c r="A2085">
        <f t="shared" si="43"/>
        <v>2084</v>
      </c>
      <c r="B2085" t="str">
        <f t="shared" si="42"/>
        <v>Barrett 1988</v>
      </c>
      <c r="C2085">
        <v>297.14999999999998</v>
      </c>
      <c r="D2085">
        <v>1.01325</v>
      </c>
      <c r="E2085">
        <v>3</v>
      </c>
      <c r="H2085">
        <v>1.1349999999999999E-3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 spans="1:20">
      <c r="A2086">
        <f t="shared" si="43"/>
        <v>2085</v>
      </c>
      <c r="B2086" t="str">
        <f t="shared" si="42"/>
        <v>Barrett 1988</v>
      </c>
      <c r="C2086">
        <v>297.14999999999998</v>
      </c>
      <c r="D2086">
        <v>1.01325</v>
      </c>
      <c r="E2086">
        <v>3</v>
      </c>
      <c r="H2086">
        <v>1.142E-3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 spans="1:20">
      <c r="A2087">
        <f t="shared" si="43"/>
        <v>2086</v>
      </c>
      <c r="B2087" t="str">
        <f t="shared" si="42"/>
        <v>Barrett 1988</v>
      </c>
      <c r="C2087">
        <v>297.14999999999998</v>
      </c>
      <c r="D2087">
        <v>1.01325</v>
      </c>
      <c r="E2087">
        <v>3</v>
      </c>
      <c r="H2087">
        <v>1.139E-3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>
      <c r="A2088">
        <f t="shared" si="43"/>
        <v>2087</v>
      </c>
      <c r="B2088" t="str">
        <f t="shared" si="42"/>
        <v>Barrett 1988</v>
      </c>
      <c r="C2088">
        <v>333.15</v>
      </c>
      <c r="D2088">
        <v>1.01325</v>
      </c>
      <c r="E2088">
        <v>3</v>
      </c>
      <c r="H2088">
        <v>5.3600000000000002E-4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 spans="1:20">
      <c r="A2089">
        <f t="shared" si="43"/>
        <v>2088</v>
      </c>
      <c r="B2089" t="str">
        <f t="shared" si="42"/>
        <v>Barrett 1988</v>
      </c>
      <c r="C2089">
        <v>333.15</v>
      </c>
      <c r="D2089">
        <v>1.01325</v>
      </c>
      <c r="E2089">
        <v>3</v>
      </c>
      <c r="H2089">
        <v>4.7699999999999999E-4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>
      <c r="A2090">
        <f t="shared" si="43"/>
        <v>2089</v>
      </c>
      <c r="B2090" t="str">
        <f t="shared" si="42"/>
        <v>Barrett 1988</v>
      </c>
      <c r="C2090">
        <v>333.15</v>
      </c>
      <c r="D2090">
        <v>1.01325</v>
      </c>
      <c r="E2090">
        <v>3</v>
      </c>
      <c r="H2090">
        <v>4.8700000000000002E-4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>
      <c r="A2091">
        <f t="shared" si="43"/>
        <v>2090</v>
      </c>
      <c r="B2091" t="str">
        <f t="shared" si="42"/>
        <v>Barrett 1988</v>
      </c>
      <c r="C2091">
        <v>333.15</v>
      </c>
      <c r="D2091">
        <v>1.01325</v>
      </c>
      <c r="E2091">
        <v>3</v>
      </c>
      <c r="H2091">
        <v>4.8500000000000003E-4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>
      <c r="A2092">
        <f t="shared" si="43"/>
        <v>2091</v>
      </c>
      <c r="B2092" t="str">
        <f t="shared" si="42"/>
        <v>Barrett 1988</v>
      </c>
      <c r="C2092">
        <v>333.15</v>
      </c>
      <c r="D2092">
        <v>1.01325</v>
      </c>
      <c r="E2092">
        <v>3</v>
      </c>
      <c r="H2092">
        <v>4.9100000000000001E-4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>
      <c r="A2093">
        <f t="shared" si="43"/>
        <v>2092</v>
      </c>
      <c r="B2093" t="str">
        <f t="shared" si="42"/>
        <v>Barrett 1988</v>
      </c>
      <c r="C2093">
        <v>333.15</v>
      </c>
      <c r="D2093">
        <v>1.01325</v>
      </c>
      <c r="E2093">
        <v>3</v>
      </c>
      <c r="H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 spans="1:20">
      <c r="A2094">
        <f t="shared" si="43"/>
        <v>2093</v>
      </c>
      <c r="B2094" t="str">
        <f t="shared" si="42"/>
        <v>Barrett 1988</v>
      </c>
      <c r="C2094">
        <v>368.15</v>
      </c>
      <c r="D2094">
        <v>1.01325</v>
      </c>
      <c r="E2094">
        <v>3</v>
      </c>
      <c r="H2094">
        <v>1.2899999999999999E-4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 spans="1:20">
      <c r="A2095">
        <f t="shared" si="43"/>
        <v>2094</v>
      </c>
      <c r="B2095" t="str">
        <f t="shared" si="42"/>
        <v>Barrett 1988</v>
      </c>
      <c r="C2095">
        <v>368.15</v>
      </c>
      <c r="D2095">
        <v>1.01325</v>
      </c>
      <c r="E2095">
        <v>3</v>
      </c>
      <c r="H2095">
        <v>1.26E-4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 spans="1:20">
      <c r="A2096">
        <f t="shared" si="43"/>
        <v>2095</v>
      </c>
      <c r="B2096" t="str">
        <f t="shared" si="42"/>
        <v>Barrett 1988</v>
      </c>
      <c r="C2096">
        <v>367.65</v>
      </c>
      <c r="D2096">
        <v>1.01325</v>
      </c>
      <c r="E2096">
        <v>3</v>
      </c>
      <c r="H2096">
        <v>1.47E-4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 spans="1:20">
      <c r="A2097">
        <f t="shared" si="43"/>
        <v>2096</v>
      </c>
      <c r="B2097" t="str">
        <f t="shared" si="42"/>
        <v>Barrett 1988</v>
      </c>
      <c r="C2097">
        <v>367.65</v>
      </c>
      <c r="D2097">
        <v>1.01325</v>
      </c>
      <c r="E2097">
        <v>3</v>
      </c>
      <c r="H2097">
        <v>1.3200000000000001E-4</v>
      </c>
      <c r="N2097">
        <v>0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>
      <c r="A2098">
        <f t="shared" si="43"/>
        <v>2097</v>
      </c>
      <c r="B2098" t="str">
        <f t="shared" si="42"/>
        <v>Barrett 1988</v>
      </c>
      <c r="C2098">
        <v>368.15</v>
      </c>
      <c r="D2098">
        <v>1.01325</v>
      </c>
      <c r="E2098">
        <v>3</v>
      </c>
      <c r="H2098">
        <v>1.3200000000000001E-4</v>
      </c>
      <c r="N2098">
        <v>0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 spans="1:20">
      <c r="A2099">
        <f t="shared" si="43"/>
        <v>2098</v>
      </c>
      <c r="B2099" t="str">
        <f t="shared" si="42"/>
        <v>Barrett 1988</v>
      </c>
      <c r="C2099">
        <v>368.15</v>
      </c>
      <c r="D2099">
        <v>1.01325</v>
      </c>
      <c r="E2099">
        <v>3</v>
      </c>
      <c r="H2099">
        <v>1.3100000000000001E-4</v>
      </c>
      <c r="N2099">
        <v>0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 spans="1:20">
      <c r="A2100">
        <f t="shared" si="43"/>
        <v>2099</v>
      </c>
      <c r="B2100" t="str">
        <f t="shared" si="42"/>
        <v>Barrett 1988</v>
      </c>
      <c r="C2100">
        <v>365.15</v>
      </c>
      <c r="D2100">
        <v>1.01325</v>
      </c>
      <c r="E2100">
        <v>3</v>
      </c>
      <c r="H2100">
        <v>1.6899999999999999E-4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 spans="1:20">
      <c r="A2101">
        <f t="shared" si="43"/>
        <v>2100</v>
      </c>
      <c r="B2101" t="str">
        <f t="shared" si="42"/>
        <v>Barrett 1988</v>
      </c>
      <c r="C2101">
        <v>365.15</v>
      </c>
      <c r="D2101">
        <v>1.01325</v>
      </c>
      <c r="E2101">
        <v>3</v>
      </c>
      <c r="H2101">
        <v>1.8100000000000001E-4</v>
      </c>
      <c r="N2101">
        <v>0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>
      <c r="A2102">
        <f t="shared" si="43"/>
        <v>2101</v>
      </c>
      <c r="B2102" t="str">
        <f t="shared" si="42"/>
        <v>Barrett 1988</v>
      </c>
      <c r="C2102">
        <v>365.15</v>
      </c>
      <c r="D2102">
        <v>1.01325</v>
      </c>
      <c r="E2102">
        <v>3</v>
      </c>
      <c r="H2102">
        <v>1.7000000000000001E-4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 spans="1:20">
      <c r="A2103">
        <f t="shared" si="43"/>
        <v>2102</v>
      </c>
      <c r="B2103" t="str">
        <f t="shared" si="42"/>
        <v>Barrett 1988</v>
      </c>
      <c r="C2103">
        <v>365.15</v>
      </c>
      <c r="D2103">
        <v>1.01325</v>
      </c>
      <c r="E2103">
        <v>3</v>
      </c>
      <c r="H2103">
        <v>1.7000000000000001E-4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 spans="1:20">
      <c r="A2104">
        <f t="shared" si="43"/>
        <v>2103</v>
      </c>
      <c r="B2104" t="str">
        <f t="shared" si="42"/>
        <v>Barrett 1988</v>
      </c>
      <c r="C2104">
        <v>369.15</v>
      </c>
      <c r="D2104">
        <v>1.01325</v>
      </c>
      <c r="E2104">
        <v>3</v>
      </c>
      <c r="H2104">
        <v>1.21E-4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 spans="1:20">
      <c r="A2105">
        <f t="shared" si="43"/>
        <v>2104</v>
      </c>
      <c r="B2105" t="str">
        <f t="shared" si="42"/>
        <v>Barrett 1988</v>
      </c>
      <c r="C2105">
        <v>369.15</v>
      </c>
      <c r="D2105">
        <v>1.01325</v>
      </c>
      <c r="E2105">
        <v>3</v>
      </c>
      <c r="H2105">
        <v>1.25E-4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>
      <c r="A2106">
        <f t="shared" si="43"/>
        <v>2105</v>
      </c>
      <c r="B2106" t="str">
        <f t="shared" si="42"/>
        <v>Barrett 1988</v>
      </c>
      <c r="C2106">
        <v>369.15</v>
      </c>
      <c r="D2106">
        <v>1.01325</v>
      </c>
      <c r="E2106">
        <v>3</v>
      </c>
      <c r="H2106">
        <v>1.2300000000000001E-4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>
      <c r="A2107">
        <f t="shared" si="43"/>
        <v>2106</v>
      </c>
      <c r="B2107" t="str">
        <f t="shared" si="42"/>
        <v>Barrett 1988</v>
      </c>
      <c r="C2107">
        <v>369.65</v>
      </c>
      <c r="D2107">
        <v>1.01325</v>
      </c>
      <c r="E2107">
        <v>3</v>
      </c>
      <c r="H2107">
        <v>1.2400000000000001E-4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 spans="1:20">
      <c r="A2108">
        <f t="shared" si="43"/>
        <v>2107</v>
      </c>
      <c r="B2108" t="str">
        <f t="shared" si="42"/>
        <v>Barrett 1988</v>
      </c>
      <c r="C2108">
        <v>369.65</v>
      </c>
      <c r="D2108">
        <v>1.01325</v>
      </c>
      <c r="E2108">
        <v>3</v>
      </c>
      <c r="H2108">
        <v>1.2799999999999999E-4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 spans="1:20">
      <c r="A2109">
        <f t="shared" si="43"/>
        <v>2108</v>
      </c>
      <c r="B2109" t="str">
        <f t="shared" si="42"/>
        <v>Barrett 1988</v>
      </c>
      <c r="C2109">
        <v>367.45</v>
      </c>
      <c r="D2109">
        <v>1.01325</v>
      </c>
      <c r="E2109">
        <v>3</v>
      </c>
      <c r="H2109">
        <v>1.45E-4</v>
      </c>
      <c r="N2109">
        <v>0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>
      <c r="A2110">
        <f t="shared" si="43"/>
        <v>2109</v>
      </c>
      <c r="B2110" t="str">
        <f t="shared" si="42"/>
        <v>Barrett 1988</v>
      </c>
      <c r="C2110">
        <v>367.45</v>
      </c>
      <c r="D2110">
        <v>1.01325</v>
      </c>
      <c r="E2110">
        <v>3</v>
      </c>
      <c r="H2110">
        <v>1.4200000000000001E-4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 spans="1:20">
      <c r="A2111">
        <f t="shared" si="43"/>
        <v>2110</v>
      </c>
      <c r="B2111" t="str">
        <f t="shared" ref="B2111:B2174" si="44">B2110</f>
        <v>Barrett 1988</v>
      </c>
      <c r="C2111">
        <v>368.15</v>
      </c>
      <c r="D2111">
        <v>1.01325</v>
      </c>
      <c r="E2111">
        <v>3</v>
      </c>
      <c r="H2111">
        <v>1.35E-4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>
      <c r="A2112">
        <f t="shared" si="43"/>
        <v>2111</v>
      </c>
      <c r="B2112" t="str">
        <f t="shared" si="44"/>
        <v>Barrett 1988</v>
      </c>
      <c r="C2112">
        <v>368.15</v>
      </c>
      <c r="D2112">
        <v>1.01325</v>
      </c>
      <c r="E2112">
        <v>3</v>
      </c>
      <c r="H2112">
        <v>1.3100000000000001E-4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 spans="1:20">
      <c r="A2113">
        <f t="shared" si="43"/>
        <v>2112</v>
      </c>
      <c r="B2113" t="str">
        <f t="shared" si="44"/>
        <v>Barrett 1988</v>
      </c>
      <c r="C2113">
        <v>367.15</v>
      </c>
      <c r="D2113">
        <v>1.01325</v>
      </c>
      <c r="E2113">
        <v>3</v>
      </c>
      <c r="H2113">
        <v>1.47E-4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>
      <c r="A2114">
        <f t="shared" si="43"/>
        <v>2113</v>
      </c>
      <c r="B2114" t="str">
        <f t="shared" si="44"/>
        <v>Barrett 1988</v>
      </c>
      <c r="C2114">
        <v>367.15</v>
      </c>
      <c r="D2114">
        <v>1.01325</v>
      </c>
      <c r="E2114">
        <v>3</v>
      </c>
      <c r="H2114">
        <v>1.4799999999999999E-4</v>
      </c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>
      <c r="A2115">
        <f t="shared" si="43"/>
        <v>2114</v>
      </c>
      <c r="B2115" t="str">
        <f t="shared" si="44"/>
        <v>Barrett 1988</v>
      </c>
      <c r="C2115">
        <v>369.15</v>
      </c>
      <c r="D2115">
        <v>1.01325</v>
      </c>
      <c r="E2115">
        <v>3</v>
      </c>
      <c r="H2115">
        <v>1.2400000000000001E-4</v>
      </c>
      <c r="N2115">
        <v>0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>
      <c r="A2116">
        <f t="shared" ref="A2116:A2179" si="45">A2115+1</f>
        <v>2115</v>
      </c>
      <c r="B2116" t="str">
        <f t="shared" si="44"/>
        <v>Barrett 1988</v>
      </c>
      <c r="C2116">
        <v>353.15</v>
      </c>
      <c r="D2116">
        <v>1.01325</v>
      </c>
      <c r="E2116">
        <v>4</v>
      </c>
      <c r="H2116">
        <v>2.5900000000000001E-4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 spans="1:20">
      <c r="A2117">
        <f t="shared" si="45"/>
        <v>2116</v>
      </c>
      <c r="B2117" t="str">
        <f t="shared" si="44"/>
        <v>Barrett 1988</v>
      </c>
      <c r="C2117">
        <v>353.15</v>
      </c>
      <c r="D2117">
        <v>1.01325</v>
      </c>
      <c r="E2117">
        <v>4</v>
      </c>
      <c r="H2117">
        <v>2.63E-4</v>
      </c>
      <c r="N2117">
        <v>0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 spans="1:20">
      <c r="A2118">
        <f t="shared" si="45"/>
        <v>2117</v>
      </c>
      <c r="B2118" t="str">
        <f t="shared" si="44"/>
        <v>Barrett 1988</v>
      </c>
      <c r="C2118">
        <v>353.15</v>
      </c>
      <c r="D2118">
        <v>1.01325</v>
      </c>
      <c r="E2118">
        <v>4</v>
      </c>
      <c r="H2118">
        <v>2.61E-4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 spans="1:20">
      <c r="A2119">
        <f t="shared" si="45"/>
        <v>2118</v>
      </c>
      <c r="B2119" t="str">
        <f t="shared" si="44"/>
        <v>Barrett 1988</v>
      </c>
      <c r="C2119">
        <v>353.15</v>
      </c>
      <c r="D2119">
        <v>1.01325</v>
      </c>
      <c r="E2119">
        <v>4</v>
      </c>
      <c r="H2119">
        <v>2.63E-4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 spans="1:20">
      <c r="A2120">
        <f t="shared" si="45"/>
        <v>2119</v>
      </c>
      <c r="B2120" t="str">
        <f t="shared" si="44"/>
        <v>Barrett 1988</v>
      </c>
      <c r="C2120">
        <v>354.65</v>
      </c>
      <c r="D2120">
        <v>1.01325</v>
      </c>
      <c r="E2120">
        <v>4</v>
      </c>
      <c r="H2120">
        <v>2.4399999999999999E-4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 spans="1:20">
      <c r="A2121">
        <f t="shared" si="45"/>
        <v>2120</v>
      </c>
      <c r="B2121" t="str">
        <f t="shared" si="44"/>
        <v>Barrett 1988</v>
      </c>
      <c r="C2121">
        <v>296.64999999999998</v>
      </c>
      <c r="D2121">
        <v>1.01325</v>
      </c>
      <c r="E2121">
        <v>4</v>
      </c>
      <c r="H2121">
        <v>1.0169999999999999E-3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 spans="1:20">
      <c r="A2122">
        <f t="shared" si="45"/>
        <v>2121</v>
      </c>
      <c r="B2122" t="str">
        <f t="shared" si="44"/>
        <v>Barrett 1988</v>
      </c>
      <c r="C2122">
        <v>296.64999999999998</v>
      </c>
      <c r="D2122">
        <v>1.01325</v>
      </c>
      <c r="E2122">
        <v>4</v>
      </c>
      <c r="H2122">
        <v>9.9799999999999997E-4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 spans="1:20">
      <c r="A2123">
        <f t="shared" si="45"/>
        <v>2122</v>
      </c>
      <c r="B2123" t="str">
        <f t="shared" si="44"/>
        <v>Barrett 1988</v>
      </c>
      <c r="C2123">
        <v>296.14999999999998</v>
      </c>
      <c r="D2123">
        <v>1.01325</v>
      </c>
      <c r="E2123">
        <v>4</v>
      </c>
      <c r="H2123">
        <v>1.029E-3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 spans="1:20">
      <c r="A2124">
        <f t="shared" si="45"/>
        <v>2123</v>
      </c>
      <c r="B2124" t="str">
        <f t="shared" si="44"/>
        <v>Barrett 1988</v>
      </c>
      <c r="C2124">
        <v>296.14999999999998</v>
      </c>
      <c r="D2124">
        <v>1.01325</v>
      </c>
      <c r="E2124">
        <v>4</v>
      </c>
      <c r="H2124">
        <v>9.9500000000000001E-4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 spans="1:20">
      <c r="A2125">
        <f t="shared" si="45"/>
        <v>2124</v>
      </c>
      <c r="B2125" t="str">
        <f t="shared" si="44"/>
        <v>Barrett 1988</v>
      </c>
      <c r="C2125">
        <v>301.14999999999998</v>
      </c>
      <c r="D2125">
        <v>1.01325</v>
      </c>
      <c r="E2125">
        <v>4</v>
      </c>
      <c r="H2125">
        <v>9.3000000000000005E-4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 spans="1:20">
      <c r="A2126">
        <f t="shared" si="45"/>
        <v>2125</v>
      </c>
      <c r="B2126" t="str">
        <f t="shared" si="44"/>
        <v>Barrett 1988</v>
      </c>
      <c r="C2126">
        <v>300.45</v>
      </c>
      <c r="D2126">
        <v>1.01325</v>
      </c>
      <c r="E2126">
        <v>4</v>
      </c>
      <c r="H2126">
        <v>9.6299999999999999E-4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 spans="1:20">
      <c r="A2127">
        <f t="shared" si="45"/>
        <v>2126</v>
      </c>
      <c r="B2127" t="str">
        <f t="shared" si="44"/>
        <v>Barrett 1988</v>
      </c>
      <c r="C2127">
        <v>300.45</v>
      </c>
      <c r="D2127">
        <v>1.01325</v>
      </c>
      <c r="E2127">
        <v>4</v>
      </c>
      <c r="H2127">
        <v>9.1E-4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 spans="1:20">
      <c r="A2128">
        <f t="shared" si="45"/>
        <v>2127</v>
      </c>
      <c r="B2128" t="str">
        <f t="shared" si="44"/>
        <v>Barrett 1988</v>
      </c>
      <c r="C2128">
        <v>300.64999999999998</v>
      </c>
      <c r="D2128">
        <v>1.01325</v>
      </c>
      <c r="E2128">
        <v>4</v>
      </c>
      <c r="H2128">
        <v>9.0700000000000004E-4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 spans="1:20">
      <c r="A2129">
        <f t="shared" si="45"/>
        <v>2128</v>
      </c>
      <c r="B2129" t="str">
        <f t="shared" si="44"/>
        <v>Barrett 1988</v>
      </c>
      <c r="C2129">
        <v>300.64999999999998</v>
      </c>
      <c r="D2129">
        <v>1.01325</v>
      </c>
      <c r="E2129">
        <v>4</v>
      </c>
      <c r="H2129">
        <v>9.1600000000000004E-4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 spans="1:20">
      <c r="A2130">
        <f t="shared" si="45"/>
        <v>2129</v>
      </c>
      <c r="B2130" t="str">
        <f t="shared" si="44"/>
        <v>Barrett 1988</v>
      </c>
      <c r="C2130">
        <v>300.64999999999998</v>
      </c>
      <c r="D2130">
        <v>1.01325</v>
      </c>
      <c r="E2130">
        <v>4</v>
      </c>
      <c r="H2130">
        <v>9.1500000000000001E-4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 spans="1:20">
      <c r="A2131">
        <f t="shared" si="45"/>
        <v>2130</v>
      </c>
      <c r="B2131" t="str">
        <f t="shared" si="44"/>
        <v>Barrett 1988</v>
      </c>
      <c r="C2131">
        <v>300.64999999999998</v>
      </c>
      <c r="D2131">
        <v>1.01325</v>
      </c>
      <c r="E2131">
        <v>4</v>
      </c>
      <c r="H2131">
        <v>9.3400000000000004E-4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 spans="1:20">
      <c r="A2132">
        <f t="shared" si="45"/>
        <v>2131</v>
      </c>
      <c r="B2132" t="str">
        <f t="shared" si="44"/>
        <v>Barrett 1988</v>
      </c>
      <c r="C2132">
        <v>300.64999999999998</v>
      </c>
      <c r="D2132">
        <v>1.01325</v>
      </c>
      <c r="E2132">
        <v>4</v>
      </c>
      <c r="H2132">
        <v>9.1799999999999998E-4</v>
      </c>
      <c r="N2132">
        <v>0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 spans="1:20">
      <c r="A2133">
        <f t="shared" si="45"/>
        <v>2132</v>
      </c>
      <c r="B2133" t="str">
        <f t="shared" si="44"/>
        <v>Barrett 1988</v>
      </c>
      <c r="C2133">
        <v>300.64999999999998</v>
      </c>
      <c r="D2133">
        <v>1.01325</v>
      </c>
      <c r="E2133">
        <v>4</v>
      </c>
      <c r="H2133">
        <v>4.66E-4</v>
      </c>
      <c r="N2133">
        <v>0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 spans="1:20">
      <c r="A2134">
        <f t="shared" si="45"/>
        <v>2133</v>
      </c>
      <c r="B2134" t="str">
        <f t="shared" si="44"/>
        <v>Barrett 1988</v>
      </c>
      <c r="C2134">
        <v>300.64999999999998</v>
      </c>
      <c r="D2134">
        <v>1.01325</v>
      </c>
      <c r="E2134">
        <v>4</v>
      </c>
      <c r="H2134">
        <v>4.6999999999999999E-4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 spans="1:20">
      <c r="A2135">
        <f t="shared" si="45"/>
        <v>2134</v>
      </c>
      <c r="B2135" t="str">
        <f t="shared" si="44"/>
        <v>Barrett 1988</v>
      </c>
      <c r="C2135">
        <v>300.64999999999998</v>
      </c>
      <c r="D2135">
        <v>1.01325</v>
      </c>
      <c r="E2135">
        <v>4</v>
      </c>
      <c r="H2135">
        <v>4.6099999999999998E-4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 spans="1:20">
      <c r="A2136">
        <f t="shared" si="45"/>
        <v>2135</v>
      </c>
      <c r="B2136" t="str">
        <f t="shared" si="44"/>
        <v>Barrett 1988</v>
      </c>
      <c r="C2136">
        <v>298.14999999999998</v>
      </c>
      <c r="D2136">
        <v>1.01325</v>
      </c>
      <c r="E2136">
        <v>4</v>
      </c>
      <c r="H2136">
        <v>9.5200000000000005E-4</v>
      </c>
      <c r="N2136">
        <v>0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 spans="1:20">
      <c r="A2137">
        <f t="shared" si="45"/>
        <v>2136</v>
      </c>
      <c r="B2137" t="str">
        <f t="shared" si="44"/>
        <v>Barrett 1988</v>
      </c>
      <c r="C2137">
        <v>298.14999999999998</v>
      </c>
      <c r="D2137">
        <v>1.01325</v>
      </c>
      <c r="E2137">
        <v>4</v>
      </c>
      <c r="H2137">
        <v>9.4899999999999997E-4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 spans="1:20">
      <c r="A2138">
        <f t="shared" si="45"/>
        <v>2137</v>
      </c>
      <c r="B2138" t="str">
        <f t="shared" si="44"/>
        <v>Barrett 1988</v>
      </c>
      <c r="C2138">
        <v>300.45</v>
      </c>
      <c r="D2138">
        <v>1.01325</v>
      </c>
      <c r="E2138">
        <v>4</v>
      </c>
      <c r="H2138">
        <v>9.1200000000000005E-4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 spans="1:20">
      <c r="A2139">
        <f t="shared" si="45"/>
        <v>2138</v>
      </c>
      <c r="B2139" t="str">
        <f t="shared" si="44"/>
        <v>Barrett 1988</v>
      </c>
      <c r="C2139">
        <v>300.45</v>
      </c>
      <c r="D2139">
        <v>1.01325</v>
      </c>
      <c r="E2139">
        <v>4</v>
      </c>
      <c r="H2139">
        <v>9.0499999999999999E-4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 spans="1:20">
      <c r="A2140">
        <f t="shared" si="45"/>
        <v>2139</v>
      </c>
      <c r="B2140" t="str">
        <f t="shared" si="44"/>
        <v>Barrett 1988</v>
      </c>
      <c r="C2140">
        <v>301.14999999999998</v>
      </c>
      <c r="D2140">
        <v>1.01325</v>
      </c>
      <c r="E2140">
        <v>4</v>
      </c>
      <c r="H2140">
        <v>8.9899999999999995E-4</v>
      </c>
      <c r="N2140">
        <v>0</v>
      </c>
      <c r="O2140">
        <v>1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 spans="1:20">
      <c r="A2141">
        <f t="shared" si="45"/>
        <v>2140</v>
      </c>
      <c r="B2141" t="str">
        <f t="shared" si="44"/>
        <v>Barrett 1988</v>
      </c>
      <c r="C2141">
        <v>301.14999999999998</v>
      </c>
      <c r="D2141">
        <v>1.01325</v>
      </c>
      <c r="E2141">
        <v>4</v>
      </c>
      <c r="H2141">
        <v>8.9099999999999997E-4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 spans="1:20">
      <c r="A2142">
        <f t="shared" si="45"/>
        <v>2141</v>
      </c>
      <c r="B2142" t="str">
        <f t="shared" si="44"/>
        <v>Barrett 1988</v>
      </c>
      <c r="C2142">
        <v>301.14999999999998</v>
      </c>
      <c r="D2142">
        <v>1.01325</v>
      </c>
      <c r="E2142">
        <v>4</v>
      </c>
      <c r="H2142">
        <v>9.1E-4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 spans="1:20">
      <c r="A2143">
        <f t="shared" si="45"/>
        <v>2142</v>
      </c>
      <c r="B2143" t="str">
        <f t="shared" si="44"/>
        <v>Barrett 1988</v>
      </c>
      <c r="C2143">
        <v>333.65</v>
      </c>
      <c r="D2143">
        <v>1.01325</v>
      </c>
      <c r="E2143">
        <v>4</v>
      </c>
      <c r="H2143">
        <v>3.97E-4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 spans="1:20">
      <c r="A2144">
        <f t="shared" si="45"/>
        <v>2143</v>
      </c>
      <c r="B2144" t="str">
        <f t="shared" si="44"/>
        <v>Barrett 1988</v>
      </c>
      <c r="C2144">
        <v>333.65</v>
      </c>
      <c r="D2144">
        <v>1.01325</v>
      </c>
      <c r="E2144">
        <v>4</v>
      </c>
      <c r="H2144">
        <v>3.9199999999999999E-4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 spans="1:20">
      <c r="A2145">
        <f t="shared" si="45"/>
        <v>2144</v>
      </c>
      <c r="B2145" t="str">
        <f t="shared" si="44"/>
        <v>Barrett 1988</v>
      </c>
      <c r="C2145">
        <v>333.65</v>
      </c>
      <c r="D2145">
        <v>1.01325</v>
      </c>
      <c r="E2145">
        <v>4</v>
      </c>
      <c r="H2145">
        <v>4.57E-4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 spans="1:20">
      <c r="A2146">
        <f t="shared" si="45"/>
        <v>2145</v>
      </c>
      <c r="B2146" t="str">
        <f t="shared" si="44"/>
        <v>Barrett 1988</v>
      </c>
      <c r="C2146">
        <v>333.65</v>
      </c>
      <c r="D2146">
        <v>1.01325</v>
      </c>
      <c r="E2146">
        <v>4</v>
      </c>
      <c r="H2146">
        <v>4.5199999999999998E-4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 spans="1:20">
      <c r="A2147">
        <f t="shared" si="45"/>
        <v>2146</v>
      </c>
      <c r="B2147" t="str">
        <f t="shared" si="44"/>
        <v>Barrett 1988</v>
      </c>
      <c r="C2147">
        <v>333.65</v>
      </c>
      <c r="D2147">
        <v>1.01325</v>
      </c>
      <c r="E2147">
        <v>4</v>
      </c>
      <c r="H2147">
        <v>4.5100000000000001E-4</v>
      </c>
      <c r="N2147">
        <v>0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 spans="1:20">
      <c r="A2148">
        <f t="shared" si="45"/>
        <v>2147</v>
      </c>
      <c r="B2148" t="str">
        <f t="shared" si="44"/>
        <v>Barrett 1988</v>
      </c>
      <c r="C2148">
        <v>333.65</v>
      </c>
      <c r="D2148">
        <v>1.01325</v>
      </c>
      <c r="E2148">
        <v>4</v>
      </c>
      <c r="H2148">
        <v>4.57E-4</v>
      </c>
      <c r="N2148">
        <v>0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 spans="1:20">
      <c r="A2149">
        <f t="shared" si="45"/>
        <v>2148</v>
      </c>
      <c r="B2149" t="str">
        <f t="shared" si="44"/>
        <v>Barrett 1988</v>
      </c>
      <c r="C2149">
        <v>333.15</v>
      </c>
      <c r="D2149">
        <v>1.01325</v>
      </c>
      <c r="E2149">
        <v>4</v>
      </c>
      <c r="H2149">
        <v>4.5800000000000002E-4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 spans="1:20">
      <c r="A2150">
        <f t="shared" si="45"/>
        <v>2149</v>
      </c>
      <c r="B2150" t="str">
        <f t="shared" si="44"/>
        <v>Barrett 1988</v>
      </c>
      <c r="C2150">
        <v>333.15</v>
      </c>
      <c r="D2150">
        <v>1.01325</v>
      </c>
      <c r="E2150">
        <v>4</v>
      </c>
      <c r="H2150">
        <v>4.6000000000000001E-4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 spans="1:20">
      <c r="A2151">
        <f t="shared" si="45"/>
        <v>2150</v>
      </c>
      <c r="B2151" t="str">
        <f t="shared" si="44"/>
        <v>Barrett 1988</v>
      </c>
      <c r="C2151">
        <v>333.15</v>
      </c>
      <c r="D2151">
        <v>1.01325</v>
      </c>
      <c r="E2151">
        <v>4</v>
      </c>
      <c r="H2151">
        <v>4.6500000000000003E-4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 spans="1:20">
      <c r="A2152">
        <f t="shared" si="45"/>
        <v>2151</v>
      </c>
      <c r="B2152" t="str">
        <f t="shared" si="44"/>
        <v>Barrett 1988</v>
      </c>
      <c r="C2152">
        <v>333.15</v>
      </c>
      <c r="D2152">
        <v>1.01325</v>
      </c>
      <c r="E2152">
        <v>4</v>
      </c>
      <c r="H2152">
        <v>4.6099999999999998E-4</v>
      </c>
      <c r="N2152">
        <v>0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 spans="1:20">
      <c r="A2153">
        <f t="shared" si="45"/>
        <v>2152</v>
      </c>
      <c r="B2153" t="str">
        <f t="shared" si="44"/>
        <v>Barrett 1988</v>
      </c>
      <c r="C2153">
        <v>334.65</v>
      </c>
      <c r="D2153">
        <v>1.01325</v>
      </c>
      <c r="E2153">
        <v>4</v>
      </c>
      <c r="H2153">
        <v>4.37E-4</v>
      </c>
      <c r="N2153">
        <v>0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>
      <c r="A2154">
        <f t="shared" si="45"/>
        <v>2153</v>
      </c>
      <c r="B2154" t="str">
        <f t="shared" si="44"/>
        <v>Barrett 1988</v>
      </c>
      <c r="C2154">
        <v>334.65</v>
      </c>
      <c r="D2154">
        <v>1.01325</v>
      </c>
      <c r="E2154">
        <v>4</v>
      </c>
      <c r="H2154">
        <v>4.2999999999999999E-4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 spans="1:20">
      <c r="A2155">
        <f t="shared" si="45"/>
        <v>2154</v>
      </c>
      <c r="B2155" t="str">
        <f t="shared" si="44"/>
        <v>Barrett 1988</v>
      </c>
      <c r="C2155">
        <v>334.15</v>
      </c>
      <c r="D2155">
        <v>1.01325</v>
      </c>
      <c r="E2155">
        <v>4</v>
      </c>
      <c r="H2155">
        <v>4.2299999999999998E-4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 spans="1:20">
      <c r="A2156">
        <f t="shared" si="45"/>
        <v>2155</v>
      </c>
      <c r="B2156" t="str">
        <f t="shared" si="44"/>
        <v>Barrett 1988</v>
      </c>
      <c r="C2156">
        <v>334.15</v>
      </c>
      <c r="D2156">
        <v>1.01325</v>
      </c>
      <c r="E2156">
        <v>4</v>
      </c>
      <c r="H2156">
        <v>4.1100000000000002E-4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 spans="1:20">
      <c r="A2157">
        <f t="shared" si="45"/>
        <v>2156</v>
      </c>
      <c r="B2157" t="str">
        <f t="shared" si="44"/>
        <v>Barrett 1988</v>
      </c>
      <c r="C2157">
        <v>334.15</v>
      </c>
      <c r="D2157">
        <v>1.01325</v>
      </c>
      <c r="E2157">
        <v>4</v>
      </c>
      <c r="H2157">
        <v>4.1599999999999997E-4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 spans="1:20">
      <c r="A2158">
        <f t="shared" si="45"/>
        <v>2157</v>
      </c>
      <c r="B2158" t="str">
        <f t="shared" si="44"/>
        <v>Barrett 1988</v>
      </c>
      <c r="C2158">
        <v>354.15</v>
      </c>
      <c r="D2158">
        <v>1.01325</v>
      </c>
      <c r="E2158">
        <v>4</v>
      </c>
      <c r="H2158">
        <v>2.31E-4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 spans="1:20">
      <c r="A2159">
        <f t="shared" si="45"/>
        <v>2158</v>
      </c>
      <c r="B2159" t="str">
        <f t="shared" si="44"/>
        <v>Barrett 1988</v>
      </c>
      <c r="C2159">
        <v>354.65</v>
      </c>
      <c r="D2159">
        <v>1.01325</v>
      </c>
      <c r="E2159">
        <v>4</v>
      </c>
      <c r="H2159">
        <v>2.4399999999999999E-4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 spans="1:20">
      <c r="A2160">
        <f t="shared" si="45"/>
        <v>2159</v>
      </c>
      <c r="B2160" t="str">
        <f t="shared" si="44"/>
        <v>Barrett 1988</v>
      </c>
      <c r="C2160">
        <v>354.65</v>
      </c>
      <c r="D2160">
        <v>1.01325</v>
      </c>
      <c r="E2160">
        <v>4</v>
      </c>
      <c r="H2160">
        <v>2.3699999999999999E-4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 spans="1:20">
      <c r="A2161">
        <f t="shared" si="45"/>
        <v>2160</v>
      </c>
      <c r="B2161" t="str">
        <f t="shared" si="44"/>
        <v>Barrett 1988</v>
      </c>
      <c r="C2161">
        <v>354.65</v>
      </c>
      <c r="D2161">
        <v>1.01325</v>
      </c>
      <c r="E2161">
        <v>4</v>
      </c>
      <c r="H2161">
        <v>2.3599999999999999E-4</v>
      </c>
      <c r="N2161">
        <v>0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 spans="1:20">
      <c r="A2162">
        <f t="shared" si="45"/>
        <v>2161</v>
      </c>
      <c r="B2162" t="str">
        <f t="shared" si="44"/>
        <v>Barrett 1988</v>
      </c>
      <c r="C2162">
        <v>353.15</v>
      </c>
      <c r="D2162">
        <v>1.01325</v>
      </c>
      <c r="E2162">
        <v>4</v>
      </c>
      <c r="H2162">
        <v>2.4899999999999998E-4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>
      <c r="A2163">
        <f t="shared" si="45"/>
        <v>2162</v>
      </c>
      <c r="B2163" t="str">
        <f t="shared" si="44"/>
        <v>Barrett 1988</v>
      </c>
      <c r="C2163">
        <v>353.15</v>
      </c>
      <c r="D2163">
        <v>1.01325</v>
      </c>
      <c r="E2163">
        <v>4</v>
      </c>
      <c r="H2163">
        <v>2.4800000000000001E-4</v>
      </c>
      <c r="N2163">
        <v>0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>
      <c r="A2164">
        <f t="shared" si="45"/>
        <v>2163</v>
      </c>
      <c r="B2164" t="str">
        <f t="shared" si="44"/>
        <v>Barrett 1988</v>
      </c>
      <c r="C2164">
        <v>353.15</v>
      </c>
      <c r="D2164">
        <v>1.01325</v>
      </c>
      <c r="E2164">
        <v>4</v>
      </c>
      <c r="H2164">
        <v>2.3800000000000001E-4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>
      <c r="A2165">
        <f t="shared" si="45"/>
        <v>2164</v>
      </c>
      <c r="B2165" t="str">
        <f t="shared" si="44"/>
        <v>Barrett 1988</v>
      </c>
      <c r="C2165">
        <v>369.15</v>
      </c>
      <c r="D2165">
        <v>1.01325</v>
      </c>
      <c r="E2165">
        <v>4</v>
      </c>
      <c r="H2165">
        <v>1.3100000000000001E-4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>
      <c r="A2166">
        <f t="shared" si="45"/>
        <v>2165</v>
      </c>
      <c r="B2166" t="str">
        <f t="shared" si="44"/>
        <v>Barrett 1988</v>
      </c>
      <c r="C2166">
        <v>369.15</v>
      </c>
      <c r="D2166">
        <v>1.01325</v>
      </c>
      <c r="E2166">
        <v>4</v>
      </c>
      <c r="H2166">
        <v>1.26E-4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>
      <c r="A2167">
        <f t="shared" si="45"/>
        <v>2166</v>
      </c>
      <c r="B2167" t="str">
        <f t="shared" si="44"/>
        <v>Barrett 1988</v>
      </c>
      <c r="C2167">
        <v>367.15</v>
      </c>
      <c r="D2167">
        <v>1.01325</v>
      </c>
      <c r="E2167">
        <v>4</v>
      </c>
      <c r="H2167">
        <v>1.3999999999999999E-4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>
      <c r="A2168">
        <f t="shared" si="45"/>
        <v>2167</v>
      </c>
      <c r="B2168" t="str">
        <f t="shared" si="44"/>
        <v>Barrett 1988</v>
      </c>
      <c r="C2168">
        <v>368.15</v>
      </c>
      <c r="D2168">
        <v>1.01325</v>
      </c>
      <c r="E2168">
        <v>4</v>
      </c>
      <c r="H2168">
        <v>1.15E-4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>
      <c r="A2169">
        <f t="shared" si="45"/>
        <v>2168</v>
      </c>
      <c r="B2169" t="str">
        <f t="shared" si="44"/>
        <v>Barrett 1988</v>
      </c>
      <c r="C2169">
        <v>368.15</v>
      </c>
      <c r="D2169">
        <v>1.01325</v>
      </c>
      <c r="E2169">
        <v>4</v>
      </c>
      <c r="H2169">
        <v>1.17E-4</v>
      </c>
      <c r="N2169">
        <v>0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>
      <c r="A2170">
        <f t="shared" si="45"/>
        <v>2169</v>
      </c>
      <c r="B2170" t="str">
        <f t="shared" si="44"/>
        <v>Barrett 1988</v>
      </c>
      <c r="C2170">
        <v>368.15</v>
      </c>
      <c r="D2170">
        <v>1.01325</v>
      </c>
      <c r="E2170">
        <v>4</v>
      </c>
      <c r="H2170">
        <v>1.18E-4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 spans="1:20">
      <c r="A2171">
        <f t="shared" si="45"/>
        <v>2170</v>
      </c>
      <c r="B2171" t="str">
        <f t="shared" si="44"/>
        <v>Barrett 1988</v>
      </c>
      <c r="C2171">
        <v>368.15</v>
      </c>
      <c r="D2171">
        <v>1.01325</v>
      </c>
      <c r="E2171">
        <v>4</v>
      </c>
      <c r="H2171">
        <v>1.26E-4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 spans="1:20">
      <c r="A2172">
        <f t="shared" si="45"/>
        <v>2171</v>
      </c>
      <c r="B2172" t="str">
        <f t="shared" si="44"/>
        <v>Barrett 1988</v>
      </c>
      <c r="C2172">
        <v>367.65</v>
      </c>
      <c r="D2172">
        <v>1.01325</v>
      </c>
      <c r="E2172">
        <v>4</v>
      </c>
      <c r="H2172">
        <v>1.2999999999999999E-4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 spans="1:20">
      <c r="A2173">
        <f t="shared" si="45"/>
        <v>2172</v>
      </c>
      <c r="B2173" t="str">
        <f t="shared" si="44"/>
        <v>Barrett 1988</v>
      </c>
      <c r="C2173">
        <v>367.65</v>
      </c>
      <c r="D2173">
        <v>1.01325</v>
      </c>
      <c r="E2173">
        <v>4</v>
      </c>
      <c r="H2173">
        <v>1.2899999999999999E-4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 spans="1:20">
      <c r="A2174">
        <f t="shared" si="45"/>
        <v>2173</v>
      </c>
      <c r="B2174" t="str">
        <f t="shared" si="44"/>
        <v>Barrett 1988</v>
      </c>
      <c r="C2174">
        <v>367.15</v>
      </c>
      <c r="D2174">
        <v>1.01325</v>
      </c>
      <c r="E2174">
        <v>4</v>
      </c>
      <c r="H2174">
        <v>1.37E-4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 spans="1:20">
      <c r="A2175">
        <f t="shared" si="45"/>
        <v>2174</v>
      </c>
      <c r="B2175" t="str">
        <f t="shared" ref="B2175:B2218" si="46">B2174</f>
        <v>Barrett 1988</v>
      </c>
      <c r="C2175">
        <v>367.15</v>
      </c>
      <c r="D2175">
        <v>1.01325</v>
      </c>
      <c r="E2175">
        <v>4</v>
      </c>
      <c r="H2175">
        <v>1.36E-4</v>
      </c>
      <c r="N2175">
        <v>0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 spans="1:20">
      <c r="A2176">
        <f t="shared" si="45"/>
        <v>2175</v>
      </c>
      <c r="B2176" t="str">
        <f t="shared" si="46"/>
        <v>Barrett 1988</v>
      </c>
      <c r="C2176">
        <v>368.15</v>
      </c>
      <c r="D2176">
        <v>1.01325</v>
      </c>
      <c r="E2176">
        <v>4</v>
      </c>
      <c r="H2176">
        <v>1.26E-4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 spans="1:20">
      <c r="A2177">
        <f t="shared" si="45"/>
        <v>2176</v>
      </c>
      <c r="B2177" t="str">
        <f t="shared" si="46"/>
        <v>Barrett 1988</v>
      </c>
      <c r="C2177">
        <v>368.15</v>
      </c>
      <c r="D2177">
        <v>1.01325</v>
      </c>
      <c r="E2177">
        <v>4</v>
      </c>
      <c r="H2177">
        <v>1.2999999999999999E-4</v>
      </c>
      <c r="N2177">
        <v>0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 spans="1:20">
      <c r="A2178">
        <f t="shared" si="45"/>
        <v>2177</v>
      </c>
      <c r="B2178" t="str">
        <f t="shared" si="46"/>
        <v>Barrett 1988</v>
      </c>
      <c r="C2178">
        <v>368.15</v>
      </c>
      <c r="D2178">
        <v>1.01325</v>
      </c>
      <c r="E2178">
        <v>4</v>
      </c>
      <c r="H2178">
        <v>1.2899999999999999E-4</v>
      </c>
      <c r="N2178">
        <v>0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 spans="1:20">
      <c r="A2179">
        <f t="shared" si="45"/>
        <v>2178</v>
      </c>
      <c r="B2179" t="str">
        <f t="shared" si="46"/>
        <v>Barrett 1988</v>
      </c>
      <c r="C2179">
        <v>368.15</v>
      </c>
      <c r="D2179">
        <v>1.01325</v>
      </c>
      <c r="E2179">
        <v>4</v>
      </c>
      <c r="H2179">
        <v>1.3100000000000001E-4</v>
      </c>
      <c r="N2179">
        <v>0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 spans="1:20">
      <c r="A2180">
        <f t="shared" ref="A2180:A2243" si="47">A2179+1</f>
        <v>2179</v>
      </c>
      <c r="B2180" t="str">
        <f t="shared" si="46"/>
        <v>Barrett 1988</v>
      </c>
      <c r="C2180">
        <v>368.15</v>
      </c>
      <c r="D2180">
        <v>1.01325</v>
      </c>
      <c r="E2180">
        <v>4</v>
      </c>
      <c r="H2180">
        <v>1.22E-4</v>
      </c>
      <c r="N2180">
        <v>0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 spans="1:20">
      <c r="A2181">
        <f t="shared" si="47"/>
        <v>2180</v>
      </c>
      <c r="B2181" t="str">
        <f t="shared" si="46"/>
        <v>Barrett 1988</v>
      </c>
      <c r="C2181">
        <v>368.15</v>
      </c>
      <c r="D2181">
        <v>1.01325</v>
      </c>
      <c r="E2181">
        <v>4</v>
      </c>
      <c r="H2181">
        <v>1.2300000000000001E-4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 spans="1:20">
      <c r="A2182">
        <f t="shared" si="47"/>
        <v>2181</v>
      </c>
      <c r="B2182" t="str">
        <f t="shared" si="46"/>
        <v>Barrett 1988</v>
      </c>
      <c r="C2182">
        <v>368.15</v>
      </c>
      <c r="D2182">
        <v>1.01325</v>
      </c>
      <c r="E2182">
        <v>4</v>
      </c>
      <c r="H2182">
        <v>1.21E-4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 spans="1:20">
      <c r="A2183">
        <f t="shared" si="47"/>
        <v>2182</v>
      </c>
      <c r="B2183" t="str">
        <f t="shared" si="46"/>
        <v>Barrett 1988</v>
      </c>
      <c r="C2183">
        <v>369.15</v>
      </c>
      <c r="D2183">
        <v>1.01325</v>
      </c>
      <c r="E2183">
        <v>4</v>
      </c>
      <c r="H2183">
        <v>1.2400000000000001E-4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 spans="1:20">
      <c r="A2184">
        <f t="shared" si="47"/>
        <v>2183</v>
      </c>
      <c r="B2184" t="str">
        <f t="shared" si="46"/>
        <v>Barrett 1988</v>
      </c>
      <c r="C2184">
        <v>369.15</v>
      </c>
      <c r="D2184">
        <v>1.01325</v>
      </c>
      <c r="E2184">
        <v>4</v>
      </c>
      <c r="H2184">
        <v>1.22E-4</v>
      </c>
      <c r="N2184">
        <v>0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 spans="1:20">
      <c r="A2185">
        <f t="shared" si="47"/>
        <v>2184</v>
      </c>
      <c r="B2185" t="str">
        <f t="shared" si="46"/>
        <v>Barrett 1988</v>
      </c>
      <c r="C2185">
        <v>369.15</v>
      </c>
      <c r="D2185">
        <v>1.01325</v>
      </c>
      <c r="E2185">
        <v>4</v>
      </c>
      <c r="H2185">
        <v>1.2400000000000001E-4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 spans="1:20">
      <c r="A2186">
        <f t="shared" si="47"/>
        <v>2185</v>
      </c>
      <c r="B2186" t="str">
        <f t="shared" si="46"/>
        <v>Barrett 1988</v>
      </c>
      <c r="C2186">
        <v>369.15</v>
      </c>
      <c r="D2186">
        <v>1.01325</v>
      </c>
      <c r="E2186">
        <v>4</v>
      </c>
      <c r="H2186">
        <v>1.1400000000000001E-4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>
      <c r="A2187">
        <f t="shared" si="47"/>
        <v>2186</v>
      </c>
      <c r="B2187" t="str">
        <f t="shared" si="46"/>
        <v>Barrett 1988</v>
      </c>
      <c r="C2187">
        <v>366.15</v>
      </c>
      <c r="D2187">
        <v>1.01325</v>
      </c>
      <c r="E2187">
        <v>4</v>
      </c>
      <c r="H2187">
        <v>1.47E-4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>
      <c r="A2188">
        <f t="shared" si="47"/>
        <v>2187</v>
      </c>
      <c r="B2188" t="str">
        <f t="shared" si="46"/>
        <v>Barrett 1988</v>
      </c>
      <c r="C2188">
        <v>366.15</v>
      </c>
      <c r="D2188">
        <v>1.01325</v>
      </c>
      <c r="E2188">
        <v>4</v>
      </c>
      <c r="H2188">
        <v>1.4300000000000001E-4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>
      <c r="A2189">
        <f t="shared" si="47"/>
        <v>2188</v>
      </c>
      <c r="B2189" t="str">
        <f t="shared" si="46"/>
        <v>Barrett 1988</v>
      </c>
      <c r="C2189">
        <v>369.15</v>
      </c>
      <c r="D2189">
        <v>1.01325</v>
      </c>
      <c r="E2189">
        <v>4</v>
      </c>
      <c r="H2189">
        <v>1.22E-4</v>
      </c>
      <c r="N2189">
        <v>0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>
      <c r="A2190">
        <f t="shared" si="47"/>
        <v>2189</v>
      </c>
      <c r="B2190" t="str">
        <f t="shared" si="46"/>
        <v>Barrett 1988</v>
      </c>
      <c r="C2190">
        <v>365.15</v>
      </c>
      <c r="D2190">
        <v>1.01325</v>
      </c>
      <c r="E2190">
        <v>4</v>
      </c>
      <c r="H2190">
        <v>1.4799999999999999E-4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>
      <c r="A2191">
        <f t="shared" si="47"/>
        <v>2190</v>
      </c>
      <c r="B2191" t="str">
        <f t="shared" si="46"/>
        <v>Barrett 1988</v>
      </c>
      <c r="C2191">
        <v>365.15</v>
      </c>
      <c r="D2191">
        <v>1.01325</v>
      </c>
      <c r="E2191">
        <v>4</v>
      </c>
      <c r="H2191">
        <v>1.4799999999999999E-4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>
      <c r="A2192">
        <f t="shared" si="47"/>
        <v>2191</v>
      </c>
      <c r="B2192" t="str">
        <f t="shared" si="46"/>
        <v>Barrett 1988</v>
      </c>
      <c r="C2192">
        <v>298.14999999999998</v>
      </c>
      <c r="D2192">
        <v>1.01325</v>
      </c>
      <c r="E2192">
        <v>5</v>
      </c>
      <c r="H2192">
        <v>8.4699999999999999E-4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>
      <c r="A2193">
        <f t="shared" si="47"/>
        <v>2192</v>
      </c>
      <c r="B2193" t="str">
        <f t="shared" si="46"/>
        <v>Barrett 1988</v>
      </c>
      <c r="C2193">
        <v>298.14999999999998</v>
      </c>
      <c r="D2193">
        <v>1.01325</v>
      </c>
      <c r="E2193">
        <v>5</v>
      </c>
      <c r="H2193">
        <v>8.2399999999999997E-4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>
      <c r="A2194">
        <f t="shared" si="47"/>
        <v>2193</v>
      </c>
      <c r="B2194" t="str">
        <f t="shared" si="46"/>
        <v>Barrett 1988</v>
      </c>
      <c r="C2194">
        <v>298.14999999999998</v>
      </c>
      <c r="D2194">
        <v>1.01325</v>
      </c>
      <c r="E2194">
        <v>5</v>
      </c>
      <c r="H2194">
        <v>7.8299999999999995E-4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 spans="1:20">
      <c r="A2195">
        <f t="shared" si="47"/>
        <v>2194</v>
      </c>
      <c r="B2195" t="str">
        <f t="shared" si="46"/>
        <v>Barrett 1988</v>
      </c>
      <c r="C2195">
        <v>297.64999999999998</v>
      </c>
      <c r="D2195">
        <v>1.01325</v>
      </c>
      <c r="E2195">
        <v>5</v>
      </c>
      <c r="H2195">
        <v>8.4900000000000004E-4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 spans="1:20">
      <c r="A2196">
        <f t="shared" si="47"/>
        <v>2195</v>
      </c>
      <c r="B2196" t="str">
        <f t="shared" si="46"/>
        <v>Barrett 1988</v>
      </c>
      <c r="C2196">
        <v>297.64999999999998</v>
      </c>
      <c r="D2196">
        <v>1.01325</v>
      </c>
      <c r="E2196">
        <v>5</v>
      </c>
      <c r="H2196">
        <v>8.4099999999999995E-4</v>
      </c>
      <c r="N2196">
        <v>0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 spans="1:20">
      <c r="A2197">
        <f t="shared" si="47"/>
        <v>2196</v>
      </c>
      <c r="B2197" t="str">
        <f t="shared" si="46"/>
        <v>Barrett 1988</v>
      </c>
      <c r="C2197">
        <v>297.14999999999998</v>
      </c>
      <c r="D2197">
        <v>1.01325</v>
      </c>
      <c r="E2197">
        <v>5</v>
      </c>
      <c r="H2197">
        <v>9.1200000000000005E-4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 spans="1:20">
      <c r="A2198">
        <f t="shared" si="47"/>
        <v>2197</v>
      </c>
      <c r="B2198" t="str">
        <f t="shared" si="46"/>
        <v>Barrett 1988</v>
      </c>
      <c r="C2198">
        <v>297.14999999999998</v>
      </c>
      <c r="D2198">
        <v>1.01325</v>
      </c>
      <c r="E2198">
        <v>5</v>
      </c>
      <c r="H2198">
        <v>9.3400000000000004E-4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 spans="1:20">
      <c r="A2199">
        <f t="shared" si="47"/>
        <v>2198</v>
      </c>
      <c r="B2199" t="str">
        <f t="shared" si="46"/>
        <v>Barrett 1988</v>
      </c>
      <c r="C2199">
        <v>333.65</v>
      </c>
      <c r="D2199">
        <v>1.01325</v>
      </c>
      <c r="E2199">
        <v>5</v>
      </c>
      <c r="H2199">
        <v>3.6400000000000001E-4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 spans="1:20">
      <c r="A2200">
        <f t="shared" si="47"/>
        <v>2199</v>
      </c>
      <c r="B2200" t="str">
        <f t="shared" si="46"/>
        <v>Barrett 1988</v>
      </c>
      <c r="C2200">
        <v>333.65</v>
      </c>
      <c r="D2200">
        <v>1.01325</v>
      </c>
      <c r="E2200">
        <v>5</v>
      </c>
      <c r="H2200">
        <v>3.8299999999999999E-4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 spans="1:20">
      <c r="A2201">
        <f t="shared" si="47"/>
        <v>2200</v>
      </c>
      <c r="B2201" t="str">
        <f t="shared" si="46"/>
        <v>Barrett 1988</v>
      </c>
      <c r="C2201">
        <v>333.65</v>
      </c>
      <c r="D2201">
        <v>1.01325</v>
      </c>
      <c r="E2201">
        <v>5</v>
      </c>
      <c r="H2201">
        <v>3.9100000000000002E-4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 spans="1:20">
      <c r="A2202">
        <f t="shared" si="47"/>
        <v>2201</v>
      </c>
      <c r="B2202" t="str">
        <f t="shared" si="46"/>
        <v>Barrett 1988</v>
      </c>
      <c r="C2202">
        <v>333.65</v>
      </c>
      <c r="D2202">
        <v>1.01325</v>
      </c>
      <c r="E2202">
        <v>5</v>
      </c>
      <c r="H2202">
        <v>3.8900000000000002E-4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 spans="1:20">
      <c r="A2203">
        <f t="shared" si="47"/>
        <v>2202</v>
      </c>
      <c r="B2203" t="str">
        <f t="shared" si="46"/>
        <v>Barrett 1988</v>
      </c>
      <c r="C2203">
        <v>333.65</v>
      </c>
      <c r="D2203">
        <v>1.01325</v>
      </c>
      <c r="E2203">
        <v>5</v>
      </c>
      <c r="H2203">
        <v>3.77E-4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 spans="1:20">
      <c r="A2204">
        <f t="shared" si="47"/>
        <v>2203</v>
      </c>
      <c r="B2204" t="str">
        <f t="shared" si="46"/>
        <v>Barrett 1988</v>
      </c>
      <c r="C2204">
        <v>333.65</v>
      </c>
      <c r="D2204">
        <v>1.01325</v>
      </c>
      <c r="E2204">
        <v>5</v>
      </c>
      <c r="H2204">
        <v>4.0099999999999999E-4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 spans="1:20">
      <c r="A2205">
        <f t="shared" si="47"/>
        <v>2204</v>
      </c>
      <c r="B2205" t="str">
        <f t="shared" si="46"/>
        <v>Barrett 1988</v>
      </c>
      <c r="C2205">
        <v>333.65</v>
      </c>
      <c r="D2205">
        <v>1.01325</v>
      </c>
      <c r="E2205">
        <v>5</v>
      </c>
      <c r="H2205">
        <v>3.9599999999999998E-4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 spans="1:20">
      <c r="A2206">
        <f t="shared" si="47"/>
        <v>2205</v>
      </c>
      <c r="B2206" t="str">
        <f t="shared" si="46"/>
        <v>Barrett 1988</v>
      </c>
      <c r="C2206">
        <v>333.65</v>
      </c>
      <c r="D2206">
        <v>1.01325</v>
      </c>
      <c r="E2206">
        <v>5</v>
      </c>
      <c r="H2206">
        <v>3.8900000000000002E-4</v>
      </c>
      <c r="N2206">
        <v>0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 spans="1:20">
      <c r="A2207">
        <f t="shared" si="47"/>
        <v>2206</v>
      </c>
      <c r="B2207" t="str">
        <f t="shared" si="46"/>
        <v>Barrett 1988</v>
      </c>
      <c r="C2207">
        <v>353.15</v>
      </c>
      <c r="D2207">
        <v>1.01325</v>
      </c>
      <c r="E2207">
        <v>5</v>
      </c>
      <c r="H2207">
        <v>2.23E-4</v>
      </c>
      <c r="N2207">
        <v>0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 spans="1:20">
      <c r="A2208">
        <f t="shared" si="47"/>
        <v>2207</v>
      </c>
      <c r="B2208" t="str">
        <f t="shared" si="46"/>
        <v>Barrett 1988</v>
      </c>
      <c r="C2208">
        <v>353.15</v>
      </c>
      <c r="D2208">
        <v>1.01325</v>
      </c>
      <c r="E2208">
        <v>5</v>
      </c>
      <c r="H2208">
        <v>2.24E-4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 spans="1:20">
      <c r="A2209">
        <f t="shared" si="47"/>
        <v>2208</v>
      </c>
      <c r="B2209" t="str">
        <f t="shared" si="46"/>
        <v>Barrett 1988</v>
      </c>
      <c r="C2209">
        <v>353.15</v>
      </c>
      <c r="D2209">
        <v>1.01325</v>
      </c>
      <c r="E2209">
        <v>5</v>
      </c>
      <c r="H2209">
        <v>2.32E-4</v>
      </c>
      <c r="N2209">
        <v>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 spans="1:20">
      <c r="A2210">
        <f t="shared" si="47"/>
        <v>2209</v>
      </c>
      <c r="B2210" t="str">
        <f t="shared" si="46"/>
        <v>Barrett 1988</v>
      </c>
      <c r="C2210">
        <v>353.15</v>
      </c>
      <c r="D2210">
        <v>1.01325</v>
      </c>
      <c r="E2210">
        <v>5</v>
      </c>
      <c r="H2210">
        <v>2.3000000000000001E-4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>
      <c r="A2211">
        <f t="shared" si="47"/>
        <v>2210</v>
      </c>
      <c r="B2211" t="str">
        <f t="shared" si="46"/>
        <v>Barrett 1988</v>
      </c>
      <c r="C2211">
        <v>353.15</v>
      </c>
      <c r="D2211">
        <v>1.01325</v>
      </c>
      <c r="E2211">
        <v>5</v>
      </c>
      <c r="H2211">
        <v>2.42E-4</v>
      </c>
      <c r="N2211">
        <v>0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>
      <c r="A2212">
        <f t="shared" si="47"/>
        <v>2211</v>
      </c>
      <c r="B2212" t="str">
        <f t="shared" si="46"/>
        <v>Barrett 1988</v>
      </c>
      <c r="C2212">
        <v>353.15</v>
      </c>
      <c r="D2212">
        <v>1.01325</v>
      </c>
      <c r="E2212">
        <v>5</v>
      </c>
      <c r="H2212">
        <v>2.3900000000000001E-4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>
      <c r="A2213">
        <f t="shared" si="47"/>
        <v>2212</v>
      </c>
      <c r="B2213" t="str">
        <f t="shared" si="46"/>
        <v>Barrett 1988</v>
      </c>
      <c r="C2213">
        <v>358.15</v>
      </c>
      <c r="D2213">
        <v>1.01325</v>
      </c>
      <c r="E2213">
        <v>5</v>
      </c>
      <c r="H2213">
        <v>1.8200000000000001E-4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>
      <c r="A2214">
        <f t="shared" si="47"/>
        <v>2213</v>
      </c>
      <c r="B2214" t="str">
        <f t="shared" si="46"/>
        <v>Barrett 1988</v>
      </c>
      <c r="C2214">
        <v>358.15</v>
      </c>
      <c r="D2214">
        <v>1.01325</v>
      </c>
      <c r="E2214">
        <v>5</v>
      </c>
      <c r="H2214">
        <v>1.8699999999999999E-4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>
      <c r="A2215">
        <f t="shared" si="47"/>
        <v>2214</v>
      </c>
      <c r="B2215" t="str">
        <f t="shared" si="46"/>
        <v>Barrett 1988</v>
      </c>
      <c r="C2215">
        <v>368.15</v>
      </c>
      <c r="D2215">
        <v>1.01325</v>
      </c>
      <c r="E2215">
        <v>5</v>
      </c>
      <c r="H2215">
        <v>1.16E-4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>
      <c r="A2216">
        <f t="shared" si="47"/>
        <v>2215</v>
      </c>
      <c r="B2216" t="str">
        <f t="shared" si="46"/>
        <v>Barrett 1988</v>
      </c>
      <c r="C2216">
        <v>368.15</v>
      </c>
      <c r="D2216">
        <v>1.01325</v>
      </c>
      <c r="E2216">
        <v>5</v>
      </c>
      <c r="H2216">
        <v>1.11E-4</v>
      </c>
      <c r="N2216">
        <v>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>
      <c r="A2217">
        <f t="shared" si="47"/>
        <v>2216</v>
      </c>
      <c r="B2217" t="str">
        <f t="shared" si="46"/>
        <v>Barrett 1988</v>
      </c>
      <c r="C2217">
        <v>368.15</v>
      </c>
      <c r="D2217">
        <v>1.01325</v>
      </c>
      <c r="E2217">
        <v>5</v>
      </c>
      <c r="H2217">
        <v>1.13E-4</v>
      </c>
      <c r="N2217">
        <v>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>
      <c r="A2218">
        <f t="shared" si="47"/>
        <v>2217</v>
      </c>
      <c r="B2218" t="str">
        <f t="shared" si="46"/>
        <v>Barrett 1988</v>
      </c>
      <c r="C2218">
        <v>368.15</v>
      </c>
      <c r="D2218">
        <v>1.01325</v>
      </c>
      <c r="E2218">
        <v>5</v>
      </c>
      <c r="H2218">
        <v>1.15E-4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 spans="1:20">
      <c r="A2219">
        <f t="shared" si="47"/>
        <v>2218</v>
      </c>
      <c r="B2219" t="s">
        <v>100</v>
      </c>
      <c r="C2219">
        <v>473.15</v>
      </c>
      <c r="D2219">
        <v>17</v>
      </c>
      <c r="E2219">
        <v>0</v>
      </c>
      <c r="G2219">
        <v>2.8800000000000001E-4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 spans="1:20">
      <c r="A2220">
        <f t="shared" si="47"/>
        <v>2219</v>
      </c>
      <c r="B2220" t="str">
        <f>B2219</f>
        <v>Truche 2015</v>
      </c>
      <c r="C2220">
        <v>473.15</v>
      </c>
      <c r="D2220">
        <v>25</v>
      </c>
      <c r="E2220">
        <v>0</v>
      </c>
      <c r="G2220">
        <v>1.6540000000000001E-3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 spans="1:20">
      <c r="A2221">
        <f t="shared" si="47"/>
        <v>2220</v>
      </c>
      <c r="B2221" t="str">
        <f t="shared" ref="B2221:B2239" si="48">B2220</f>
        <v>Truche 2015</v>
      </c>
      <c r="C2221">
        <v>473.15</v>
      </c>
      <c r="D2221">
        <v>31</v>
      </c>
      <c r="E2221">
        <v>0</v>
      </c>
      <c r="G2221">
        <v>2.6589999999999999E-3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 spans="1:20">
      <c r="A2222">
        <f t="shared" si="47"/>
        <v>2221</v>
      </c>
      <c r="B2222" t="str">
        <f t="shared" si="48"/>
        <v>Truche 2015</v>
      </c>
      <c r="C2222">
        <v>473.15</v>
      </c>
      <c r="D2222">
        <v>102</v>
      </c>
      <c r="E2222">
        <v>0</v>
      </c>
      <c r="G2222">
        <v>1.3155999999999999E-2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 spans="1:20">
      <c r="A2223">
        <f t="shared" si="47"/>
        <v>2222</v>
      </c>
      <c r="B2223" t="str">
        <f t="shared" si="48"/>
        <v>Truche 2015</v>
      </c>
      <c r="C2223">
        <v>493.15</v>
      </c>
      <c r="D2223">
        <v>37</v>
      </c>
      <c r="E2223">
        <v>0</v>
      </c>
      <c r="G2223">
        <v>2.5690000000000001E-3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 spans="1:20">
      <c r="A2224">
        <f t="shared" si="47"/>
        <v>2223</v>
      </c>
      <c r="B2224" t="str">
        <f t="shared" si="48"/>
        <v>Truche 2015</v>
      </c>
      <c r="C2224">
        <v>493.15</v>
      </c>
      <c r="D2224">
        <v>111</v>
      </c>
      <c r="E2224">
        <v>0</v>
      </c>
      <c r="G2224">
        <v>1.4167000000000001E-2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 spans="1:20">
      <c r="A2225">
        <f t="shared" si="47"/>
        <v>2224</v>
      </c>
      <c r="B2225" t="str">
        <f t="shared" si="48"/>
        <v>Truche 2015</v>
      </c>
      <c r="C2225">
        <v>493.15</v>
      </c>
      <c r="D2225">
        <v>114</v>
      </c>
      <c r="E2225">
        <v>0</v>
      </c>
      <c r="G2225">
        <v>1.4943E-2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 spans="1:20">
      <c r="A2226">
        <f t="shared" si="47"/>
        <v>2225</v>
      </c>
      <c r="B2226" t="str">
        <f t="shared" si="48"/>
        <v>Truche 2015</v>
      </c>
      <c r="C2226">
        <v>523.15</v>
      </c>
      <c r="D2226">
        <v>46</v>
      </c>
      <c r="E2226">
        <v>0</v>
      </c>
      <c r="G2226">
        <v>1.224E-3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 spans="1:20">
      <c r="A2227">
        <f t="shared" si="47"/>
        <v>2226</v>
      </c>
      <c r="B2227" t="str">
        <f t="shared" si="48"/>
        <v>Truche 2015</v>
      </c>
      <c r="C2227">
        <v>523.15</v>
      </c>
      <c r="D2227">
        <v>51</v>
      </c>
      <c r="E2227">
        <v>0</v>
      </c>
      <c r="G2227">
        <v>2.3E-3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 spans="1:20">
      <c r="A2228">
        <f t="shared" si="47"/>
        <v>2227</v>
      </c>
      <c r="B2228" t="str">
        <f t="shared" si="48"/>
        <v>Truche 2015</v>
      </c>
      <c r="C2228">
        <v>523.15</v>
      </c>
      <c r="D2228">
        <v>132</v>
      </c>
      <c r="E2228">
        <v>0</v>
      </c>
      <c r="G2228">
        <v>1.7523E-2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 spans="1:20">
      <c r="A2229">
        <f t="shared" si="47"/>
        <v>2228</v>
      </c>
      <c r="B2229" t="str">
        <f t="shared" si="48"/>
        <v>Truche 2015</v>
      </c>
      <c r="C2229">
        <v>553.15</v>
      </c>
      <c r="D2229">
        <v>65</v>
      </c>
      <c r="E2229">
        <v>0</v>
      </c>
      <c r="G2229">
        <v>9.8999999999999999E-4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 spans="1:20">
      <c r="A2230">
        <f t="shared" si="47"/>
        <v>2229</v>
      </c>
      <c r="B2230" t="str">
        <f t="shared" si="48"/>
        <v>Truche 2015</v>
      </c>
      <c r="C2230">
        <v>553.15</v>
      </c>
      <c r="D2230">
        <v>67</v>
      </c>
      <c r="E2230">
        <v>0</v>
      </c>
      <c r="G2230">
        <v>2.013E-3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 spans="1:20">
      <c r="A2231">
        <f t="shared" si="47"/>
        <v>2230</v>
      </c>
      <c r="B2231" t="str">
        <f t="shared" si="48"/>
        <v>Truche 2015</v>
      </c>
      <c r="C2231">
        <v>553.15</v>
      </c>
      <c r="D2231">
        <v>72</v>
      </c>
      <c r="E2231">
        <v>0</v>
      </c>
      <c r="G2231">
        <v>3.2669999999999999E-3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 spans="1:20">
      <c r="A2232">
        <f t="shared" si="47"/>
        <v>2231</v>
      </c>
      <c r="B2232" t="str">
        <f t="shared" si="48"/>
        <v>Truche 2015</v>
      </c>
      <c r="C2232">
        <v>553.15</v>
      </c>
      <c r="D2232">
        <v>148</v>
      </c>
      <c r="E2232">
        <v>0</v>
      </c>
      <c r="G2232">
        <v>2.0317000000000002E-2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 spans="1:20">
      <c r="A2233">
        <f t="shared" si="47"/>
        <v>2232</v>
      </c>
      <c r="B2233" t="str">
        <f t="shared" si="48"/>
        <v>Truche 2015</v>
      </c>
      <c r="C2233">
        <v>473.15</v>
      </c>
      <c r="D2233">
        <v>29</v>
      </c>
      <c r="E2233">
        <v>1.4</v>
      </c>
      <c r="G2233">
        <v>1.544E-3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 spans="1:20">
      <c r="A2234">
        <f t="shared" si="47"/>
        <v>2233</v>
      </c>
      <c r="B2234" t="str">
        <f t="shared" si="48"/>
        <v>Truche 2015</v>
      </c>
      <c r="C2234">
        <v>473.15</v>
      </c>
      <c r="D2234">
        <v>89</v>
      </c>
      <c r="E2234">
        <v>1.4</v>
      </c>
      <c r="G2234">
        <v>8.0700000000000008E-3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>
      <c r="A2235">
        <f t="shared" si="47"/>
        <v>2234</v>
      </c>
      <c r="B2235" t="str">
        <f t="shared" si="48"/>
        <v>Truche 2015</v>
      </c>
      <c r="C2235">
        <v>523.15</v>
      </c>
      <c r="D2235">
        <v>48</v>
      </c>
      <c r="E2235">
        <v>1.4</v>
      </c>
      <c r="G2235">
        <v>1.1410000000000001E-3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>
      <c r="A2236">
        <f t="shared" si="47"/>
        <v>2235</v>
      </c>
      <c r="B2236" t="str">
        <f t="shared" si="48"/>
        <v>Truche 2015</v>
      </c>
      <c r="C2236">
        <v>523.15</v>
      </c>
      <c r="D2236">
        <v>109</v>
      </c>
      <c r="E2236">
        <v>1.4</v>
      </c>
      <c r="G2236">
        <v>8.9339999999999992E-3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>
      <c r="A2237">
        <f t="shared" si="47"/>
        <v>2236</v>
      </c>
      <c r="B2237" t="str">
        <f t="shared" si="48"/>
        <v>Truche 2015</v>
      </c>
      <c r="C2237">
        <v>523.15</v>
      </c>
      <c r="D2237">
        <v>112</v>
      </c>
      <c r="E2237">
        <v>1.4</v>
      </c>
      <c r="G2237">
        <v>9.469E-3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>
      <c r="A2238">
        <f t="shared" si="47"/>
        <v>2237</v>
      </c>
      <c r="B2238" t="str">
        <f t="shared" si="48"/>
        <v>Truche 2015</v>
      </c>
      <c r="C2238">
        <v>553.15</v>
      </c>
      <c r="D2238">
        <v>68</v>
      </c>
      <c r="E2238">
        <v>1.4</v>
      </c>
      <c r="G2238">
        <v>8.43E-4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>
      <c r="A2239">
        <f t="shared" si="47"/>
        <v>2238</v>
      </c>
      <c r="B2239" t="str">
        <f t="shared" si="48"/>
        <v>Truche 2015</v>
      </c>
      <c r="C2239">
        <v>553.15</v>
      </c>
      <c r="D2239">
        <v>130</v>
      </c>
      <c r="E2239">
        <v>1.4</v>
      </c>
      <c r="G2239">
        <v>1.0691000000000001E-2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>
      <c r="A2240">
        <f t="shared" si="47"/>
        <v>2239</v>
      </c>
      <c r="B2240" t="s">
        <v>101</v>
      </c>
      <c r="C2240">
        <v>298.14999999999998</v>
      </c>
      <c r="D2240">
        <v>16.66</v>
      </c>
      <c r="E2240">
        <v>0</v>
      </c>
      <c r="F2240">
        <v>2.6800000000000001E-3</v>
      </c>
      <c r="G2240">
        <v>8.8699999999999994E-3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>
      <c r="A2241">
        <f t="shared" si="47"/>
        <v>2240</v>
      </c>
      <c r="B2241" t="str">
        <f>B2240</f>
        <v>Hou 2012</v>
      </c>
      <c r="C2241">
        <v>298.14999999999998</v>
      </c>
      <c r="D2241">
        <v>32.58</v>
      </c>
      <c r="E2241">
        <v>0</v>
      </c>
      <c r="F2241">
        <v>1.6000000000000001E-3</v>
      </c>
      <c r="G2241">
        <v>1.54E-2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>
      <c r="A2242">
        <f t="shared" si="47"/>
        <v>2241</v>
      </c>
      <c r="B2242" t="str">
        <f t="shared" ref="B2242:B2281" si="49">B2241</f>
        <v>Hou 2012</v>
      </c>
      <c r="C2242">
        <v>298.14999999999998</v>
      </c>
      <c r="D2242">
        <v>63.91</v>
      </c>
      <c r="E2242">
        <v>0</v>
      </c>
      <c r="F2242">
        <v>1.9400000000000001E-3</v>
      </c>
      <c r="G2242">
        <v>2.4840000000000001E-2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 spans="1:20">
      <c r="A2243">
        <f t="shared" si="47"/>
        <v>2242</v>
      </c>
      <c r="B2243" t="str">
        <f t="shared" si="49"/>
        <v>Hou 2012</v>
      </c>
      <c r="C2243">
        <v>298.14999999999998</v>
      </c>
      <c r="D2243">
        <v>101.83</v>
      </c>
      <c r="E2243">
        <v>0</v>
      </c>
      <c r="F2243">
        <v>4.4900000000000001E-3</v>
      </c>
      <c r="G2243">
        <v>2.63E-2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 spans="1:20">
      <c r="A2244">
        <f t="shared" ref="A2244:A2307" si="50">A2243+1</f>
        <v>2243</v>
      </c>
      <c r="B2244" t="str">
        <f t="shared" si="49"/>
        <v>Hou 2012</v>
      </c>
      <c r="C2244">
        <v>298.14999999999998</v>
      </c>
      <c r="D2244">
        <v>134.34</v>
      </c>
      <c r="E2244">
        <v>0</v>
      </c>
      <c r="F2244">
        <v>5.5799999999999999E-3</v>
      </c>
      <c r="G2244">
        <v>2.7820000000000001E-2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 spans="1:20">
      <c r="A2245">
        <f t="shared" si="50"/>
        <v>2244</v>
      </c>
      <c r="B2245" t="str">
        <f t="shared" si="49"/>
        <v>Hou 2012</v>
      </c>
      <c r="C2245">
        <v>298.14999999999998</v>
      </c>
      <c r="D2245">
        <v>175.51</v>
      </c>
      <c r="E2245">
        <v>0</v>
      </c>
      <c r="F2245">
        <v>6.77E-3</v>
      </c>
      <c r="G2245">
        <v>2.9440000000000001E-2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 spans="1:20">
      <c r="A2246">
        <f t="shared" si="50"/>
        <v>2245</v>
      </c>
      <c r="B2246" t="str">
        <f t="shared" si="49"/>
        <v>Hou 2012</v>
      </c>
      <c r="C2246">
        <v>323.14999999999998</v>
      </c>
      <c r="D2246">
        <v>10.89</v>
      </c>
      <c r="E2246">
        <v>0</v>
      </c>
      <c r="F2246">
        <v>2.811E-2</v>
      </c>
      <c r="G2246">
        <v>3.3300000000000001E-3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 spans="1:20">
      <c r="A2247">
        <f t="shared" si="50"/>
        <v>2246</v>
      </c>
      <c r="B2247" t="str">
        <f t="shared" si="49"/>
        <v>Hou 2012</v>
      </c>
      <c r="C2247">
        <v>323.14999999999998</v>
      </c>
      <c r="D2247">
        <v>29.8</v>
      </c>
      <c r="E2247">
        <v>0</v>
      </c>
      <c r="F2247">
        <v>5.0699999999999999E-3</v>
      </c>
      <c r="G2247">
        <v>9.0100000000000006E-3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 spans="1:20">
      <c r="A2248">
        <f t="shared" si="50"/>
        <v>2247</v>
      </c>
      <c r="B2248" t="str">
        <f t="shared" si="49"/>
        <v>Hou 2012</v>
      </c>
      <c r="C2248">
        <v>323.14999999999998</v>
      </c>
      <c r="D2248">
        <v>74.06</v>
      </c>
      <c r="E2248">
        <v>0</v>
      </c>
      <c r="F2248">
        <v>3.5000000000000001E-3</v>
      </c>
      <c r="G2248">
        <v>1.8290000000000001E-2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 spans="1:20">
      <c r="A2249">
        <f t="shared" si="50"/>
        <v>2248</v>
      </c>
      <c r="B2249" t="str">
        <f t="shared" si="49"/>
        <v>Hou 2012</v>
      </c>
      <c r="C2249">
        <v>323.14999999999998</v>
      </c>
      <c r="D2249">
        <v>100.21</v>
      </c>
      <c r="E2249">
        <v>0</v>
      </c>
      <c r="F2249">
        <v>4.0299999999999997E-3</v>
      </c>
      <c r="G2249">
        <v>2.0539999999999999E-2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 spans="1:20">
      <c r="A2250">
        <f t="shared" si="50"/>
        <v>2249</v>
      </c>
      <c r="B2250" t="str">
        <f t="shared" si="49"/>
        <v>Hou 2012</v>
      </c>
      <c r="C2250">
        <v>323.14999999999998</v>
      </c>
      <c r="D2250">
        <v>129.72999999999999</v>
      </c>
      <c r="E2250">
        <v>0</v>
      </c>
      <c r="F2250">
        <v>5.3299999999999997E-3</v>
      </c>
      <c r="G2250">
        <v>2.1409999999999998E-2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 spans="1:20">
      <c r="A2251">
        <f t="shared" si="50"/>
        <v>2250</v>
      </c>
      <c r="B2251" t="str">
        <f t="shared" si="49"/>
        <v>Hou 2012</v>
      </c>
      <c r="C2251">
        <v>323.14999999999998</v>
      </c>
      <c r="D2251">
        <v>175.33</v>
      </c>
      <c r="E2251">
        <v>0</v>
      </c>
      <c r="F2251">
        <v>6.1399999999999996E-3</v>
      </c>
      <c r="G2251">
        <v>2.2550000000000001E-2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 spans="1:20">
      <c r="A2252">
        <f t="shared" si="50"/>
        <v>2251</v>
      </c>
      <c r="B2252" t="str">
        <f t="shared" si="49"/>
        <v>Hou 2012</v>
      </c>
      <c r="C2252">
        <v>348.15</v>
      </c>
      <c r="D2252">
        <v>11.01</v>
      </c>
      <c r="E2252">
        <v>0</v>
      </c>
      <c r="F2252">
        <v>3.1320000000000001E-2</v>
      </c>
      <c r="G2252">
        <v>2.2200000000000002E-3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 spans="1:20">
      <c r="A2253">
        <f t="shared" si="50"/>
        <v>2252</v>
      </c>
      <c r="B2253" t="str">
        <f t="shared" si="49"/>
        <v>Hou 2012</v>
      </c>
      <c r="C2253">
        <v>348.15</v>
      </c>
      <c r="D2253">
        <v>29.21</v>
      </c>
      <c r="E2253">
        <v>0</v>
      </c>
      <c r="F2253">
        <v>1.422E-2</v>
      </c>
      <c r="G2253">
        <v>6.0800000000000003E-3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 spans="1:20">
      <c r="A2254">
        <f t="shared" si="50"/>
        <v>2253</v>
      </c>
      <c r="B2254" t="str">
        <f t="shared" si="49"/>
        <v>Hou 2012</v>
      </c>
      <c r="C2254">
        <v>348.15</v>
      </c>
      <c r="D2254">
        <v>71.23</v>
      </c>
      <c r="E2254">
        <v>0</v>
      </c>
      <c r="F2254">
        <v>8.4499999999999992E-3</v>
      </c>
      <c r="G2254">
        <v>1.2670000000000001E-2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 spans="1:20">
      <c r="A2255">
        <f t="shared" si="50"/>
        <v>2254</v>
      </c>
      <c r="B2255" t="str">
        <f t="shared" si="49"/>
        <v>Hou 2012</v>
      </c>
      <c r="C2255">
        <v>348.15</v>
      </c>
      <c r="D2255">
        <v>101.67</v>
      </c>
      <c r="E2255">
        <v>0</v>
      </c>
      <c r="F2255">
        <v>8.0499999999999999E-3</v>
      </c>
      <c r="G2255">
        <v>1.593E-2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 spans="1:20">
      <c r="A2256">
        <f t="shared" si="50"/>
        <v>2255</v>
      </c>
      <c r="B2256" t="str">
        <f t="shared" si="49"/>
        <v>Hou 2012</v>
      </c>
      <c r="C2256">
        <v>348.15</v>
      </c>
      <c r="D2256">
        <v>132.82</v>
      </c>
      <c r="E2256">
        <v>0</v>
      </c>
      <c r="F2256">
        <v>8.3599999999999994E-3</v>
      </c>
      <c r="G2256">
        <v>1.856E-2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 spans="1:20">
      <c r="A2257">
        <f t="shared" si="50"/>
        <v>2256</v>
      </c>
      <c r="B2257" t="str">
        <f t="shared" si="49"/>
        <v>Hou 2012</v>
      </c>
      <c r="C2257">
        <v>348.15</v>
      </c>
      <c r="D2257">
        <v>169.18</v>
      </c>
      <c r="E2257">
        <v>0</v>
      </c>
      <c r="F2257">
        <v>9.9600000000000001E-3</v>
      </c>
      <c r="G2257">
        <v>1.993E-2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 spans="1:20">
      <c r="A2258">
        <f t="shared" si="50"/>
        <v>2257</v>
      </c>
      <c r="B2258" t="str">
        <f t="shared" si="49"/>
        <v>Hou 2012</v>
      </c>
      <c r="C2258">
        <v>373.15</v>
      </c>
      <c r="D2258">
        <v>11.07</v>
      </c>
      <c r="E2258">
        <v>0</v>
      </c>
      <c r="F2258">
        <v>8.8020000000000001E-2</v>
      </c>
      <c r="G2258">
        <v>1.6900000000000001E-3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>
      <c r="A2259">
        <f t="shared" si="50"/>
        <v>2258</v>
      </c>
      <c r="B2259" t="str">
        <f t="shared" si="49"/>
        <v>Hou 2012</v>
      </c>
      <c r="C2259">
        <v>373.15</v>
      </c>
      <c r="D2259">
        <v>24.26</v>
      </c>
      <c r="E2259">
        <v>0</v>
      </c>
      <c r="F2259">
        <v>4.691E-2</v>
      </c>
      <c r="G2259">
        <v>3.8999999999999998E-3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>
      <c r="A2260">
        <f t="shared" si="50"/>
        <v>2259</v>
      </c>
      <c r="B2260" t="str">
        <f t="shared" si="49"/>
        <v>Hou 2012</v>
      </c>
      <c r="C2260">
        <v>373.15</v>
      </c>
      <c r="D2260">
        <v>70.88</v>
      </c>
      <c r="E2260">
        <v>0</v>
      </c>
      <c r="F2260">
        <v>2.102E-2</v>
      </c>
      <c r="G2260">
        <v>1.085E-2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>
      <c r="A2261">
        <f t="shared" si="50"/>
        <v>2260</v>
      </c>
      <c r="B2261" t="str">
        <f t="shared" si="49"/>
        <v>Hou 2012</v>
      </c>
      <c r="C2261">
        <v>373.15</v>
      </c>
      <c r="D2261">
        <v>102.35</v>
      </c>
      <c r="E2261">
        <v>0</v>
      </c>
      <c r="F2261">
        <v>1.7469999999999999E-2</v>
      </c>
      <c r="G2261">
        <v>1.3650000000000001E-2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>
      <c r="A2262">
        <f t="shared" si="50"/>
        <v>2261</v>
      </c>
      <c r="B2262" t="str">
        <f t="shared" si="49"/>
        <v>Hou 2012</v>
      </c>
      <c r="C2262">
        <v>373.15</v>
      </c>
      <c r="D2262">
        <v>133.52000000000001</v>
      </c>
      <c r="E2262">
        <v>0</v>
      </c>
      <c r="F2262">
        <v>1.6750000000000001E-2</v>
      </c>
      <c r="G2262">
        <v>1.626E-2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>
      <c r="A2263">
        <f t="shared" si="50"/>
        <v>2262</v>
      </c>
      <c r="B2263" t="str">
        <f t="shared" si="49"/>
        <v>Hou 2012</v>
      </c>
      <c r="C2263">
        <v>373.15</v>
      </c>
      <c r="D2263">
        <v>170.7</v>
      </c>
      <c r="E2263">
        <v>0</v>
      </c>
      <c r="F2263">
        <v>1.712E-2</v>
      </c>
      <c r="G2263">
        <v>1.8720000000000001E-2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>
      <c r="A2264">
        <f t="shared" si="50"/>
        <v>2263</v>
      </c>
      <c r="B2264" t="str">
        <f t="shared" si="49"/>
        <v>Hou 2012</v>
      </c>
      <c r="C2264">
        <v>398.15</v>
      </c>
      <c r="D2264">
        <v>11.58</v>
      </c>
      <c r="E2264">
        <v>0</v>
      </c>
      <c r="F2264">
        <v>0.21312</v>
      </c>
      <c r="G2264">
        <v>1.42E-3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>
      <c r="A2265">
        <f t="shared" si="50"/>
        <v>2264</v>
      </c>
      <c r="B2265" t="str">
        <f t="shared" si="49"/>
        <v>Hou 2012</v>
      </c>
      <c r="C2265">
        <v>398.15</v>
      </c>
      <c r="D2265">
        <v>31.76</v>
      </c>
      <c r="E2265">
        <v>0</v>
      </c>
      <c r="F2265">
        <v>8.5290000000000005E-2</v>
      </c>
      <c r="G2265">
        <v>4.4400000000000004E-3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>
      <c r="A2266">
        <f t="shared" si="50"/>
        <v>2265</v>
      </c>
      <c r="B2266" t="str">
        <f t="shared" si="49"/>
        <v>Hou 2012</v>
      </c>
      <c r="C2266">
        <v>398.15</v>
      </c>
      <c r="D2266">
        <v>73.209999999999994</v>
      </c>
      <c r="E2266">
        <v>0</v>
      </c>
      <c r="F2266">
        <v>4.4580000000000002E-2</v>
      </c>
      <c r="G2266">
        <v>1.005E-2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 spans="1:20">
      <c r="A2267">
        <f t="shared" si="50"/>
        <v>2266</v>
      </c>
      <c r="B2267" t="str">
        <f t="shared" si="49"/>
        <v>Hou 2012</v>
      </c>
      <c r="C2267">
        <v>398.15</v>
      </c>
      <c r="D2267">
        <v>99.84</v>
      </c>
      <c r="E2267">
        <v>0</v>
      </c>
      <c r="F2267">
        <v>3.56E-2</v>
      </c>
      <c r="G2267">
        <v>1.308E-2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 spans="1:20">
      <c r="A2268">
        <f t="shared" si="50"/>
        <v>2267</v>
      </c>
      <c r="B2268" t="str">
        <f t="shared" si="49"/>
        <v>Hou 2012</v>
      </c>
      <c r="C2268">
        <v>398.15</v>
      </c>
      <c r="D2268">
        <v>134.56</v>
      </c>
      <c r="E2268">
        <v>0</v>
      </c>
      <c r="F2268">
        <v>3.363E-2</v>
      </c>
      <c r="G2268">
        <v>1.5730000000000001E-2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 spans="1:20">
      <c r="A2269">
        <f t="shared" si="50"/>
        <v>2268</v>
      </c>
      <c r="B2269" t="str">
        <f t="shared" si="49"/>
        <v>Hou 2012</v>
      </c>
      <c r="C2269">
        <v>398.15</v>
      </c>
      <c r="D2269">
        <v>174.35</v>
      </c>
      <c r="E2269">
        <v>0</v>
      </c>
      <c r="F2269">
        <v>3.09E-2</v>
      </c>
      <c r="G2269">
        <v>1.857E-2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 spans="1:20">
      <c r="A2270">
        <f t="shared" si="50"/>
        <v>2269</v>
      </c>
      <c r="B2270" t="str">
        <f t="shared" si="49"/>
        <v>Hou 2012</v>
      </c>
      <c r="C2270">
        <v>423.15</v>
      </c>
      <c r="D2270">
        <v>14.28</v>
      </c>
      <c r="E2270">
        <v>0</v>
      </c>
      <c r="F2270">
        <v>0.34639999999999999</v>
      </c>
      <c r="G2270">
        <v>1.2700000000000001E-3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 spans="1:20">
      <c r="A2271">
        <f t="shared" si="50"/>
        <v>2270</v>
      </c>
      <c r="B2271" t="str">
        <f t="shared" si="49"/>
        <v>Hou 2012</v>
      </c>
      <c r="C2271">
        <v>423.15</v>
      </c>
      <c r="D2271">
        <v>29.87</v>
      </c>
      <c r="E2271">
        <v>0</v>
      </c>
      <c r="F2271">
        <v>0.18926999999999999</v>
      </c>
      <c r="G2271">
        <v>3.48E-3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 spans="1:20">
      <c r="A2272">
        <f t="shared" si="50"/>
        <v>2271</v>
      </c>
      <c r="B2272" t="str">
        <f t="shared" si="49"/>
        <v>Hou 2012</v>
      </c>
      <c r="C2272">
        <v>423.15</v>
      </c>
      <c r="D2272">
        <v>71.97</v>
      </c>
      <c r="E2272">
        <v>0</v>
      </c>
      <c r="F2272">
        <v>9.4520000000000007E-2</v>
      </c>
      <c r="G2272">
        <v>8.6999999999999994E-3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 spans="1:20">
      <c r="A2273">
        <f t="shared" si="50"/>
        <v>2272</v>
      </c>
      <c r="B2273" t="str">
        <f t="shared" si="49"/>
        <v>Hou 2012</v>
      </c>
      <c r="C2273">
        <v>423.15</v>
      </c>
      <c r="D2273">
        <v>100.14</v>
      </c>
      <c r="E2273">
        <v>0</v>
      </c>
      <c r="F2273">
        <v>7.4990000000000001E-2</v>
      </c>
      <c r="G2273">
        <v>1.231E-2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 spans="1:20">
      <c r="A2274">
        <f t="shared" si="50"/>
        <v>2273</v>
      </c>
      <c r="B2274" t="str">
        <f t="shared" si="49"/>
        <v>Hou 2012</v>
      </c>
      <c r="C2274">
        <v>423.15</v>
      </c>
      <c r="D2274">
        <v>134.18</v>
      </c>
      <c r="E2274">
        <v>0</v>
      </c>
      <c r="F2274">
        <v>6.368E-2</v>
      </c>
      <c r="G2274">
        <v>1.5570000000000001E-2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 spans="1:20">
      <c r="A2275">
        <f t="shared" si="50"/>
        <v>2274</v>
      </c>
      <c r="B2275" t="str">
        <f t="shared" si="49"/>
        <v>Hou 2012</v>
      </c>
      <c r="C2275">
        <v>423.15</v>
      </c>
      <c r="D2275">
        <v>173.55</v>
      </c>
      <c r="E2275">
        <v>0</v>
      </c>
      <c r="F2275">
        <v>5.6610000000000001E-2</v>
      </c>
      <c r="G2275">
        <v>1.9050000000000001E-2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 spans="1:20">
      <c r="A2276">
        <f t="shared" si="50"/>
        <v>2275</v>
      </c>
      <c r="B2276" t="str">
        <f t="shared" si="49"/>
        <v>Hou 2012</v>
      </c>
      <c r="C2276">
        <v>448.15</v>
      </c>
      <c r="D2276">
        <v>13.27</v>
      </c>
      <c r="E2276">
        <v>0</v>
      </c>
      <c r="F2276">
        <v>0.70430999999999999</v>
      </c>
      <c r="G2276">
        <v>6.3000000000000003E-4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 spans="1:20">
      <c r="A2277">
        <f t="shared" si="50"/>
        <v>2276</v>
      </c>
      <c r="B2277" t="str">
        <f t="shared" si="49"/>
        <v>Hou 2012</v>
      </c>
      <c r="C2277">
        <v>448.15</v>
      </c>
      <c r="D2277">
        <v>36.57</v>
      </c>
      <c r="E2277">
        <v>0</v>
      </c>
      <c r="F2277">
        <v>0.28999999999999998</v>
      </c>
      <c r="G2277">
        <v>3.6900000000000001E-3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 spans="1:20">
      <c r="A2278">
        <f t="shared" si="50"/>
        <v>2277</v>
      </c>
      <c r="B2278" t="str">
        <f t="shared" si="49"/>
        <v>Hou 2012</v>
      </c>
      <c r="C2278">
        <v>448.15</v>
      </c>
      <c r="D2278">
        <v>75.650000000000006</v>
      </c>
      <c r="E2278">
        <v>0</v>
      </c>
      <c r="F2278">
        <v>0.15731000000000001</v>
      </c>
      <c r="G2278">
        <v>8.6099999999999996E-3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 spans="1:20">
      <c r="A2279">
        <f t="shared" si="50"/>
        <v>2278</v>
      </c>
      <c r="B2279" t="str">
        <f t="shared" si="49"/>
        <v>Hou 2012</v>
      </c>
      <c r="C2279">
        <v>448.15</v>
      </c>
      <c r="D2279">
        <v>104.97</v>
      </c>
      <c r="E2279">
        <v>0</v>
      </c>
      <c r="F2279">
        <v>0.11921</v>
      </c>
      <c r="G2279">
        <v>1.1350000000000001E-2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 spans="1:20">
      <c r="A2280">
        <f t="shared" si="50"/>
        <v>2279</v>
      </c>
      <c r="B2280" t="str">
        <f t="shared" si="49"/>
        <v>Hou 2012</v>
      </c>
      <c r="C2280">
        <v>448.15</v>
      </c>
      <c r="D2280">
        <v>134.41999999999999</v>
      </c>
      <c r="E2280">
        <v>0</v>
      </c>
      <c r="F2280">
        <v>0.10667</v>
      </c>
      <c r="G2280">
        <v>1.413E-2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 spans="1:20">
      <c r="A2281">
        <f t="shared" si="50"/>
        <v>2280</v>
      </c>
      <c r="B2281" t="str">
        <f t="shared" si="49"/>
        <v>Hou 2012</v>
      </c>
      <c r="C2281">
        <v>448.15</v>
      </c>
      <c r="D2281">
        <v>174.59</v>
      </c>
      <c r="E2281">
        <v>0</v>
      </c>
      <c r="F2281">
        <v>0.10174999999999999</v>
      </c>
      <c r="G2281">
        <v>1.7639999999999999E-2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 spans="1:20">
      <c r="A2282">
        <f t="shared" si="50"/>
        <v>2281</v>
      </c>
      <c r="B2282" t="s">
        <v>102</v>
      </c>
      <c r="C2282">
        <v>300.95</v>
      </c>
      <c r="D2282">
        <v>20.71</v>
      </c>
      <c r="E2282">
        <v>0</v>
      </c>
      <c r="G2282">
        <v>1.099E-2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>
      <c r="A2283">
        <f t="shared" si="50"/>
        <v>2282</v>
      </c>
      <c r="B2283" t="str">
        <f t="shared" ref="B2283" si="51">B2282</f>
        <v>Ahmadi 2018</v>
      </c>
      <c r="C2283">
        <v>300.95</v>
      </c>
      <c r="D2283">
        <v>47.82</v>
      </c>
      <c r="E2283">
        <v>0</v>
      </c>
      <c r="G2283">
        <v>2.0320000000000001E-2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>
      <c r="A2284">
        <f t="shared" si="50"/>
        <v>2283</v>
      </c>
      <c r="B2284" t="str">
        <f t="shared" ref="B2284:B2310" si="52">B2283</f>
        <v>Ahmadi 2018</v>
      </c>
      <c r="C2284">
        <v>300.95</v>
      </c>
      <c r="D2284">
        <v>78.37</v>
      </c>
      <c r="E2284">
        <v>0</v>
      </c>
      <c r="G2284">
        <v>2.3349999999999999E-2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>
      <c r="A2285">
        <f t="shared" si="50"/>
        <v>2284</v>
      </c>
      <c r="B2285" t="str">
        <f t="shared" si="52"/>
        <v>Ahmadi 2018</v>
      </c>
      <c r="C2285">
        <v>300.95</v>
      </c>
      <c r="D2285">
        <v>194.45</v>
      </c>
      <c r="E2285">
        <v>0</v>
      </c>
      <c r="G2285">
        <v>2.6960000000000001E-2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>
      <c r="A2286">
        <f t="shared" si="50"/>
        <v>2285</v>
      </c>
      <c r="B2286" t="str">
        <f t="shared" si="52"/>
        <v>Ahmadi 2018</v>
      </c>
      <c r="C2286">
        <v>300.95</v>
      </c>
      <c r="D2286">
        <v>347.53</v>
      </c>
      <c r="E2286">
        <v>0</v>
      </c>
      <c r="G2286">
        <v>2.9600000000000001E-2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>
      <c r="A2287">
        <f t="shared" si="50"/>
        <v>2286</v>
      </c>
      <c r="B2287" t="str">
        <f t="shared" si="52"/>
        <v>Ahmadi 2018</v>
      </c>
      <c r="C2287">
        <v>307.79000000000002</v>
      </c>
      <c r="D2287">
        <v>12.92</v>
      </c>
      <c r="E2287">
        <v>0</v>
      </c>
      <c r="G2287">
        <v>6.0099999999999997E-3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>
      <c r="A2288">
        <f t="shared" si="50"/>
        <v>2287</v>
      </c>
      <c r="B2288" t="str">
        <f t="shared" si="52"/>
        <v>Ahmadi 2018</v>
      </c>
      <c r="C2288">
        <v>307.79000000000002</v>
      </c>
      <c r="D2288">
        <v>13.1</v>
      </c>
      <c r="E2288">
        <v>0</v>
      </c>
      <c r="G2288">
        <v>6.0099999999999997E-3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>
      <c r="A2289">
        <f t="shared" si="50"/>
        <v>2288</v>
      </c>
      <c r="B2289" t="str">
        <f t="shared" si="52"/>
        <v>Ahmadi 2018</v>
      </c>
      <c r="C2289">
        <v>307.79000000000002</v>
      </c>
      <c r="D2289">
        <v>22.43</v>
      </c>
      <c r="E2289">
        <v>0</v>
      </c>
      <c r="G2289">
        <v>9.7400000000000004E-3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>
      <c r="A2290">
        <f t="shared" si="50"/>
        <v>2289</v>
      </c>
      <c r="B2290" t="str">
        <f t="shared" si="52"/>
        <v>Ahmadi 2018</v>
      </c>
      <c r="C2290">
        <v>307.79000000000002</v>
      </c>
      <c r="D2290">
        <v>33.799999999999997</v>
      </c>
      <c r="E2290">
        <v>0</v>
      </c>
      <c r="G2290">
        <v>1.384E-2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 spans="1:20">
      <c r="A2291">
        <f t="shared" si="50"/>
        <v>2290</v>
      </c>
      <c r="B2291" t="str">
        <f t="shared" si="52"/>
        <v>Ahmadi 2018</v>
      </c>
      <c r="C2291">
        <v>307.79000000000002</v>
      </c>
      <c r="D2291">
        <v>45.94</v>
      </c>
      <c r="E2291">
        <v>0</v>
      </c>
      <c r="G2291">
        <v>1.704E-2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 spans="1:20">
      <c r="A2292">
        <f t="shared" si="50"/>
        <v>2291</v>
      </c>
      <c r="B2292" t="str">
        <f t="shared" si="52"/>
        <v>Ahmadi 2018</v>
      </c>
      <c r="C2292">
        <v>307.79000000000002</v>
      </c>
      <c r="D2292">
        <v>55.43</v>
      </c>
      <c r="E2292">
        <v>0</v>
      </c>
      <c r="G2292">
        <v>1.9310000000000001E-2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 spans="1:20">
      <c r="A2293">
        <f t="shared" si="50"/>
        <v>2292</v>
      </c>
      <c r="B2293" t="str">
        <f t="shared" si="52"/>
        <v>Ahmadi 2018</v>
      </c>
      <c r="C2293">
        <v>307.79000000000002</v>
      </c>
      <c r="D2293">
        <v>71.430000000000007</v>
      </c>
      <c r="E2293">
        <v>0</v>
      </c>
      <c r="G2293">
        <v>2.2280000000000001E-2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 spans="1:20">
      <c r="A2294">
        <f t="shared" si="50"/>
        <v>2293</v>
      </c>
      <c r="B2294" t="str">
        <f t="shared" si="52"/>
        <v>Ahmadi 2018</v>
      </c>
      <c r="C2294">
        <v>307.79000000000002</v>
      </c>
      <c r="D2294">
        <v>122.31</v>
      </c>
      <c r="E2294">
        <v>0</v>
      </c>
      <c r="G2294">
        <v>2.4140000000000002E-2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 spans="1:20">
      <c r="A2295">
        <f t="shared" si="50"/>
        <v>2294</v>
      </c>
      <c r="B2295" t="str">
        <f t="shared" si="52"/>
        <v>Ahmadi 2018</v>
      </c>
      <c r="C2295">
        <v>307.79000000000002</v>
      </c>
      <c r="D2295">
        <v>192.36</v>
      </c>
      <c r="E2295">
        <v>0</v>
      </c>
      <c r="G2295">
        <v>2.589E-2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 spans="1:20">
      <c r="A2296">
        <f t="shared" si="50"/>
        <v>2295</v>
      </c>
      <c r="B2296" t="str">
        <f t="shared" si="52"/>
        <v>Ahmadi 2018</v>
      </c>
      <c r="C2296">
        <v>322.62</v>
      </c>
      <c r="D2296">
        <v>29.91</v>
      </c>
      <c r="E2296">
        <v>0</v>
      </c>
      <c r="G2296">
        <v>9.6100000000000005E-3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 spans="1:20">
      <c r="A2297">
        <f t="shared" si="50"/>
        <v>2296</v>
      </c>
      <c r="B2297" t="str">
        <f t="shared" si="52"/>
        <v>Ahmadi 2018</v>
      </c>
      <c r="C2297">
        <v>322.62</v>
      </c>
      <c r="D2297">
        <v>47.78</v>
      </c>
      <c r="E2297">
        <v>0</v>
      </c>
      <c r="G2297">
        <v>1.2789999999999999E-2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 spans="1:20">
      <c r="A2298">
        <f t="shared" si="50"/>
        <v>2297</v>
      </c>
      <c r="B2298" t="str">
        <f t="shared" si="52"/>
        <v>Ahmadi 2018</v>
      </c>
      <c r="C2298">
        <v>322.62</v>
      </c>
      <c r="D2298">
        <v>54.86</v>
      </c>
      <c r="E2298">
        <v>0</v>
      </c>
      <c r="G2298">
        <v>1.4930000000000001E-2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 spans="1:20">
      <c r="A2299">
        <f t="shared" si="50"/>
        <v>2298</v>
      </c>
      <c r="B2299" t="str">
        <f t="shared" si="52"/>
        <v>Ahmadi 2018</v>
      </c>
      <c r="C2299">
        <v>322.62</v>
      </c>
      <c r="D2299">
        <v>86.67</v>
      </c>
      <c r="E2299">
        <v>0</v>
      </c>
      <c r="G2299">
        <v>1.959E-2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 spans="1:20">
      <c r="A2300">
        <f t="shared" si="50"/>
        <v>2299</v>
      </c>
      <c r="B2300" t="str">
        <f t="shared" si="52"/>
        <v>Ahmadi 2018</v>
      </c>
      <c r="C2300">
        <v>322.62</v>
      </c>
      <c r="D2300">
        <v>207.27</v>
      </c>
      <c r="E2300">
        <v>0</v>
      </c>
      <c r="G2300">
        <v>2.3939999999999999E-2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 spans="1:20">
      <c r="A2301">
        <f t="shared" si="50"/>
        <v>2300</v>
      </c>
      <c r="B2301" t="str">
        <f t="shared" si="52"/>
        <v>Ahmadi 2018</v>
      </c>
      <c r="C2301">
        <v>322.62</v>
      </c>
      <c r="D2301">
        <v>403.49</v>
      </c>
      <c r="E2301">
        <v>0</v>
      </c>
      <c r="G2301">
        <v>2.708E-2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 spans="1:20">
      <c r="A2302">
        <f t="shared" si="50"/>
        <v>2301</v>
      </c>
      <c r="B2302" t="str">
        <f t="shared" si="52"/>
        <v>Ahmadi 2018</v>
      </c>
      <c r="C2302">
        <v>373.39</v>
      </c>
      <c r="D2302">
        <v>35.15</v>
      </c>
      <c r="E2302">
        <v>0</v>
      </c>
      <c r="G2302">
        <v>6.9699999999999996E-3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 spans="1:20">
      <c r="A2303">
        <f t="shared" si="50"/>
        <v>2302</v>
      </c>
      <c r="B2303" t="str">
        <f t="shared" si="52"/>
        <v>Ahmadi 2018</v>
      </c>
      <c r="C2303">
        <v>373.39</v>
      </c>
      <c r="D2303">
        <v>79.41</v>
      </c>
      <c r="E2303">
        <v>0</v>
      </c>
      <c r="G2303">
        <v>1.286E-2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 spans="1:20">
      <c r="A2304">
        <f t="shared" si="50"/>
        <v>2303</v>
      </c>
      <c r="B2304" t="str">
        <f t="shared" si="52"/>
        <v>Ahmadi 2018</v>
      </c>
      <c r="C2304">
        <v>373.39</v>
      </c>
      <c r="D2304">
        <v>193.4</v>
      </c>
      <c r="E2304">
        <v>0</v>
      </c>
      <c r="G2304">
        <v>2.112E-2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 spans="1:20">
      <c r="A2305">
        <f t="shared" si="50"/>
        <v>2304</v>
      </c>
      <c r="B2305" t="str">
        <f t="shared" si="52"/>
        <v>Ahmadi 2018</v>
      </c>
      <c r="C2305">
        <v>373.39</v>
      </c>
      <c r="D2305">
        <v>420.77</v>
      </c>
      <c r="E2305">
        <v>0</v>
      </c>
      <c r="G2305">
        <v>2.5780000000000001E-2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 spans="1:20">
      <c r="A2306">
        <f t="shared" si="50"/>
        <v>2305</v>
      </c>
      <c r="B2306" t="str">
        <f t="shared" si="52"/>
        <v>Ahmadi 2018</v>
      </c>
      <c r="C2306">
        <v>423.48</v>
      </c>
      <c r="D2306">
        <v>26.31</v>
      </c>
      <c r="E2306">
        <v>0</v>
      </c>
      <c r="G2306">
        <v>3.2699999999999999E-3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>
      <c r="A2307">
        <f t="shared" si="50"/>
        <v>2306</v>
      </c>
      <c r="B2307" t="str">
        <f t="shared" si="52"/>
        <v>Ahmadi 2018</v>
      </c>
      <c r="C2307">
        <v>423.48</v>
      </c>
      <c r="D2307">
        <v>51.09</v>
      </c>
      <c r="E2307">
        <v>0</v>
      </c>
      <c r="G2307">
        <v>6.6499999999999997E-3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>
      <c r="A2308">
        <f t="shared" ref="A2308:A2371" si="53">A2307+1</f>
        <v>2307</v>
      </c>
      <c r="B2308" t="str">
        <f t="shared" si="52"/>
        <v>Ahmadi 2018</v>
      </c>
      <c r="C2308">
        <v>423.48</v>
      </c>
      <c r="D2308">
        <v>97.72</v>
      </c>
      <c r="E2308">
        <v>0</v>
      </c>
      <c r="G2308">
        <v>1.17E-2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>
      <c r="A2309">
        <f t="shared" si="53"/>
        <v>2308</v>
      </c>
      <c r="B2309" t="str">
        <f t="shared" si="52"/>
        <v>Ahmadi 2018</v>
      </c>
      <c r="C2309">
        <v>423.48</v>
      </c>
      <c r="D2309">
        <v>195.49</v>
      </c>
      <c r="E2309">
        <v>0</v>
      </c>
      <c r="G2309">
        <v>2.0629999999999999E-2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>
      <c r="A2310">
        <f t="shared" si="53"/>
        <v>2309</v>
      </c>
      <c r="B2310" t="str">
        <f t="shared" si="52"/>
        <v>Ahmadi 2018</v>
      </c>
      <c r="C2310">
        <v>423.48</v>
      </c>
      <c r="D2310">
        <v>406.9</v>
      </c>
      <c r="E2310">
        <v>0</v>
      </c>
      <c r="G2310">
        <v>2.8389999999999999E-2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>
      <c r="A2311">
        <f t="shared" si="53"/>
        <v>2310</v>
      </c>
      <c r="B2311" t="str">
        <f t="shared" ref="B2311:B2312" si="54">B2310</f>
        <v>Ahmadi 2018</v>
      </c>
      <c r="C2311">
        <v>303.16000000000003</v>
      </c>
      <c r="D2311">
        <v>16.25</v>
      </c>
      <c r="E2311">
        <v>1.4</v>
      </c>
      <c r="G2311">
        <v>5.2700000000000004E-3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>
      <c r="A2312">
        <f t="shared" si="53"/>
        <v>2311</v>
      </c>
      <c r="B2312" t="str">
        <f t="shared" si="54"/>
        <v>Ahmadi 2018</v>
      </c>
      <c r="C2312">
        <v>303.16000000000003</v>
      </c>
      <c r="D2312">
        <v>66.12</v>
      </c>
      <c r="E2312">
        <v>1.4</v>
      </c>
      <c r="G2312">
        <v>1.6490000000000001E-2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>
      <c r="A2313">
        <f t="shared" si="53"/>
        <v>2312</v>
      </c>
      <c r="B2313" t="str">
        <f t="shared" ref="B2313:B2329" si="55">B2312</f>
        <v>Ahmadi 2018</v>
      </c>
      <c r="C2313">
        <v>303.16000000000003</v>
      </c>
      <c r="D2313">
        <v>86.75</v>
      </c>
      <c r="E2313">
        <v>1.4</v>
      </c>
      <c r="G2313">
        <v>1.804E-2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>
      <c r="A2314">
        <f t="shared" si="53"/>
        <v>2313</v>
      </c>
      <c r="B2314" t="str">
        <f t="shared" si="55"/>
        <v>Ahmadi 2018</v>
      </c>
      <c r="C2314">
        <v>303.16000000000003</v>
      </c>
      <c r="D2314">
        <v>205.19</v>
      </c>
      <c r="E2314">
        <v>1.4</v>
      </c>
      <c r="G2314">
        <v>1.9130000000000001E-2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 spans="1:20">
      <c r="A2315">
        <f t="shared" si="53"/>
        <v>2314</v>
      </c>
      <c r="B2315" t="str">
        <f t="shared" si="55"/>
        <v>Ahmadi 2018</v>
      </c>
      <c r="C2315">
        <v>303.16000000000003</v>
      </c>
      <c r="D2315">
        <v>353.86</v>
      </c>
      <c r="E2315">
        <v>1.4</v>
      </c>
      <c r="G2315">
        <v>2.0959999999999999E-2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 spans="1:20">
      <c r="A2316">
        <f t="shared" si="53"/>
        <v>2315</v>
      </c>
      <c r="B2316" t="str">
        <f t="shared" si="55"/>
        <v>Ahmadi 2018</v>
      </c>
      <c r="C2316">
        <v>323.2</v>
      </c>
      <c r="D2316">
        <v>17.63</v>
      </c>
      <c r="E2316">
        <v>1.4</v>
      </c>
      <c r="G2316">
        <v>4.4299999999999999E-3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 spans="1:20">
      <c r="A2317">
        <f t="shared" si="53"/>
        <v>2316</v>
      </c>
      <c r="B2317" t="str">
        <f t="shared" si="55"/>
        <v>Ahmadi 2018</v>
      </c>
      <c r="C2317">
        <v>323.2</v>
      </c>
      <c r="D2317">
        <v>62.57</v>
      </c>
      <c r="E2317">
        <v>1.4</v>
      </c>
      <c r="G2317">
        <v>1.192E-2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 spans="1:20">
      <c r="A2318">
        <f t="shared" si="53"/>
        <v>2317</v>
      </c>
      <c r="B2318" t="str">
        <f t="shared" si="55"/>
        <v>Ahmadi 2018</v>
      </c>
      <c r="C2318">
        <v>323.2</v>
      </c>
      <c r="D2318">
        <v>107.19</v>
      </c>
      <c r="E2318">
        <v>1.4</v>
      </c>
      <c r="G2318">
        <v>1.54E-2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 spans="1:20">
      <c r="A2319">
        <f t="shared" si="53"/>
        <v>2318</v>
      </c>
      <c r="B2319" t="str">
        <f t="shared" si="55"/>
        <v>Ahmadi 2018</v>
      </c>
      <c r="C2319">
        <v>323.2</v>
      </c>
      <c r="D2319">
        <v>181.72</v>
      </c>
      <c r="E2319">
        <v>1.4</v>
      </c>
      <c r="G2319">
        <v>1.7080000000000001E-2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 spans="1:20">
      <c r="A2320">
        <f t="shared" si="53"/>
        <v>2319</v>
      </c>
      <c r="B2320" t="str">
        <f t="shared" si="55"/>
        <v>Ahmadi 2018</v>
      </c>
      <c r="C2320">
        <v>323.2</v>
      </c>
      <c r="D2320">
        <v>388.6</v>
      </c>
      <c r="E2320">
        <v>1.4</v>
      </c>
      <c r="G2320">
        <v>1.975E-2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 spans="1:20">
      <c r="A2321">
        <f t="shared" si="53"/>
        <v>2320</v>
      </c>
      <c r="B2321" t="str">
        <f t="shared" si="55"/>
        <v>Ahmadi 2018</v>
      </c>
      <c r="C2321">
        <v>373.19</v>
      </c>
      <c r="D2321">
        <v>19.29</v>
      </c>
      <c r="E2321">
        <v>1.4</v>
      </c>
      <c r="G2321">
        <v>2.32E-3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 spans="1:20">
      <c r="A2322">
        <f t="shared" si="53"/>
        <v>2321</v>
      </c>
      <c r="B2322" t="str">
        <f t="shared" si="55"/>
        <v>Ahmadi 2018</v>
      </c>
      <c r="C2322">
        <v>373.19</v>
      </c>
      <c r="D2322">
        <v>81.72</v>
      </c>
      <c r="E2322">
        <v>1.4</v>
      </c>
      <c r="G2322">
        <v>8.6E-3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 spans="1:20">
      <c r="A2323">
        <f t="shared" si="53"/>
        <v>2322</v>
      </c>
      <c r="B2323" t="str">
        <f t="shared" si="55"/>
        <v>Ahmadi 2018</v>
      </c>
      <c r="C2323">
        <v>373.19</v>
      </c>
      <c r="D2323">
        <v>228.95</v>
      </c>
      <c r="E2323">
        <v>1.4</v>
      </c>
      <c r="G2323">
        <v>1.5610000000000001E-2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 spans="1:20">
      <c r="A2324">
        <f t="shared" si="53"/>
        <v>2323</v>
      </c>
      <c r="B2324" t="str">
        <f t="shared" si="55"/>
        <v>Ahmadi 2018</v>
      </c>
      <c r="C2324">
        <v>373.19</v>
      </c>
      <c r="D2324">
        <v>388.08</v>
      </c>
      <c r="E2324">
        <v>1.4</v>
      </c>
      <c r="G2324">
        <v>1.8769999999999998E-2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 spans="1:20">
      <c r="A2325">
        <f t="shared" si="53"/>
        <v>2324</v>
      </c>
      <c r="B2325" t="str">
        <f t="shared" si="55"/>
        <v>Ahmadi 2018</v>
      </c>
      <c r="C2325">
        <v>423.19</v>
      </c>
      <c r="D2325">
        <v>24.15</v>
      </c>
      <c r="E2325">
        <v>1.4</v>
      </c>
      <c r="G2325">
        <v>2.4399999999999999E-3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 spans="1:20">
      <c r="A2326">
        <f t="shared" si="53"/>
        <v>2325</v>
      </c>
      <c r="B2326" t="str">
        <f t="shared" si="55"/>
        <v>Ahmadi 2018</v>
      </c>
      <c r="C2326">
        <v>423.19</v>
      </c>
      <c r="D2326">
        <v>54.34</v>
      </c>
      <c r="E2326">
        <v>1.4</v>
      </c>
      <c r="G2326">
        <v>4.9800000000000001E-3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 spans="1:20">
      <c r="A2327">
        <f t="shared" si="53"/>
        <v>2326</v>
      </c>
      <c r="B2327" t="str">
        <f t="shared" si="55"/>
        <v>Ahmadi 2018</v>
      </c>
      <c r="C2327">
        <v>423.19</v>
      </c>
      <c r="D2327">
        <v>92.53</v>
      </c>
      <c r="E2327">
        <v>1.4</v>
      </c>
      <c r="G2327">
        <v>8.7899999999999992E-3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 spans="1:20">
      <c r="A2328">
        <f t="shared" si="53"/>
        <v>2327</v>
      </c>
      <c r="B2328" t="str">
        <f t="shared" si="55"/>
        <v>Ahmadi 2018</v>
      </c>
      <c r="C2328">
        <v>423.19</v>
      </c>
      <c r="D2328">
        <v>243.35</v>
      </c>
      <c r="E2328">
        <v>1.4</v>
      </c>
      <c r="G2328">
        <v>1.72E-2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 spans="1:20">
      <c r="A2329">
        <f t="shared" si="53"/>
        <v>2328</v>
      </c>
      <c r="B2329" t="str">
        <f t="shared" si="55"/>
        <v>Ahmadi 2018</v>
      </c>
      <c r="C2329">
        <v>423.19</v>
      </c>
      <c r="D2329">
        <v>369.49</v>
      </c>
      <c r="E2329">
        <v>1.4</v>
      </c>
      <c r="G2329">
        <v>1.9990000000000001E-2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 spans="1:20">
      <c r="A2330">
        <f t="shared" si="53"/>
        <v>2329</v>
      </c>
      <c r="B2330" t="s">
        <v>103</v>
      </c>
      <c r="C2330">
        <v>313.14999999999998</v>
      </c>
      <c r="D2330">
        <v>5</v>
      </c>
      <c r="E2330">
        <v>0</v>
      </c>
      <c r="G2330">
        <v>2.101E-3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>
      <c r="A2331">
        <f t="shared" si="53"/>
        <v>2330</v>
      </c>
      <c r="B2331" t="str">
        <f t="shared" ref="B2331" si="56">B2330</f>
        <v>Wang 2021</v>
      </c>
      <c r="C2331">
        <v>313.14999999999998</v>
      </c>
      <c r="D2331">
        <v>10</v>
      </c>
      <c r="E2331">
        <v>0</v>
      </c>
      <c r="G2331">
        <v>3.9960000000000004E-3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 spans="1:20">
      <c r="A2332">
        <f t="shared" si="53"/>
        <v>2331</v>
      </c>
      <c r="B2332" t="str">
        <f t="shared" ref="B2332:B2395" si="57">B2331</f>
        <v>Wang 2021</v>
      </c>
      <c r="C2332">
        <v>313.14999999999998</v>
      </c>
      <c r="D2332">
        <v>20</v>
      </c>
      <c r="E2332">
        <v>0</v>
      </c>
      <c r="G2332">
        <v>7.5659999999999998E-3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 spans="1:20">
      <c r="A2333">
        <f t="shared" si="53"/>
        <v>2332</v>
      </c>
      <c r="B2333" t="str">
        <f t="shared" si="57"/>
        <v>Wang 2021</v>
      </c>
      <c r="C2333">
        <v>313.14999999999998</v>
      </c>
      <c r="D2333">
        <v>50</v>
      </c>
      <c r="E2333">
        <v>0</v>
      </c>
      <c r="G2333">
        <v>1.6719000000000001E-2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 spans="1:20">
      <c r="A2334">
        <f t="shared" si="53"/>
        <v>2333</v>
      </c>
      <c r="B2334" t="str">
        <f t="shared" si="57"/>
        <v>Wang 2021</v>
      </c>
      <c r="C2334">
        <v>313.14999999999998</v>
      </c>
      <c r="D2334">
        <v>100</v>
      </c>
      <c r="E2334">
        <v>0</v>
      </c>
      <c r="G2334">
        <v>2.1818000000000001E-2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 spans="1:20">
      <c r="A2335">
        <f t="shared" si="53"/>
        <v>2334</v>
      </c>
      <c r="B2335" t="str">
        <f t="shared" si="57"/>
        <v>Wang 2021</v>
      </c>
      <c r="C2335">
        <v>313.14999999999998</v>
      </c>
      <c r="D2335">
        <v>200</v>
      </c>
      <c r="E2335">
        <v>0</v>
      </c>
      <c r="G2335">
        <v>2.4660999999999999E-2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 spans="1:20">
      <c r="A2336">
        <f t="shared" si="53"/>
        <v>2335</v>
      </c>
      <c r="B2336" t="str">
        <f t="shared" si="57"/>
        <v>Wang 2021</v>
      </c>
      <c r="C2336">
        <v>313.14999999999998</v>
      </c>
      <c r="D2336">
        <v>300</v>
      </c>
      <c r="E2336">
        <v>0</v>
      </c>
      <c r="G2336">
        <v>2.6046E-2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 spans="1:20">
      <c r="A2337">
        <f t="shared" si="53"/>
        <v>2336</v>
      </c>
      <c r="B2337" t="str">
        <f t="shared" si="57"/>
        <v>Wang 2021</v>
      </c>
      <c r="C2337">
        <v>313.14999999999998</v>
      </c>
      <c r="D2337">
        <v>400</v>
      </c>
      <c r="E2337">
        <v>0</v>
      </c>
      <c r="G2337">
        <v>2.7879999999999999E-2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 spans="1:20">
      <c r="A2338">
        <f t="shared" si="53"/>
        <v>2337</v>
      </c>
      <c r="B2338" t="str">
        <f t="shared" si="57"/>
        <v>Wang 2021</v>
      </c>
      <c r="C2338">
        <v>313.14999999999998</v>
      </c>
      <c r="D2338">
        <v>500</v>
      </c>
      <c r="E2338">
        <v>0</v>
      </c>
      <c r="G2338">
        <v>2.9793E-2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 spans="1:20">
      <c r="A2339">
        <f t="shared" si="53"/>
        <v>2338</v>
      </c>
      <c r="B2339" t="str">
        <f t="shared" si="57"/>
        <v>Wang 2021</v>
      </c>
      <c r="C2339">
        <v>313.14999999999998</v>
      </c>
      <c r="D2339">
        <v>600</v>
      </c>
      <c r="E2339">
        <v>0</v>
      </c>
      <c r="G2339">
        <v>3.0894000000000001E-2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 spans="1:20">
      <c r="A2340">
        <f t="shared" si="53"/>
        <v>2339</v>
      </c>
      <c r="B2340" t="str">
        <f t="shared" si="57"/>
        <v>Wang 2021</v>
      </c>
      <c r="C2340">
        <v>313.14999999999998</v>
      </c>
      <c r="D2340">
        <v>700</v>
      </c>
      <c r="E2340">
        <v>0</v>
      </c>
      <c r="G2340">
        <v>3.2543999999999997E-2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 spans="1:20">
      <c r="A2341">
        <f t="shared" si="53"/>
        <v>2340</v>
      </c>
      <c r="B2341" t="str">
        <f t="shared" si="57"/>
        <v>Wang 2021</v>
      </c>
      <c r="C2341">
        <v>313.14999999999998</v>
      </c>
      <c r="D2341">
        <v>800</v>
      </c>
      <c r="E2341">
        <v>0</v>
      </c>
      <c r="G2341">
        <v>3.3967999999999998E-2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 spans="1:20">
      <c r="A2342">
        <f t="shared" si="53"/>
        <v>2341</v>
      </c>
      <c r="B2342" t="str">
        <f t="shared" si="57"/>
        <v>Wang 2021</v>
      </c>
      <c r="C2342">
        <v>313.14999999999998</v>
      </c>
      <c r="D2342">
        <v>900</v>
      </c>
      <c r="E2342">
        <v>0</v>
      </c>
      <c r="G2342">
        <v>3.567E-2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 spans="1:20">
      <c r="A2343">
        <f t="shared" si="53"/>
        <v>2342</v>
      </c>
      <c r="B2343" t="str">
        <f t="shared" si="57"/>
        <v>Wang 2021</v>
      </c>
      <c r="C2343">
        <v>313.14999999999998</v>
      </c>
      <c r="D2343">
        <v>1000</v>
      </c>
      <c r="E2343">
        <v>0</v>
      </c>
      <c r="G2343">
        <v>3.6850000000000001E-2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 spans="1:20">
      <c r="A2344">
        <f t="shared" si="53"/>
        <v>2343</v>
      </c>
      <c r="B2344" t="str">
        <f t="shared" si="57"/>
        <v>Wang 2021</v>
      </c>
      <c r="C2344">
        <v>313.14999999999998</v>
      </c>
      <c r="D2344">
        <v>1100</v>
      </c>
      <c r="E2344">
        <v>0</v>
      </c>
      <c r="G2344">
        <v>3.7532999999999997E-2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 spans="1:20">
      <c r="A2345">
        <f t="shared" si="53"/>
        <v>2344</v>
      </c>
      <c r="B2345" t="str">
        <f t="shared" si="57"/>
        <v>Wang 2021</v>
      </c>
      <c r="C2345">
        <v>313.14999999999998</v>
      </c>
      <c r="D2345">
        <v>1200</v>
      </c>
      <c r="E2345">
        <v>0</v>
      </c>
      <c r="G2345">
        <v>3.8702E-2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 spans="1:20">
      <c r="A2346">
        <f t="shared" si="53"/>
        <v>2345</v>
      </c>
      <c r="B2346" t="str">
        <f t="shared" si="57"/>
        <v>Wang 2021</v>
      </c>
      <c r="C2346">
        <v>313.14999999999998</v>
      </c>
      <c r="D2346">
        <v>1300</v>
      </c>
      <c r="E2346">
        <v>0</v>
      </c>
      <c r="G2346">
        <v>3.9738999999999997E-2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 spans="1:20">
      <c r="A2347">
        <f t="shared" si="53"/>
        <v>2346</v>
      </c>
      <c r="B2347" t="str">
        <f t="shared" si="57"/>
        <v>Wang 2021</v>
      </c>
      <c r="C2347">
        <v>313.14999999999998</v>
      </c>
      <c r="D2347">
        <v>1400</v>
      </c>
      <c r="E2347">
        <v>0</v>
      </c>
      <c r="G2347">
        <v>4.0763000000000001E-2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 spans="1:20">
      <c r="A2348">
        <f t="shared" si="53"/>
        <v>2347</v>
      </c>
      <c r="B2348" t="str">
        <f t="shared" si="57"/>
        <v>Wang 2021</v>
      </c>
      <c r="C2348">
        <v>313.14999999999998</v>
      </c>
      <c r="D2348">
        <v>1500</v>
      </c>
      <c r="E2348">
        <v>0</v>
      </c>
      <c r="G2348">
        <v>4.1762000000000001E-2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 spans="1:20">
      <c r="A2349">
        <f t="shared" si="53"/>
        <v>2348</v>
      </c>
      <c r="B2349" t="str">
        <f t="shared" si="57"/>
        <v>Wang 2021</v>
      </c>
      <c r="C2349">
        <v>313.14999999999998</v>
      </c>
      <c r="D2349">
        <v>1600</v>
      </c>
      <c r="E2349">
        <v>0</v>
      </c>
      <c r="G2349">
        <v>4.2743000000000003E-2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 spans="1:20">
      <c r="A2350">
        <f t="shared" si="53"/>
        <v>2349</v>
      </c>
      <c r="B2350" t="str">
        <f t="shared" si="57"/>
        <v>Wang 2021</v>
      </c>
      <c r="C2350">
        <v>313.14999999999998</v>
      </c>
      <c r="D2350">
        <v>1700</v>
      </c>
      <c r="E2350">
        <v>0</v>
      </c>
      <c r="G2350">
        <v>4.3711E-2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 spans="1:20">
      <c r="A2351">
        <f t="shared" si="53"/>
        <v>2350</v>
      </c>
      <c r="B2351" t="str">
        <f t="shared" si="57"/>
        <v>Wang 2021</v>
      </c>
      <c r="C2351">
        <v>313.14999999999998</v>
      </c>
      <c r="D2351">
        <v>1800</v>
      </c>
      <c r="E2351">
        <v>0</v>
      </c>
      <c r="G2351">
        <v>4.4489000000000001E-2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 spans="1:20">
      <c r="A2352">
        <f t="shared" si="53"/>
        <v>2351</v>
      </c>
      <c r="B2352" t="str">
        <f t="shared" si="57"/>
        <v>Wang 2021</v>
      </c>
      <c r="C2352">
        <v>313.14999999999998</v>
      </c>
      <c r="D2352">
        <v>1900</v>
      </c>
      <c r="E2352">
        <v>0</v>
      </c>
      <c r="G2352">
        <v>4.5189E-2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 spans="1:20">
      <c r="A2353">
        <f t="shared" si="53"/>
        <v>2352</v>
      </c>
      <c r="B2353" t="str">
        <f t="shared" si="57"/>
        <v>Wang 2021</v>
      </c>
      <c r="C2353">
        <v>313.14999999999998</v>
      </c>
      <c r="D2353">
        <v>2000</v>
      </c>
      <c r="E2353">
        <v>0</v>
      </c>
      <c r="G2353">
        <v>4.5932000000000001E-2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 spans="1:20">
      <c r="A2354">
        <f t="shared" si="53"/>
        <v>2353</v>
      </c>
      <c r="B2354" t="str">
        <f t="shared" si="57"/>
        <v>Wang 2021</v>
      </c>
      <c r="C2354">
        <v>333.15</v>
      </c>
      <c r="D2354">
        <v>5</v>
      </c>
      <c r="E2354">
        <v>0</v>
      </c>
      <c r="G2354">
        <v>1.382E-3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>
      <c r="A2355">
        <f t="shared" si="53"/>
        <v>2354</v>
      </c>
      <c r="B2355" t="str">
        <f t="shared" si="57"/>
        <v>Wang 2021</v>
      </c>
      <c r="C2355">
        <v>333.15</v>
      </c>
      <c r="D2355">
        <v>10</v>
      </c>
      <c r="E2355">
        <v>0</v>
      </c>
      <c r="G2355">
        <v>2.9220000000000001E-3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>
      <c r="A2356">
        <f t="shared" si="53"/>
        <v>2355</v>
      </c>
      <c r="B2356" t="str">
        <f t="shared" si="57"/>
        <v>Wang 2021</v>
      </c>
      <c r="C2356">
        <v>333.15</v>
      </c>
      <c r="D2356">
        <v>20</v>
      </c>
      <c r="E2356">
        <v>0</v>
      </c>
      <c r="G2356">
        <v>5.9239999999999996E-3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 spans="1:20">
      <c r="A2357">
        <f t="shared" si="53"/>
        <v>2356</v>
      </c>
      <c r="B2357" t="str">
        <f t="shared" si="57"/>
        <v>Wang 2021</v>
      </c>
      <c r="C2357">
        <v>333.15</v>
      </c>
      <c r="D2357">
        <v>50</v>
      </c>
      <c r="E2357">
        <v>0</v>
      </c>
      <c r="G2357">
        <v>1.1923E-2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>
      <c r="A2358">
        <f t="shared" si="53"/>
        <v>2357</v>
      </c>
      <c r="B2358" t="str">
        <f t="shared" si="57"/>
        <v>Wang 2021</v>
      </c>
      <c r="C2358">
        <v>333.15</v>
      </c>
      <c r="D2358">
        <v>100</v>
      </c>
      <c r="E2358">
        <v>0</v>
      </c>
      <c r="G2358">
        <v>1.882E-2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>
      <c r="A2359">
        <f t="shared" si="53"/>
        <v>2358</v>
      </c>
      <c r="B2359" t="str">
        <f t="shared" si="57"/>
        <v>Wang 2021</v>
      </c>
      <c r="C2359">
        <v>333.15</v>
      </c>
      <c r="D2359">
        <v>200</v>
      </c>
      <c r="E2359">
        <v>0</v>
      </c>
      <c r="G2359">
        <v>2.2456E-2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 spans="1:20">
      <c r="A2360">
        <f t="shared" si="53"/>
        <v>2359</v>
      </c>
      <c r="B2360" t="str">
        <f t="shared" si="57"/>
        <v>Wang 2021</v>
      </c>
      <c r="C2360">
        <v>333.15</v>
      </c>
      <c r="D2360">
        <v>300</v>
      </c>
      <c r="E2360">
        <v>0</v>
      </c>
      <c r="G2360">
        <v>2.4379000000000001E-2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>
      <c r="A2361">
        <f t="shared" si="53"/>
        <v>2360</v>
      </c>
      <c r="B2361" t="str">
        <f t="shared" si="57"/>
        <v>Wang 2021</v>
      </c>
      <c r="C2361">
        <v>333.15</v>
      </c>
      <c r="D2361">
        <v>400</v>
      </c>
      <c r="E2361">
        <v>0</v>
      </c>
      <c r="G2361">
        <v>2.6169000000000001E-2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 spans="1:20">
      <c r="A2362">
        <f t="shared" si="53"/>
        <v>2361</v>
      </c>
      <c r="B2362" t="str">
        <f t="shared" si="57"/>
        <v>Wang 2021</v>
      </c>
      <c r="C2362">
        <v>333.15</v>
      </c>
      <c r="D2362">
        <v>500</v>
      </c>
      <c r="E2362">
        <v>0</v>
      </c>
      <c r="G2362">
        <v>2.7907000000000001E-2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 spans="1:20">
      <c r="A2363">
        <f t="shared" si="53"/>
        <v>2362</v>
      </c>
      <c r="B2363" t="str">
        <f t="shared" si="57"/>
        <v>Wang 2021</v>
      </c>
      <c r="C2363">
        <v>333.15</v>
      </c>
      <c r="D2363">
        <v>600</v>
      </c>
      <c r="E2363">
        <v>0</v>
      </c>
      <c r="G2363">
        <v>3.0388999999999999E-2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 spans="1:20">
      <c r="A2364">
        <f t="shared" si="53"/>
        <v>2363</v>
      </c>
      <c r="B2364" t="str">
        <f t="shared" si="57"/>
        <v>Wang 2021</v>
      </c>
      <c r="C2364">
        <v>333.15</v>
      </c>
      <c r="D2364">
        <v>700</v>
      </c>
      <c r="E2364">
        <v>0</v>
      </c>
      <c r="G2364">
        <v>3.1794000000000003E-2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 spans="1:20">
      <c r="A2365">
        <f t="shared" si="53"/>
        <v>2364</v>
      </c>
      <c r="B2365" t="str">
        <f t="shared" si="57"/>
        <v>Wang 2021</v>
      </c>
      <c r="C2365">
        <v>333.15</v>
      </c>
      <c r="D2365">
        <v>800</v>
      </c>
      <c r="E2365">
        <v>0</v>
      </c>
      <c r="G2365">
        <v>3.2933999999999998E-2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>
      <c r="A2366">
        <f t="shared" si="53"/>
        <v>2365</v>
      </c>
      <c r="B2366" t="str">
        <f t="shared" si="57"/>
        <v>Wang 2021</v>
      </c>
      <c r="C2366">
        <v>333.15</v>
      </c>
      <c r="D2366">
        <v>900</v>
      </c>
      <c r="E2366">
        <v>0</v>
      </c>
      <c r="G2366">
        <v>3.4132999999999997E-2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 spans="1:20">
      <c r="A2367">
        <f t="shared" si="53"/>
        <v>2366</v>
      </c>
      <c r="B2367" t="str">
        <f t="shared" si="57"/>
        <v>Wang 2021</v>
      </c>
      <c r="C2367">
        <v>333.15</v>
      </c>
      <c r="D2367">
        <v>1000</v>
      </c>
      <c r="E2367">
        <v>0</v>
      </c>
      <c r="G2367">
        <v>3.5229999999999997E-2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 spans="1:20">
      <c r="A2368">
        <f t="shared" si="53"/>
        <v>2367</v>
      </c>
      <c r="B2368" t="str">
        <f t="shared" si="57"/>
        <v>Wang 2021</v>
      </c>
      <c r="C2368">
        <v>333.15</v>
      </c>
      <c r="D2368">
        <v>1100</v>
      </c>
      <c r="E2368">
        <v>0</v>
      </c>
      <c r="G2368">
        <v>3.6325999999999997E-2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 spans="1:20">
      <c r="A2369">
        <f t="shared" si="53"/>
        <v>2368</v>
      </c>
      <c r="B2369" t="str">
        <f t="shared" si="57"/>
        <v>Wang 2021</v>
      </c>
      <c r="C2369">
        <v>333.15</v>
      </c>
      <c r="D2369">
        <v>1200</v>
      </c>
      <c r="E2369">
        <v>0</v>
      </c>
      <c r="G2369">
        <v>3.7421999999999997E-2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 spans="1:20">
      <c r="A2370">
        <f t="shared" si="53"/>
        <v>2369</v>
      </c>
      <c r="B2370" t="str">
        <f t="shared" si="57"/>
        <v>Wang 2021</v>
      </c>
      <c r="C2370">
        <v>333.15</v>
      </c>
      <c r="D2370">
        <v>1300</v>
      </c>
      <c r="E2370">
        <v>0</v>
      </c>
      <c r="G2370">
        <v>3.5039000000000001E-2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 spans="1:20">
      <c r="A2371">
        <f t="shared" si="53"/>
        <v>2370</v>
      </c>
      <c r="B2371" t="str">
        <f t="shared" si="57"/>
        <v>Wang 2021</v>
      </c>
      <c r="C2371">
        <v>333.15</v>
      </c>
      <c r="D2371">
        <v>1400</v>
      </c>
      <c r="E2371">
        <v>0</v>
      </c>
      <c r="G2371">
        <v>3.9044000000000002E-2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 spans="1:20">
      <c r="A2372">
        <f t="shared" ref="A2372:A2435" si="58">A2371+1</f>
        <v>2371</v>
      </c>
      <c r="B2372" t="str">
        <f t="shared" si="57"/>
        <v>Wang 2021</v>
      </c>
      <c r="C2372">
        <v>333.15</v>
      </c>
      <c r="D2372">
        <v>1500</v>
      </c>
      <c r="E2372">
        <v>0</v>
      </c>
      <c r="G2372">
        <v>4.0041E-2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 spans="1:20">
      <c r="A2373">
        <f t="shared" si="58"/>
        <v>2372</v>
      </c>
      <c r="B2373" t="str">
        <f t="shared" si="57"/>
        <v>Wang 2021</v>
      </c>
      <c r="C2373">
        <v>333.15</v>
      </c>
      <c r="D2373">
        <v>1600</v>
      </c>
      <c r="E2373">
        <v>0</v>
      </c>
      <c r="G2373">
        <v>4.0552999999999999E-2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 spans="1:20">
      <c r="A2374">
        <f t="shared" si="58"/>
        <v>2373</v>
      </c>
      <c r="B2374" t="str">
        <f t="shared" si="57"/>
        <v>Wang 2021</v>
      </c>
      <c r="C2374">
        <v>333.15</v>
      </c>
      <c r="D2374">
        <v>1700</v>
      </c>
      <c r="E2374">
        <v>0</v>
      </c>
      <c r="G2374">
        <v>4.1321999999999998E-2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 spans="1:20">
      <c r="A2375">
        <f t="shared" si="58"/>
        <v>2374</v>
      </c>
      <c r="B2375" t="str">
        <f t="shared" si="57"/>
        <v>Wang 2021</v>
      </c>
      <c r="C2375">
        <v>333.15</v>
      </c>
      <c r="D2375">
        <v>1800</v>
      </c>
      <c r="E2375">
        <v>0</v>
      </c>
      <c r="G2375">
        <v>4.2035999999999997E-2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 spans="1:20">
      <c r="A2376">
        <f t="shared" si="58"/>
        <v>2375</v>
      </c>
      <c r="B2376" t="str">
        <f t="shared" si="57"/>
        <v>Wang 2021</v>
      </c>
      <c r="C2376">
        <v>333.15</v>
      </c>
      <c r="D2376">
        <v>1900</v>
      </c>
      <c r="E2376">
        <v>0</v>
      </c>
      <c r="G2376">
        <v>4.2643E-2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 spans="1:20">
      <c r="A2377">
        <f t="shared" si="58"/>
        <v>2376</v>
      </c>
      <c r="B2377" t="str">
        <f t="shared" si="57"/>
        <v>Wang 2021</v>
      </c>
      <c r="C2377">
        <v>333.15</v>
      </c>
      <c r="D2377">
        <v>2000</v>
      </c>
      <c r="E2377">
        <v>0</v>
      </c>
      <c r="G2377">
        <v>4.3418999999999999E-2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 spans="1:20">
      <c r="A2378">
        <f t="shared" si="58"/>
        <v>2377</v>
      </c>
      <c r="B2378" t="str">
        <f t="shared" si="57"/>
        <v>Wang 2021</v>
      </c>
      <c r="C2378">
        <v>353.15</v>
      </c>
      <c r="D2378">
        <v>5</v>
      </c>
      <c r="E2378">
        <v>0</v>
      </c>
      <c r="G2378">
        <v>8.6600000000000002E-4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>
      <c r="A2379">
        <f t="shared" si="58"/>
        <v>2378</v>
      </c>
      <c r="B2379" t="str">
        <f t="shared" si="57"/>
        <v>Wang 2021</v>
      </c>
      <c r="C2379">
        <v>353.15</v>
      </c>
      <c r="D2379">
        <v>10</v>
      </c>
      <c r="E2379">
        <v>0</v>
      </c>
      <c r="G2379">
        <v>2.0630000000000002E-3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>
      <c r="A2380">
        <f t="shared" si="58"/>
        <v>2379</v>
      </c>
      <c r="B2380" t="str">
        <f t="shared" si="57"/>
        <v>Wang 2021</v>
      </c>
      <c r="C2380">
        <v>353.15</v>
      </c>
      <c r="D2380">
        <v>20</v>
      </c>
      <c r="E2380">
        <v>0</v>
      </c>
      <c r="G2380">
        <v>4.5300000000000002E-3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0">
      <c r="A2381">
        <f t="shared" si="58"/>
        <v>2380</v>
      </c>
      <c r="B2381" t="str">
        <f t="shared" si="57"/>
        <v>Wang 2021</v>
      </c>
      <c r="C2381">
        <v>353.15</v>
      </c>
      <c r="D2381">
        <v>50</v>
      </c>
      <c r="E2381">
        <v>0</v>
      </c>
      <c r="G2381">
        <v>9.8750000000000001E-3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0">
      <c r="A2382">
        <f t="shared" si="58"/>
        <v>2381</v>
      </c>
      <c r="B2382" t="str">
        <f t="shared" si="57"/>
        <v>Wang 2021</v>
      </c>
      <c r="C2382">
        <v>353.15</v>
      </c>
      <c r="D2382">
        <v>100</v>
      </c>
      <c r="E2382">
        <v>0</v>
      </c>
      <c r="G2382">
        <v>1.5997999999999998E-2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 spans="1:20">
      <c r="A2383">
        <f t="shared" si="58"/>
        <v>2382</v>
      </c>
      <c r="B2383" t="str">
        <f t="shared" si="57"/>
        <v>Wang 2021</v>
      </c>
      <c r="C2383">
        <v>353.15</v>
      </c>
      <c r="D2383">
        <v>200</v>
      </c>
      <c r="E2383">
        <v>0</v>
      </c>
      <c r="G2383">
        <v>2.1226999999999999E-2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0">
      <c r="A2384">
        <f t="shared" si="58"/>
        <v>2383</v>
      </c>
      <c r="B2384" t="str">
        <f t="shared" si="57"/>
        <v>Wang 2021</v>
      </c>
      <c r="C2384">
        <v>353.15</v>
      </c>
      <c r="D2384">
        <v>300</v>
      </c>
      <c r="E2384">
        <v>0</v>
      </c>
      <c r="G2384">
        <v>2.3290000000000002E-2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 spans="1:20">
      <c r="A2385">
        <f t="shared" si="58"/>
        <v>2384</v>
      </c>
      <c r="B2385" t="str">
        <f t="shared" si="57"/>
        <v>Wang 2021</v>
      </c>
      <c r="C2385">
        <v>353.15</v>
      </c>
      <c r="D2385">
        <v>400</v>
      </c>
      <c r="E2385">
        <v>0</v>
      </c>
      <c r="G2385">
        <v>2.5392000000000001E-2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 spans="1:20">
      <c r="A2386">
        <f t="shared" si="58"/>
        <v>2385</v>
      </c>
      <c r="B2386" t="str">
        <f t="shared" si="57"/>
        <v>Wang 2021</v>
      </c>
      <c r="C2386">
        <v>353.15</v>
      </c>
      <c r="D2386">
        <v>500</v>
      </c>
      <c r="E2386">
        <v>0</v>
      </c>
      <c r="G2386">
        <v>2.7262000000000002E-2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 spans="1:20">
      <c r="A2387">
        <f t="shared" si="58"/>
        <v>2386</v>
      </c>
      <c r="B2387" t="str">
        <f t="shared" si="57"/>
        <v>Wang 2021</v>
      </c>
      <c r="C2387">
        <v>353.15</v>
      </c>
      <c r="D2387">
        <v>600</v>
      </c>
      <c r="E2387">
        <v>0</v>
      </c>
      <c r="G2387">
        <v>2.9142999999999999E-2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 spans="1:20">
      <c r="A2388">
        <f t="shared" si="58"/>
        <v>2387</v>
      </c>
      <c r="B2388" t="str">
        <f t="shared" si="57"/>
        <v>Wang 2021</v>
      </c>
      <c r="C2388">
        <v>353.15</v>
      </c>
      <c r="D2388">
        <v>700</v>
      </c>
      <c r="E2388">
        <v>0</v>
      </c>
      <c r="G2388">
        <v>3.0914000000000001E-2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 spans="1:20">
      <c r="A2389">
        <f t="shared" si="58"/>
        <v>2388</v>
      </c>
      <c r="B2389" t="str">
        <f t="shared" si="57"/>
        <v>Wang 2021</v>
      </c>
      <c r="C2389">
        <v>353.15</v>
      </c>
      <c r="D2389">
        <v>800</v>
      </c>
      <c r="E2389">
        <v>0</v>
      </c>
      <c r="G2389">
        <v>3.2660000000000002E-2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>
      <c r="A2390">
        <f t="shared" si="58"/>
        <v>2389</v>
      </c>
      <c r="B2390" t="str">
        <f t="shared" si="57"/>
        <v>Wang 2021</v>
      </c>
      <c r="C2390">
        <v>353.15</v>
      </c>
      <c r="D2390">
        <v>900</v>
      </c>
      <c r="E2390">
        <v>0</v>
      </c>
      <c r="G2390">
        <v>3.4112000000000003E-2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 spans="1:20">
      <c r="A2391">
        <f t="shared" si="58"/>
        <v>2390</v>
      </c>
      <c r="B2391" t="str">
        <f t="shared" si="57"/>
        <v>Wang 2021</v>
      </c>
      <c r="C2391">
        <v>353.15</v>
      </c>
      <c r="D2391">
        <v>1000</v>
      </c>
      <c r="E2391">
        <v>0</v>
      </c>
      <c r="G2391">
        <v>3.5333000000000003E-2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 spans="1:20">
      <c r="A2392">
        <f t="shared" si="58"/>
        <v>2391</v>
      </c>
      <c r="B2392" t="str">
        <f t="shared" si="57"/>
        <v>Wang 2021</v>
      </c>
      <c r="C2392">
        <v>353.15</v>
      </c>
      <c r="D2392">
        <v>1100</v>
      </c>
      <c r="E2392">
        <v>0</v>
      </c>
      <c r="G2392">
        <v>3.6445999999999999E-2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 spans="1:20">
      <c r="A2393">
        <f t="shared" si="58"/>
        <v>2392</v>
      </c>
      <c r="B2393" t="str">
        <f t="shared" si="57"/>
        <v>Wang 2021</v>
      </c>
      <c r="C2393">
        <v>353.15</v>
      </c>
      <c r="D2393">
        <v>1200</v>
      </c>
      <c r="E2393">
        <v>0</v>
      </c>
      <c r="G2393">
        <v>3.7468000000000001E-2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 spans="1:20">
      <c r="A2394">
        <f t="shared" si="58"/>
        <v>2393</v>
      </c>
      <c r="B2394" t="str">
        <f t="shared" si="57"/>
        <v>Wang 2021</v>
      </c>
      <c r="C2394">
        <v>353.15</v>
      </c>
      <c r="D2394">
        <v>1300</v>
      </c>
      <c r="E2394">
        <v>0</v>
      </c>
      <c r="G2394">
        <v>3.8397000000000001E-2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 spans="1:20">
      <c r="A2395">
        <f t="shared" si="58"/>
        <v>2394</v>
      </c>
      <c r="B2395" t="str">
        <f t="shared" si="57"/>
        <v>Wang 2021</v>
      </c>
      <c r="C2395">
        <v>353.15</v>
      </c>
      <c r="D2395">
        <v>1400</v>
      </c>
      <c r="E2395">
        <v>0</v>
      </c>
      <c r="G2395">
        <v>4.7018999999999998E-2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 spans="1:20">
      <c r="A2396">
        <f t="shared" si="58"/>
        <v>2395</v>
      </c>
      <c r="B2396" t="str">
        <f t="shared" ref="B2396:B2459" si="59">B2395</f>
        <v>Wang 2021</v>
      </c>
      <c r="C2396">
        <v>353.15</v>
      </c>
      <c r="D2396">
        <v>1500</v>
      </c>
      <c r="E2396">
        <v>0</v>
      </c>
      <c r="G2396">
        <v>4.0205999999999999E-2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 spans="1:20">
      <c r="A2397">
        <f t="shared" si="58"/>
        <v>2396</v>
      </c>
      <c r="B2397" t="str">
        <f t="shared" si="59"/>
        <v>Wang 2021</v>
      </c>
      <c r="C2397">
        <v>353.15</v>
      </c>
      <c r="D2397">
        <v>1600</v>
      </c>
      <c r="E2397">
        <v>0</v>
      </c>
      <c r="G2397">
        <v>4.1065999999999998E-2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 spans="1:20">
      <c r="A2398">
        <f t="shared" si="58"/>
        <v>2397</v>
      </c>
      <c r="B2398" t="str">
        <f t="shared" si="59"/>
        <v>Wang 2021</v>
      </c>
      <c r="C2398">
        <v>353.15</v>
      </c>
      <c r="D2398">
        <v>1700</v>
      </c>
      <c r="E2398">
        <v>0</v>
      </c>
      <c r="G2398">
        <v>4.1889999999999997E-2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 spans="1:20">
      <c r="A2399">
        <f t="shared" si="58"/>
        <v>2398</v>
      </c>
      <c r="B2399" t="str">
        <f t="shared" si="59"/>
        <v>Wang 2021</v>
      </c>
      <c r="C2399">
        <v>353.15</v>
      </c>
      <c r="D2399">
        <v>1800</v>
      </c>
      <c r="E2399">
        <v>0</v>
      </c>
      <c r="G2399">
        <v>4.2687000000000003E-2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 spans="1:20">
      <c r="A2400">
        <f t="shared" si="58"/>
        <v>2399</v>
      </c>
      <c r="B2400" t="str">
        <f t="shared" si="59"/>
        <v>Wang 2021</v>
      </c>
      <c r="C2400">
        <v>353.15</v>
      </c>
      <c r="D2400">
        <v>1900</v>
      </c>
      <c r="E2400">
        <v>0</v>
      </c>
      <c r="G2400">
        <v>4.3456000000000002E-2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 spans="1:20">
      <c r="A2401">
        <f t="shared" si="58"/>
        <v>2400</v>
      </c>
      <c r="B2401" t="str">
        <f t="shared" si="59"/>
        <v>Wang 2021</v>
      </c>
      <c r="C2401">
        <v>353.15</v>
      </c>
      <c r="D2401">
        <v>2000</v>
      </c>
      <c r="E2401">
        <v>0</v>
      </c>
      <c r="G2401">
        <v>4.4178000000000002E-2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 spans="1:20">
      <c r="A2402">
        <f t="shared" si="58"/>
        <v>2401</v>
      </c>
      <c r="B2402" t="str">
        <f t="shared" si="59"/>
        <v>Wang 2021</v>
      </c>
      <c r="C2402">
        <v>363.15</v>
      </c>
      <c r="D2402">
        <v>5</v>
      </c>
      <c r="E2402">
        <v>0</v>
      </c>
      <c r="G2402">
        <v>6.8400000000000004E-4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>
      <c r="A2403">
        <f t="shared" si="58"/>
        <v>2402</v>
      </c>
      <c r="B2403" t="str">
        <f t="shared" si="59"/>
        <v>Wang 2021</v>
      </c>
      <c r="C2403">
        <v>363.15</v>
      </c>
      <c r="D2403">
        <v>10</v>
      </c>
      <c r="E2403">
        <v>0</v>
      </c>
      <c r="G2403">
        <v>1.7160000000000001E-3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>
      <c r="A2404">
        <f t="shared" si="58"/>
        <v>2403</v>
      </c>
      <c r="B2404" t="str">
        <f t="shared" si="59"/>
        <v>Wang 2021</v>
      </c>
      <c r="C2404">
        <v>363.15</v>
      </c>
      <c r="D2404">
        <v>20</v>
      </c>
      <c r="E2404">
        <v>0</v>
      </c>
      <c r="G2404">
        <v>3.9290000000000002E-3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>
      <c r="A2405">
        <f t="shared" si="58"/>
        <v>2404</v>
      </c>
      <c r="B2405" t="str">
        <f t="shared" si="59"/>
        <v>Wang 2021</v>
      </c>
      <c r="C2405">
        <v>363.15</v>
      </c>
      <c r="D2405">
        <v>50</v>
      </c>
      <c r="E2405">
        <v>0</v>
      </c>
      <c r="G2405">
        <v>8.8459999999999997E-3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>
      <c r="A2406">
        <f t="shared" si="58"/>
        <v>2405</v>
      </c>
      <c r="B2406" t="str">
        <f t="shared" si="59"/>
        <v>Wang 2021</v>
      </c>
      <c r="C2406">
        <v>363.15</v>
      </c>
      <c r="D2406">
        <v>100</v>
      </c>
      <c r="E2406">
        <v>0</v>
      </c>
      <c r="G2406">
        <v>1.5292999999999999E-2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>
      <c r="A2407">
        <f t="shared" si="58"/>
        <v>2406</v>
      </c>
      <c r="B2407" t="str">
        <f t="shared" si="59"/>
        <v>Wang 2021</v>
      </c>
      <c r="C2407">
        <v>363.15</v>
      </c>
      <c r="D2407">
        <v>200</v>
      </c>
      <c r="E2407">
        <v>0</v>
      </c>
      <c r="G2407">
        <v>2.0993999999999999E-2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 spans="1:20">
      <c r="A2408">
        <f t="shared" si="58"/>
        <v>2407</v>
      </c>
      <c r="B2408" t="str">
        <f t="shared" si="59"/>
        <v>Wang 2021</v>
      </c>
      <c r="C2408">
        <v>363.15</v>
      </c>
      <c r="D2408">
        <v>300</v>
      </c>
      <c r="E2408">
        <v>0</v>
      </c>
      <c r="G2408">
        <v>2.3581999999999999E-2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 spans="1:20">
      <c r="A2409">
        <f t="shared" si="58"/>
        <v>2408</v>
      </c>
      <c r="B2409" t="str">
        <f t="shared" si="59"/>
        <v>Wang 2021</v>
      </c>
      <c r="C2409">
        <v>363.15</v>
      </c>
      <c r="D2409">
        <v>400</v>
      </c>
      <c r="E2409">
        <v>0</v>
      </c>
      <c r="G2409">
        <v>2.5797E-2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>
      <c r="A2410">
        <f t="shared" si="58"/>
        <v>2409</v>
      </c>
      <c r="B2410" t="str">
        <f t="shared" si="59"/>
        <v>Wang 2021</v>
      </c>
      <c r="C2410">
        <v>363.15</v>
      </c>
      <c r="D2410">
        <v>500</v>
      </c>
      <c r="E2410">
        <v>0</v>
      </c>
      <c r="G2410">
        <v>2.7439999999999999E-2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 spans="1:20">
      <c r="A2411">
        <f t="shared" si="58"/>
        <v>2410</v>
      </c>
      <c r="B2411" t="str">
        <f t="shared" si="59"/>
        <v>Wang 2021</v>
      </c>
      <c r="C2411">
        <v>363.15</v>
      </c>
      <c r="D2411">
        <v>600</v>
      </c>
      <c r="E2411">
        <v>0</v>
      </c>
      <c r="G2411">
        <v>2.9694999999999999E-2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 spans="1:20">
      <c r="A2412">
        <f t="shared" si="58"/>
        <v>2411</v>
      </c>
      <c r="B2412" t="str">
        <f t="shared" si="59"/>
        <v>Wang 2021</v>
      </c>
      <c r="C2412">
        <v>363.15</v>
      </c>
      <c r="D2412">
        <v>700</v>
      </c>
      <c r="E2412">
        <v>0</v>
      </c>
      <c r="G2412">
        <v>3.1379999999999998E-2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 spans="1:20">
      <c r="A2413">
        <f t="shared" si="58"/>
        <v>2412</v>
      </c>
      <c r="B2413" t="str">
        <f t="shared" si="59"/>
        <v>Wang 2021</v>
      </c>
      <c r="C2413">
        <v>363.15</v>
      </c>
      <c r="D2413">
        <v>800</v>
      </c>
      <c r="E2413">
        <v>0</v>
      </c>
      <c r="G2413">
        <v>3.3029999999999997E-2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 spans="1:20">
      <c r="A2414">
        <f t="shared" si="58"/>
        <v>2413</v>
      </c>
      <c r="B2414" t="str">
        <f t="shared" si="59"/>
        <v>Wang 2021</v>
      </c>
      <c r="C2414">
        <v>363.15</v>
      </c>
      <c r="D2414">
        <v>900</v>
      </c>
      <c r="E2414">
        <v>0</v>
      </c>
      <c r="G2414">
        <v>3.4563999999999998E-2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 spans="1:20">
      <c r="A2415">
        <f t="shared" si="58"/>
        <v>2414</v>
      </c>
      <c r="B2415" t="str">
        <f t="shared" si="59"/>
        <v>Wang 2021</v>
      </c>
      <c r="C2415">
        <v>363.15</v>
      </c>
      <c r="D2415">
        <v>1000</v>
      </c>
      <c r="E2415">
        <v>0</v>
      </c>
      <c r="G2415">
        <v>3.5933E-2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>
      <c r="A2416">
        <f t="shared" si="58"/>
        <v>2415</v>
      </c>
      <c r="B2416" t="str">
        <f t="shared" si="59"/>
        <v>Wang 2021</v>
      </c>
      <c r="C2416">
        <v>363.15</v>
      </c>
      <c r="D2416">
        <v>1100</v>
      </c>
      <c r="E2416">
        <v>0</v>
      </c>
      <c r="G2416">
        <v>3.7158999999999998E-2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 spans="1:20">
      <c r="A2417">
        <f t="shared" si="58"/>
        <v>2416</v>
      </c>
      <c r="B2417" t="str">
        <f t="shared" si="59"/>
        <v>Wang 2021</v>
      </c>
      <c r="C2417">
        <v>363.15</v>
      </c>
      <c r="D2417">
        <v>1200</v>
      </c>
      <c r="E2417">
        <v>0</v>
      </c>
      <c r="G2417">
        <v>3.6464000000000003E-2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 spans="1:20">
      <c r="A2418">
        <f t="shared" si="58"/>
        <v>2417</v>
      </c>
      <c r="B2418" t="str">
        <f t="shared" si="59"/>
        <v>Wang 2021</v>
      </c>
      <c r="C2418">
        <v>363.15</v>
      </c>
      <c r="D2418">
        <v>1300</v>
      </c>
      <c r="E2418">
        <v>0</v>
      </c>
      <c r="G2418">
        <v>3.9333E-2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 spans="1:20">
      <c r="A2419">
        <f t="shared" si="58"/>
        <v>2418</v>
      </c>
      <c r="B2419" t="str">
        <f t="shared" si="59"/>
        <v>Wang 2021</v>
      </c>
      <c r="C2419">
        <v>363.15</v>
      </c>
      <c r="D2419">
        <v>1400</v>
      </c>
      <c r="E2419">
        <v>0</v>
      </c>
      <c r="G2419">
        <v>4.0332E-2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 spans="1:20">
      <c r="A2420">
        <f t="shared" si="58"/>
        <v>2419</v>
      </c>
      <c r="B2420" t="str">
        <f t="shared" si="59"/>
        <v>Wang 2021</v>
      </c>
      <c r="C2420">
        <v>363.15</v>
      </c>
      <c r="D2420">
        <v>1500</v>
      </c>
      <c r="E2420">
        <v>0</v>
      </c>
      <c r="G2420">
        <v>4.1298000000000001E-2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 spans="1:20">
      <c r="A2421">
        <f t="shared" si="58"/>
        <v>2420</v>
      </c>
      <c r="B2421" t="str">
        <f t="shared" si="59"/>
        <v>Wang 2021</v>
      </c>
      <c r="C2421">
        <v>363.15</v>
      </c>
      <c r="D2421">
        <v>1600</v>
      </c>
      <c r="E2421">
        <v>0</v>
      </c>
      <c r="G2421">
        <v>4.2209000000000003E-2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</row>
    <row r="2422" spans="1:20">
      <c r="A2422">
        <f t="shared" si="58"/>
        <v>2421</v>
      </c>
      <c r="B2422" t="str">
        <f t="shared" si="59"/>
        <v>Wang 2021</v>
      </c>
      <c r="C2422">
        <v>363.15</v>
      </c>
      <c r="D2422">
        <v>1700</v>
      </c>
      <c r="E2422">
        <v>0</v>
      </c>
      <c r="G2422">
        <v>4.3112999999999999E-2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 spans="1:20">
      <c r="A2423">
        <f t="shared" si="58"/>
        <v>2422</v>
      </c>
      <c r="B2423" t="str">
        <f t="shared" si="59"/>
        <v>Wang 2021</v>
      </c>
      <c r="C2423">
        <v>363.15</v>
      </c>
      <c r="D2423">
        <v>1800</v>
      </c>
      <c r="E2423">
        <v>0</v>
      </c>
      <c r="G2423">
        <v>4.3948000000000001E-2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 spans="1:20">
      <c r="A2424">
        <f t="shared" si="58"/>
        <v>2423</v>
      </c>
      <c r="B2424" t="str">
        <f t="shared" si="59"/>
        <v>Wang 2021</v>
      </c>
      <c r="C2424">
        <v>363.15</v>
      </c>
      <c r="D2424">
        <v>1900</v>
      </c>
      <c r="E2424">
        <v>0</v>
      </c>
      <c r="G2424">
        <v>4.4721999999999998E-2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</row>
    <row r="2425" spans="1:20">
      <c r="A2425">
        <f t="shared" si="58"/>
        <v>2424</v>
      </c>
      <c r="B2425" t="str">
        <f t="shared" si="59"/>
        <v>Wang 2021</v>
      </c>
      <c r="C2425">
        <v>363.15</v>
      </c>
      <c r="D2425">
        <v>2000</v>
      </c>
      <c r="E2425">
        <v>0</v>
      </c>
      <c r="G2425">
        <v>4.5464999999999998E-2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 spans="1:20">
      <c r="A2426">
        <f t="shared" si="58"/>
        <v>2425</v>
      </c>
      <c r="B2426" t="str">
        <f t="shared" si="59"/>
        <v>Wang 2021</v>
      </c>
      <c r="C2426">
        <v>373.15</v>
      </c>
      <c r="D2426">
        <v>5</v>
      </c>
      <c r="E2426">
        <v>0</v>
      </c>
      <c r="G2426">
        <v>5.53E-4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>
      <c r="A2427">
        <f t="shared" si="58"/>
        <v>2426</v>
      </c>
      <c r="B2427" t="str">
        <f t="shared" si="59"/>
        <v>Wang 2021</v>
      </c>
      <c r="C2427">
        <v>373.15</v>
      </c>
      <c r="D2427">
        <v>10</v>
      </c>
      <c r="E2427">
        <v>0</v>
      </c>
      <c r="G2427">
        <v>1.426E-3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>
      <c r="A2428">
        <f t="shared" si="58"/>
        <v>2427</v>
      </c>
      <c r="B2428" t="str">
        <f t="shared" si="59"/>
        <v>Wang 2021</v>
      </c>
      <c r="C2428">
        <v>373.15</v>
      </c>
      <c r="D2428">
        <v>20</v>
      </c>
      <c r="E2428">
        <v>0</v>
      </c>
      <c r="G2428">
        <v>3.392E-3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>
      <c r="A2429">
        <f t="shared" si="58"/>
        <v>2428</v>
      </c>
      <c r="B2429" t="str">
        <f t="shared" si="59"/>
        <v>Wang 2021</v>
      </c>
      <c r="C2429">
        <v>373.15</v>
      </c>
      <c r="D2429">
        <v>50</v>
      </c>
      <c r="E2429">
        <v>0</v>
      </c>
      <c r="G2429">
        <v>8.3789999999999993E-3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>
      <c r="A2430">
        <f t="shared" si="58"/>
        <v>2429</v>
      </c>
      <c r="B2430" t="str">
        <f t="shared" si="59"/>
        <v>Wang 2021</v>
      </c>
      <c r="C2430">
        <v>373.15</v>
      </c>
      <c r="D2430">
        <v>100</v>
      </c>
      <c r="E2430">
        <v>0</v>
      </c>
      <c r="G2430">
        <v>1.3880999999999999E-2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>
      <c r="A2431">
        <f t="shared" si="58"/>
        <v>2430</v>
      </c>
      <c r="B2431" t="str">
        <f t="shared" si="59"/>
        <v>Wang 2021</v>
      </c>
      <c r="C2431">
        <v>373.15</v>
      </c>
      <c r="D2431">
        <v>200</v>
      </c>
      <c r="E2431">
        <v>0</v>
      </c>
      <c r="G2431">
        <v>2.0653000000000001E-2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>
      <c r="A2432">
        <f t="shared" si="58"/>
        <v>2431</v>
      </c>
      <c r="B2432" t="str">
        <f t="shared" si="59"/>
        <v>Wang 2021</v>
      </c>
      <c r="C2432">
        <v>373.15</v>
      </c>
      <c r="D2432">
        <v>300</v>
      </c>
      <c r="E2432">
        <v>0</v>
      </c>
      <c r="G2432">
        <v>2.3737999999999999E-2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>
      <c r="A2433">
        <f t="shared" si="58"/>
        <v>2432</v>
      </c>
      <c r="B2433" t="str">
        <f t="shared" si="59"/>
        <v>Wang 2021</v>
      </c>
      <c r="C2433">
        <v>373.15</v>
      </c>
      <c r="D2433">
        <v>400</v>
      </c>
      <c r="E2433">
        <v>0</v>
      </c>
      <c r="G2433">
        <v>2.6089999999999999E-2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 spans="1:20">
      <c r="A2434">
        <f t="shared" si="58"/>
        <v>2433</v>
      </c>
      <c r="B2434" t="str">
        <f t="shared" si="59"/>
        <v>Wang 2021</v>
      </c>
      <c r="C2434">
        <v>373.15</v>
      </c>
      <c r="D2434">
        <v>500</v>
      </c>
      <c r="E2434">
        <v>0</v>
      </c>
      <c r="G2434">
        <v>2.7448E-2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 spans="1:20">
      <c r="A2435">
        <f t="shared" si="58"/>
        <v>2434</v>
      </c>
      <c r="B2435" t="str">
        <f t="shared" si="59"/>
        <v>Wang 2021</v>
      </c>
      <c r="C2435">
        <v>373.15</v>
      </c>
      <c r="D2435">
        <v>600</v>
      </c>
      <c r="E2435">
        <v>0</v>
      </c>
      <c r="G2435">
        <v>3.0103000000000001E-2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</row>
    <row r="2436" spans="1:20">
      <c r="A2436">
        <f t="shared" ref="A2436:A2499" si="60">A2435+1</f>
        <v>2435</v>
      </c>
      <c r="B2436" t="str">
        <f t="shared" si="59"/>
        <v>Wang 2021</v>
      </c>
      <c r="C2436">
        <v>373.15</v>
      </c>
      <c r="D2436">
        <v>700</v>
      </c>
      <c r="E2436">
        <v>0</v>
      </c>
      <c r="G2436">
        <v>3.1677999999999998E-2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</row>
    <row r="2437" spans="1:20">
      <c r="A2437">
        <f t="shared" si="60"/>
        <v>2436</v>
      </c>
      <c r="B2437" t="str">
        <f t="shared" si="59"/>
        <v>Wang 2021</v>
      </c>
      <c r="C2437">
        <v>373.15</v>
      </c>
      <c r="D2437">
        <v>800</v>
      </c>
      <c r="E2437">
        <v>0</v>
      </c>
      <c r="G2437">
        <v>3.3234E-2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 spans="1:20">
      <c r="A2438">
        <f t="shared" si="60"/>
        <v>2437</v>
      </c>
      <c r="B2438" t="str">
        <f t="shared" si="59"/>
        <v>Wang 2021</v>
      </c>
      <c r="C2438">
        <v>373.15</v>
      </c>
      <c r="D2438">
        <v>900</v>
      </c>
      <c r="E2438">
        <v>0</v>
      </c>
      <c r="G2438">
        <v>3.4842999999999999E-2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1:20">
      <c r="A2439">
        <f t="shared" si="60"/>
        <v>2438</v>
      </c>
      <c r="B2439" t="str">
        <f t="shared" si="59"/>
        <v>Wang 2021</v>
      </c>
      <c r="C2439">
        <v>373.15</v>
      </c>
      <c r="D2439">
        <v>1000</v>
      </c>
      <c r="E2439">
        <v>0</v>
      </c>
      <c r="G2439">
        <v>3.6329E-2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 spans="1:20">
      <c r="A2440">
        <f t="shared" si="60"/>
        <v>2439</v>
      </c>
      <c r="B2440" t="str">
        <f t="shared" si="59"/>
        <v>Wang 2021</v>
      </c>
      <c r="C2440">
        <v>373.15</v>
      </c>
      <c r="D2440">
        <v>1100</v>
      </c>
      <c r="E2440">
        <v>0</v>
      </c>
      <c r="G2440">
        <v>3.7740999999999997E-2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</row>
    <row r="2441" spans="1:20">
      <c r="A2441">
        <f t="shared" si="60"/>
        <v>2440</v>
      </c>
      <c r="B2441" t="str">
        <f t="shared" si="59"/>
        <v>Wang 2021</v>
      </c>
      <c r="C2441">
        <v>373.15</v>
      </c>
      <c r="D2441">
        <v>1200</v>
      </c>
      <c r="E2441">
        <v>0</v>
      </c>
      <c r="G2441">
        <v>3.9021E-2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>
      <c r="A2442">
        <f t="shared" si="60"/>
        <v>2441</v>
      </c>
      <c r="B2442" t="str">
        <f t="shared" si="59"/>
        <v>Wang 2021</v>
      </c>
      <c r="C2442">
        <v>373.15</v>
      </c>
      <c r="D2442">
        <v>1300</v>
      </c>
      <c r="E2442">
        <v>0</v>
      </c>
      <c r="G2442">
        <v>4.0174000000000001E-2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>
      <c r="A2443">
        <f t="shared" si="60"/>
        <v>2442</v>
      </c>
      <c r="B2443" t="str">
        <f t="shared" si="59"/>
        <v>Wang 2021</v>
      </c>
      <c r="C2443">
        <v>373.15</v>
      </c>
      <c r="D2443">
        <v>1400</v>
      </c>
      <c r="E2443">
        <v>0</v>
      </c>
      <c r="G2443">
        <v>4.1232999999999999E-2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>
      <c r="A2444">
        <f t="shared" si="60"/>
        <v>2443</v>
      </c>
      <c r="B2444" t="str">
        <f t="shared" si="59"/>
        <v>Wang 2021</v>
      </c>
      <c r="C2444">
        <v>373.15</v>
      </c>
      <c r="D2444">
        <v>1500</v>
      </c>
      <c r="E2444">
        <v>0</v>
      </c>
      <c r="G2444">
        <v>4.2224999999999999E-2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>
      <c r="A2445">
        <f t="shared" si="60"/>
        <v>2444</v>
      </c>
      <c r="B2445" t="str">
        <f t="shared" si="59"/>
        <v>Wang 2021</v>
      </c>
      <c r="C2445">
        <v>373.15</v>
      </c>
      <c r="D2445">
        <v>1600</v>
      </c>
      <c r="E2445">
        <v>0</v>
      </c>
      <c r="G2445">
        <v>4.3180999999999997E-2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 spans="1:20">
      <c r="A2446">
        <f t="shared" si="60"/>
        <v>2445</v>
      </c>
      <c r="B2446" t="str">
        <f t="shared" si="59"/>
        <v>Wang 2021</v>
      </c>
      <c r="C2446">
        <v>373.15</v>
      </c>
      <c r="D2446">
        <v>1700</v>
      </c>
      <c r="E2446">
        <v>0</v>
      </c>
      <c r="G2446">
        <v>4.8068E-2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 spans="1:20">
      <c r="A2447">
        <f t="shared" si="60"/>
        <v>2446</v>
      </c>
      <c r="B2447" t="str">
        <f t="shared" si="59"/>
        <v>Wang 2021</v>
      </c>
      <c r="C2447">
        <v>373.15</v>
      </c>
      <c r="D2447">
        <v>1800</v>
      </c>
      <c r="E2447">
        <v>0</v>
      </c>
      <c r="G2447">
        <v>4.4981E-2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</row>
    <row r="2448" spans="1:20">
      <c r="A2448">
        <f t="shared" si="60"/>
        <v>2447</v>
      </c>
      <c r="B2448" t="str">
        <f t="shared" si="59"/>
        <v>Wang 2021</v>
      </c>
      <c r="C2448">
        <v>373.15</v>
      </c>
      <c r="D2448">
        <v>1900</v>
      </c>
      <c r="E2448">
        <v>0</v>
      </c>
      <c r="G2448">
        <v>4.5719000000000003E-2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</row>
    <row r="2449" spans="1:20">
      <c r="A2449">
        <f t="shared" si="60"/>
        <v>2448</v>
      </c>
      <c r="B2449" t="str">
        <f t="shared" si="59"/>
        <v>Wang 2021</v>
      </c>
      <c r="C2449">
        <v>373.15</v>
      </c>
      <c r="D2449">
        <v>2000</v>
      </c>
      <c r="E2449">
        <v>0</v>
      </c>
      <c r="G2449">
        <v>4.6471999999999999E-2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 spans="1:20">
      <c r="A2450">
        <f t="shared" si="60"/>
        <v>2449</v>
      </c>
      <c r="B2450" t="str">
        <f t="shared" si="59"/>
        <v>Wang 2021</v>
      </c>
      <c r="C2450">
        <v>393.15</v>
      </c>
      <c r="D2450">
        <v>5</v>
      </c>
      <c r="E2450">
        <v>0</v>
      </c>
      <c r="G2450">
        <v>4.4299999999999998E-4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>
      <c r="A2451">
        <f t="shared" si="60"/>
        <v>2450</v>
      </c>
      <c r="B2451" t="str">
        <f t="shared" si="59"/>
        <v>Wang 2021</v>
      </c>
      <c r="C2451">
        <v>393.15</v>
      </c>
      <c r="D2451">
        <v>10</v>
      </c>
      <c r="E2451">
        <v>0</v>
      </c>
      <c r="G2451">
        <v>1.0089999999999999E-3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>
      <c r="A2452">
        <f t="shared" si="60"/>
        <v>2451</v>
      </c>
      <c r="B2452" t="str">
        <f t="shared" si="59"/>
        <v>Wang 2021</v>
      </c>
      <c r="C2452">
        <v>393.15</v>
      </c>
      <c r="D2452">
        <v>20</v>
      </c>
      <c r="E2452">
        <v>0</v>
      </c>
      <c r="G2452">
        <v>2.5140000000000002E-3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>
      <c r="A2453">
        <f t="shared" si="60"/>
        <v>2452</v>
      </c>
      <c r="B2453" t="str">
        <f t="shared" si="59"/>
        <v>Wang 2021</v>
      </c>
      <c r="C2453">
        <v>393.15</v>
      </c>
      <c r="D2453">
        <v>50</v>
      </c>
      <c r="E2453">
        <v>0</v>
      </c>
      <c r="G2453">
        <v>7.437E-3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>
      <c r="A2454">
        <f t="shared" si="60"/>
        <v>2453</v>
      </c>
      <c r="B2454" t="str">
        <f t="shared" si="59"/>
        <v>Wang 2021</v>
      </c>
      <c r="C2454">
        <v>393.15</v>
      </c>
      <c r="D2454">
        <v>100</v>
      </c>
      <c r="E2454">
        <v>0</v>
      </c>
      <c r="G2454">
        <v>1.3211000000000001E-2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>
      <c r="A2455">
        <f t="shared" si="60"/>
        <v>2454</v>
      </c>
      <c r="B2455" t="str">
        <f t="shared" si="59"/>
        <v>Wang 2021</v>
      </c>
      <c r="C2455">
        <v>393.15</v>
      </c>
      <c r="D2455">
        <v>200</v>
      </c>
      <c r="E2455">
        <v>0</v>
      </c>
      <c r="G2455">
        <v>2.0674999999999999E-2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>
      <c r="A2456">
        <f t="shared" si="60"/>
        <v>2455</v>
      </c>
      <c r="B2456" t="str">
        <f t="shared" si="59"/>
        <v>Wang 2021</v>
      </c>
      <c r="C2456">
        <v>393.15</v>
      </c>
      <c r="D2456">
        <v>300</v>
      </c>
      <c r="E2456">
        <v>0</v>
      </c>
      <c r="G2456">
        <v>2.4402E-2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>
      <c r="A2457">
        <f t="shared" si="60"/>
        <v>2456</v>
      </c>
      <c r="B2457" t="str">
        <f t="shared" si="59"/>
        <v>Wang 2021</v>
      </c>
      <c r="C2457">
        <v>393.15</v>
      </c>
      <c r="D2457">
        <v>400</v>
      </c>
      <c r="E2457">
        <v>0</v>
      </c>
      <c r="G2457">
        <v>2.7810999999999999E-2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</row>
    <row r="2458" spans="1:20">
      <c r="A2458">
        <f t="shared" si="60"/>
        <v>2457</v>
      </c>
      <c r="B2458" t="str">
        <f t="shared" si="59"/>
        <v>Wang 2021</v>
      </c>
      <c r="C2458">
        <v>393.15</v>
      </c>
      <c r="D2458">
        <v>500</v>
      </c>
      <c r="E2458">
        <v>0</v>
      </c>
      <c r="G2458">
        <v>2.9087999999999999E-2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 spans="1:20">
      <c r="A2459">
        <f t="shared" si="60"/>
        <v>2458</v>
      </c>
      <c r="B2459" t="str">
        <f t="shared" si="59"/>
        <v>Wang 2021</v>
      </c>
      <c r="C2459">
        <v>393.15</v>
      </c>
      <c r="D2459">
        <v>600</v>
      </c>
      <c r="E2459">
        <v>0</v>
      </c>
      <c r="G2459">
        <v>3.1919000000000003E-2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 spans="1:20">
      <c r="A2460">
        <f t="shared" si="60"/>
        <v>2459</v>
      </c>
      <c r="B2460" t="str">
        <f t="shared" ref="B2460:B2523" si="61">B2459</f>
        <v>Wang 2021</v>
      </c>
      <c r="C2460">
        <v>393.15</v>
      </c>
      <c r="D2460">
        <v>700</v>
      </c>
      <c r="E2460">
        <v>0</v>
      </c>
      <c r="G2460">
        <v>3.4084999999999997E-2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 spans="1:20">
      <c r="A2461">
        <f t="shared" si="60"/>
        <v>2460</v>
      </c>
      <c r="B2461" t="str">
        <f t="shared" si="61"/>
        <v>Wang 2021</v>
      </c>
      <c r="C2461">
        <v>393.15</v>
      </c>
      <c r="D2461">
        <v>800</v>
      </c>
      <c r="E2461">
        <v>0</v>
      </c>
      <c r="G2461">
        <v>3.5893000000000001E-2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 spans="1:20">
      <c r="A2462">
        <f t="shared" si="60"/>
        <v>2461</v>
      </c>
      <c r="B2462" t="str">
        <f t="shared" si="61"/>
        <v>Wang 2021</v>
      </c>
      <c r="C2462">
        <v>393.15</v>
      </c>
      <c r="D2462">
        <v>900</v>
      </c>
      <c r="E2462">
        <v>0</v>
      </c>
      <c r="G2462">
        <v>3.7477000000000003E-2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 spans="1:20">
      <c r="A2463">
        <f t="shared" si="60"/>
        <v>2462</v>
      </c>
      <c r="B2463" t="str">
        <f t="shared" si="61"/>
        <v>Wang 2021</v>
      </c>
      <c r="C2463">
        <v>393.15</v>
      </c>
      <c r="D2463">
        <v>1000</v>
      </c>
      <c r="E2463">
        <v>0</v>
      </c>
      <c r="G2463">
        <v>3.9086000000000003E-2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</row>
    <row r="2464" spans="1:20">
      <c r="A2464">
        <f t="shared" si="60"/>
        <v>2463</v>
      </c>
      <c r="B2464" t="str">
        <f t="shared" si="61"/>
        <v>Wang 2021</v>
      </c>
      <c r="C2464">
        <v>393.15</v>
      </c>
      <c r="D2464">
        <v>1100</v>
      </c>
      <c r="E2464">
        <v>0</v>
      </c>
      <c r="G2464">
        <v>4.0621999999999998E-2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</row>
    <row r="2465" spans="1:20">
      <c r="A2465">
        <f t="shared" si="60"/>
        <v>2464</v>
      </c>
      <c r="B2465" t="str">
        <f t="shared" si="61"/>
        <v>Wang 2021</v>
      </c>
      <c r="C2465">
        <v>393.15</v>
      </c>
      <c r="D2465">
        <v>1200</v>
      </c>
      <c r="E2465">
        <v>0</v>
      </c>
      <c r="G2465">
        <v>4.2042999999999997E-2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</row>
    <row r="2466" spans="1:20">
      <c r="A2466">
        <f t="shared" si="60"/>
        <v>2465</v>
      </c>
      <c r="B2466" t="str">
        <f t="shared" si="61"/>
        <v>Wang 2021</v>
      </c>
      <c r="C2466">
        <v>393.15</v>
      </c>
      <c r="D2466">
        <v>1300</v>
      </c>
      <c r="E2466">
        <v>0</v>
      </c>
      <c r="G2466">
        <v>4.3490000000000001E-2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1:20">
      <c r="A2467">
        <f t="shared" si="60"/>
        <v>2466</v>
      </c>
      <c r="B2467" t="str">
        <f t="shared" si="61"/>
        <v>Wang 2021</v>
      </c>
      <c r="C2467">
        <v>393.15</v>
      </c>
      <c r="D2467">
        <v>1400</v>
      </c>
      <c r="E2467">
        <v>0</v>
      </c>
      <c r="G2467">
        <v>4.4803999999999997E-2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 spans="1:20">
      <c r="A2468">
        <f t="shared" si="60"/>
        <v>2467</v>
      </c>
      <c r="B2468" t="str">
        <f t="shared" si="61"/>
        <v>Wang 2021</v>
      </c>
      <c r="C2468">
        <v>393.15</v>
      </c>
      <c r="D2468">
        <v>1500</v>
      </c>
      <c r="E2468">
        <v>0</v>
      </c>
      <c r="G2468">
        <v>4.5914999999999997E-2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</row>
    <row r="2469" spans="1:20">
      <c r="A2469">
        <f t="shared" si="60"/>
        <v>2468</v>
      </c>
      <c r="B2469" t="str">
        <f t="shared" si="61"/>
        <v>Wang 2021</v>
      </c>
      <c r="C2469">
        <v>393.15</v>
      </c>
      <c r="D2469">
        <v>1600</v>
      </c>
      <c r="E2469">
        <v>0</v>
      </c>
      <c r="G2469">
        <v>4.6989000000000003E-2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 spans="1:20">
      <c r="A2470">
        <f t="shared" si="60"/>
        <v>2469</v>
      </c>
      <c r="B2470" t="str">
        <f t="shared" si="61"/>
        <v>Wang 2021</v>
      </c>
      <c r="C2470">
        <v>393.15</v>
      </c>
      <c r="D2470">
        <v>1700</v>
      </c>
      <c r="E2470">
        <v>0</v>
      </c>
      <c r="G2470">
        <v>4.7927999999999998E-2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 spans="1:20">
      <c r="A2471">
        <f t="shared" si="60"/>
        <v>2470</v>
      </c>
      <c r="B2471" t="str">
        <f t="shared" si="61"/>
        <v>Wang 2021</v>
      </c>
      <c r="C2471">
        <v>393.15</v>
      </c>
      <c r="D2471">
        <v>1800</v>
      </c>
      <c r="E2471">
        <v>0</v>
      </c>
      <c r="G2471">
        <v>4.8716000000000002E-2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 spans="1:20">
      <c r="A2472">
        <f t="shared" si="60"/>
        <v>2471</v>
      </c>
      <c r="B2472" t="str">
        <f t="shared" si="61"/>
        <v>Wang 2021</v>
      </c>
      <c r="C2472">
        <v>393.15</v>
      </c>
      <c r="D2472">
        <v>1900</v>
      </c>
      <c r="E2472">
        <v>0</v>
      </c>
      <c r="G2472">
        <v>4.9570000000000003E-2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 spans="1:20">
      <c r="A2473">
        <f t="shared" si="60"/>
        <v>2472</v>
      </c>
      <c r="B2473" t="str">
        <f t="shared" si="61"/>
        <v>Wang 2021</v>
      </c>
      <c r="C2473">
        <v>393.15</v>
      </c>
      <c r="D2473">
        <v>2000</v>
      </c>
      <c r="E2473">
        <v>0</v>
      </c>
      <c r="G2473">
        <v>5.0327999999999998E-2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 spans="1:20">
      <c r="A2474">
        <f t="shared" si="60"/>
        <v>2473</v>
      </c>
      <c r="B2474" t="str">
        <f t="shared" si="61"/>
        <v>Wang 2021</v>
      </c>
      <c r="C2474">
        <v>413.15</v>
      </c>
      <c r="D2474">
        <v>5</v>
      </c>
      <c r="E2474">
        <v>0</v>
      </c>
      <c r="G2474">
        <v>5.3799999999999996E-4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>
      <c r="A2475">
        <f t="shared" si="60"/>
        <v>2474</v>
      </c>
      <c r="B2475" t="str">
        <f t="shared" si="61"/>
        <v>Wang 2021</v>
      </c>
      <c r="C2475">
        <v>413.15</v>
      </c>
      <c r="D2475">
        <v>10</v>
      </c>
      <c r="E2475">
        <v>0</v>
      </c>
      <c r="G2475">
        <v>8.1400000000000005E-4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>
      <c r="A2476">
        <f t="shared" si="60"/>
        <v>2475</v>
      </c>
      <c r="B2476" t="str">
        <f t="shared" si="61"/>
        <v>Wang 2021</v>
      </c>
      <c r="C2476">
        <v>413.15</v>
      </c>
      <c r="D2476">
        <v>20</v>
      </c>
      <c r="E2476">
        <v>0</v>
      </c>
      <c r="G2476">
        <v>1.8829999999999999E-3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>
      <c r="A2477">
        <f t="shared" si="60"/>
        <v>2476</v>
      </c>
      <c r="B2477" t="str">
        <f t="shared" si="61"/>
        <v>Wang 2021</v>
      </c>
      <c r="C2477">
        <v>413.15</v>
      </c>
      <c r="D2477">
        <v>50</v>
      </c>
      <c r="E2477">
        <v>0</v>
      </c>
      <c r="G2477">
        <v>6.9709999999999998E-3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>
      <c r="A2478">
        <f t="shared" si="60"/>
        <v>2477</v>
      </c>
      <c r="B2478" t="str">
        <f t="shared" si="61"/>
        <v>Wang 2021</v>
      </c>
      <c r="C2478">
        <v>413.15</v>
      </c>
      <c r="D2478">
        <v>100</v>
      </c>
      <c r="E2478">
        <v>0</v>
      </c>
      <c r="G2478">
        <v>1.2866000000000001E-2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>
      <c r="A2479">
        <f t="shared" si="60"/>
        <v>2478</v>
      </c>
      <c r="B2479" t="str">
        <f t="shared" si="61"/>
        <v>Wang 2021</v>
      </c>
      <c r="C2479">
        <v>413.15</v>
      </c>
      <c r="D2479">
        <v>200</v>
      </c>
      <c r="E2479">
        <v>0</v>
      </c>
      <c r="G2479">
        <v>2.1094000000000002E-2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>
      <c r="A2480">
        <f t="shared" si="60"/>
        <v>2479</v>
      </c>
      <c r="B2480" t="str">
        <f t="shared" si="61"/>
        <v>Wang 2021</v>
      </c>
      <c r="C2480">
        <v>413.15</v>
      </c>
      <c r="D2480">
        <v>300</v>
      </c>
      <c r="E2480">
        <v>0</v>
      </c>
      <c r="G2480">
        <v>2.5423999999999999E-2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>
      <c r="A2481">
        <f t="shared" si="60"/>
        <v>2480</v>
      </c>
      <c r="B2481" t="str">
        <f t="shared" si="61"/>
        <v>Wang 2021</v>
      </c>
      <c r="C2481">
        <v>413.15</v>
      </c>
      <c r="D2481">
        <v>400</v>
      </c>
      <c r="E2481">
        <v>0</v>
      </c>
      <c r="G2481">
        <v>2.9076999999999999E-2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 spans="1:20">
      <c r="A2482">
        <f t="shared" si="60"/>
        <v>2481</v>
      </c>
      <c r="B2482" t="str">
        <f t="shared" si="61"/>
        <v>Wang 2021</v>
      </c>
      <c r="C2482">
        <v>413.15</v>
      </c>
      <c r="D2482">
        <v>500</v>
      </c>
      <c r="E2482">
        <v>0</v>
      </c>
      <c r="G2482">
        <v>3.2660000000000002E-2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</row>
    <row r="2483" spans="1:20">
      <c r="A2483">
        <f t="shared" si="60"/>
        <v>2482</v>
      </c>
      <c r="B2483" t="str">
        <f t="shared" si="61"/>
        <v>Wang 2021</v>
      </c>
      <c r="C2483">
        <v>413.15</v>
      </c>
      <c r="D2483">
        <v>600</v>
      </c>
      <c r="E2483">
        <v>0</v>
      </c>
      <c r="G2483">
        <v>3.5340000000000003E-2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</row>
    <row r="2484" spans="1:20">
      <c r="A2484">
        <f t="shared" si="60"/>
        <v>2483</v>
      </c>
      <c r="B2484" t="str">
        <f t="shared" si="61"/>
        <v>Wang 2021</v>
      </c>
      <c r="C2484">
        <v>413.15</v>
      </c>
      <c r="D2484">
        <v>700</v>
      </c>
      <c r="E2484">
        <v>0</v>
      </c>
      <c r="G2484">
        <v>3.7592E-2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 spans="1:20">
      <c r="A2485">
        <f t="shared" si="60"/>
        <v>2484</v>
      </c>
      <c r="B2485" t="str">
        <f t="shared" si="61"/>
        <v>Wang 2021</v>
      </c>
      <c r="C2485">
        <v>413.15</v>
      </c>
      <c r="D2485">
        <v>800</v>
      </c>
      <c r="E2485">
        <v>0</v>
      </c>
      <c r="G2485">
        <v>3.9400999999999999E-2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>
      <c r="A2486">
        <f t="shared" si="60"/>
        <v>2485</v>
      </c>
      <c r="B2486" t="str">
        <f t="shared" si="61"/>
        <v>Wang 2021</v>
      </c>
      <c r="C2486">
        <v>413.15</v>
      </c>
      <c r="D2486">
        <v>900</v>
      </c>
      <c r="E2486">
        <v>0</v>
      </c>
      <c r="G2486">
        <v>4.0948999999999999E-2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 spans="1:20">
      <c r="A2487">
        <f t="shared" si="60"/>
        <v>2486</v>
      </c>
      <c r="B2487" t="str">
        <f t="shared" si="61"/>
        <v>Wang 2021</v>
      </c>
      <c r="C2487">
        <v>413.15</v>
      </c>
      <c r="D2487">
        <v>1000</v>
      </c>
      <c r="E2487">
        <v>0</v>
      </c>
      <c r="G2487">
        <v>4.2533000000000001E-2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</row>
    <row r="2488" spans="1:20">
      <c r="A2488">
        <f t="shared" si="60"/>
        <v>2487</v>
      </c>
      <c r="B2488" t="str">
        <f t="shared" si="61"/>
        <v>Wang 2021</v>
      </c>
      <c r="C2488">
        <v>413.15</v>
      </c>
      <c r="D2488">
        <v>1100</v>
      </c>
      <c r="E2488">
        <v>0</v>
      </c>
      <c r="G2488">
        <v>4.4005000000000002E-2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>
      <c r="A2489">
        <f t="shared" si="60"/>
        <v>2488</v>
      </c>
      <c r="B2489" t="str">
        <f t="shared" si="61"/>
        <v>Wang 2021</v>
      </c>
      <c r="C2489">
        <v>413.15</v>
      </c>
      <c r="D2489">
        <v>1200</v>
      </c>
      <c r="E2489">
        <v>0</v>
      </c>
      <c r="G2489">
        <v>4.5567999999999997E-2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 spans="1:20">
      <c r="A2490">
        <f t="shared" si="60"/>
        <v>2489</v>
      </c>
      <c r="B2490" t="str">
        <f t="shared" si="61"/>
        <v>Wang 2021</v>
      </c>
      <c r="C2490">
        <v>413.15</v>
      </c>
      <c r="D2490">
        <v>1300</v>
      </c>
      <c r="E2490">
        <v>0</v>
      </c>
      <c r="G2490">
        <v>4.6870000000000002E-2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 spans="1:20">
      <c r="A2491">
        <f t="shared" si="60"/>
        <v>2490</v>
      </c>
      <c r="B2491" t="str">
        <f t="shared" si="61"/>
        <v>Wang 2021</v>
      </c>
      <c r="C2491">
        <v>413.15</v>
      </c>
      <c r="D2491">
        <v>1400</v>
      </c>
      <c r="E2491">
        <v>0</v>
      </c>
      <c r="G2491">
        <v>4.8099999999999997E-2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</row>
    <row r="2492" spans="1:20">
      <c r="A2492">
        <f t="shared" si="60"/>
        <v>2491</v>
      </c>
      <c r="B2492" t="str">
        <f t="shared" si="61"/>
        <v>Wang 2021</v>
      </c>
      <c r="C2492">
        <v>413.15</v>
      </c>
      <c r="D2492">
        <v>1500</v>
      </c>
      <c r="E2492">
        <v>0</v>
      </c>
      <c r="G2492">
        <v>4.9355999999999997E-2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</row>
    <row r="2493" spans="1:20">
      <c r="A2493">
        <f t="shared" si="60"/>
        <v>2492</v>
      </c>
      <c r="B2493" t="str">
        <f t="shared" si="61"/>
        <v>Wang 2021</v>
      </c>
      <c r="C2493">
        <v>413.15</v>
      </c>
      <c r="D2493">
        <v>1600</v>
      </c>
      <c r="E2493">
        <v>0</v>
      </c>
      <c r="G2493">
        <v>5.0359000000000001E-2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</row>
    <row r="2494" spans="1:20">
      <c r="A2494">
        <f t="shared" si="60"/>
        <v>2493</v>
      </c>
      <c r="B2494" t="str">
        <f t="shared" si="61"/>
        <v>Wang 2021</v>
      </c>
      <c r="C2494">
        <v>413.15</v>
      </c>
      <c r="D2494">
        <v>1700</v>
      </c>
      <c r="E2494">
        <v>0</v>
      </c>
      <c r="G2494">
        <v>5.1720000000000002E-2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>
      <c r="A2495">
        <f t="shared" si="60"/>
        <v>2494</v>
      </c>
      <c r="B2495" t="str">
        <f t="shared" si="61"/>
        <v>Wang 2021</v>
      </c>
      <c r="C2495">
        <v>413.15</v>
      </c>
      <c r="D2495">
        <v>1800</v>
      </c>
      <c r="E2495">
        <v>0</v>
      </c>
      <c r="G2495">
        <v>5.2627E-2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 spans="1:20">
      <c r="A2496">
        <f t="shared" si="60"/>
        <v>2495</v>
      </c>
      <c r="B2496" t="str">
        <f t="shared" si="61"/>
        <v>Wang 2021</v>
      </c>
      <c r="C2496">
        <v>413.15</v>
      </c>
      <c r="D2496">
        <v>1900</v>
      </c>
      <c r="E2496">
        <v>0</v>
      </c>
      <c r="G2496">
        <v>5.3460000000000001E-2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 spans="1:20">
      <c r="A2497">
        <f t="shared" si="60"/>
        <v>2496</v>
      </c>
      <c r="B2497" t="str">
        <f t="shared" si="61"/>
        <v>Wang 2021</v>
      </c>
      <c r="C2497">
        <v>413.15</v>
      </c>
      <c r="D2497">
        <v>2000</v>
      </c>
      <c r="E2497">
        <v>0</v>
      </c>
      <c r="G2497">
        <v>5.4056E-2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 spans="1:20">
      <c r="A2498">
        <f t="shared" si="60"/>
        <v>2497</v>
      </c>
      <c r="B2498" t="str">
        <f t="shared" si="61"/>
        <v>Wang 2021</v>
      </c>
      <c r="C2498">
        <v>433.15</v>
      </c>
      <c r="D2498">
        <v>5</v>
      </c>
      <c r="E2498">
        <v>0</v>
      </c>
      <c r="G2498">
        <v>8.3500000000000002E-4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>
      <c r="A2499">
        <f t="shared" si="60"/>
        <v>2498</v>
      </c>
      <c r="B2499" t="str">
        <f t="shared" si="61"/>
        <v>Wang 2021</v>
      </c>
      <c r="C2499">
        <v>433.15</v>
      </c>
      <c r="D2499">
        <v>10</v>
      </c>
      <c r="E2499">
        <v>0</v>
      </c>
      <c r="G2499">
        <v>8.3900000000000001E-4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>
      <c r="A2500">
        <f t="shared" ref="A2500:A2563" si="62">A2499+1</f>
        <v>2499</v>
      </c>
      <c r="B2500" t="str">
        <f t="shared" si="61"/>
        <v>Wang 2021</v>
      </c>
      <c r="C2500">
        <v>433.15</v>
      </c>
      <c r="D2500">
        <v>20</v>
      </c>
      <c r="E2500">
        <v>0</v>
      </c>
      <c r="G2500">
        <v>1.5139999999999999E-3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>
      <c r="A2501">
        <f t="shared" si="62"/>
        <v>2500</v>
      </c>
      <c r="B2501" t="str">
        <f t="shared" si="61"/>
        <v>Wang 2021</v>
      </c>
      <c r="C2501">
        <v>433.15</v>
      </c>
      <c r="D2501">
        <v>50</v>
      </c>
      <c r="E2501">
        <v>0</v>
      </c>
      <c r="G2501">
        <v>6.5399999999999998E-3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>
      <c r="A2502">
        <f t="shared" si="62"/>
        <v>2501</v>
      </c>
      <c r="B2502" t="str">
        <f t="shared" si="61"/>
        <v>Wang 2021</v>
      </c>
      <c r="C2502">
        <v>433.15</v>
      </c>
      <c r="D2502">
        <v>100</v>
      </c>
      <c r="E2502">
        <v>0</v>
      </c>
      <c r="G2502">
        <v>1.273E-2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>
      <c r="A2503">
        <f t="shared" si="62"/>
        <v>2502</v>
      </c>
      <c r="B2503" t="str">
        <f t="shared" si="61"/>
        <v>Wang 2021</v>
      </c>
      <c r="C2503">
        <v>433.15</v>
      </c>
      <c r="D2503">
        <v>200</v>
      </c>
      <c r="E2503">
        <v>0</v>
      </c>
      <c r="G2503">
        <v>2.1600999999999999E-2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>
      <c r="A2504">
        <f t="shared" si="62"/>
        <v>2503</v>
      </c>
      <c r="B2504" t="str">
        <f t="shared" si="61"/>
        <v>Wang 2021</v>
      </c>
      <c r="C2504">
        <v>433.15</v>
      </c>
      <c r="D2504">
        <v>300</v>
      </c>
      <c r="E2504">
        <v>0</v>
      </c>
      <c r="G2504">
        <v>2.7539000000000001E-2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>
      <c r="A2505">
        <f t="shared" si="62"/>
        <v>2504</v>
      </c>
      <c r="B2505" t="str">
        <f t="shared" si="61"/>
        <v>Wang 2021</v>
      </c>
      <c r="C2505">
        <v>433.15</v>
      </c>
      <c r="D2505">
        <v>400</v>
      </c>
      <c r="E2505">
        <v>0</v>
      </c>
      <c r="G2505">
        <v>3.1746000000000003E-2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 spans="1:20">
      <c r="A2506">
        <f t="shared" si="62"/>
        <v>2505</v>
      </c>
      <c r="B2506" t="str">
        <f t="shared" si="61"/>
        <v>Wang 2021</v>
      </c>
      <c r="C2506">
        <v>433.15</v>
      </c>
      <c r="D2506">
        <v>500</v>
      </c>
      <c r="E2506">
        <v>0</v>
      </c>
      <c r="G2506">
        <v>3.5622000000000001E-2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 spans="1:20">
      <c r="A2507">
        <f t="shared" si="62"/>
        <v>2506</v>
      </c>
      <c r="B2507" t="str">
        <f t="shared" si="61"/>
        <v>Wang 2021</v>
      </c>
      <c r="C2507">
        <v>433.15</v>
      </c>
      <c r="D2507">
        <v>600</v>
      </c>
      <c r="E2507">
        <v>0</v>
      </c>
      <c r="G2507">
        <v>3.9037000000000002E-2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>
      <c r="A2508">
        <f t="shared" si="62"/>
        <v>2507</v>
      </c>
      <c r="B2508" t="str">
        <f t="shared" si="61"/>
        <v>Wang 2021</v>
      </c>
      <c r="C2508">
        <v>433.15</v>
      </c>
      <c r="D2508">
        <v>700</v>
      </c>
      <c r="E2508">
        <v>0</v>
      </c>
      <c r="G2508">
        <v>4.2057999999999998E-2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 spans="1:20">
      <c r="A2509">
        <f t="shared" si="62"/>
        <v>2508</v>
      </c>
      <c r="B2509" t="str">
        <f t="shared" si="61"/>
        <v>Wang 2021</v>
      </c>
      <c r="C2509">
        <v>433.15</v>
      </c>
      <c r="D2509">
        <v>800</v>
      </c>
      <c r="E2509">
        <v>0</v>
      </c>
      <c r="G2509">
        <v>4.4705000000000002E-2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 spans="1:20">
      <c r="A2510">
        <f t="shared" si="62"/>
        <v>2509</v>
      </c>
      <c r="B2510" t="str">
        <f t="shared" si="61"/>
        <v>Wang 2021</v>
      </c>
      <c r="C2510">
        <v>433.15</v>
      </c>
      <c r="D2510">
        <v>900</v>
      </c>
      <c r="E2510">
        <v>0</v>
      </c>
      <c r="G2510">
        <v>4.6995000000000002E-2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 spans="1:20">
      <c r="A2511">
        <f t="shared" si="62"/>
        <v>2510</v>
      </c>
      <c r="B2511" t="str">
        <f t="shared" si="61"/>
        <v>Wang 2021</v>
      </c>
      <c r="C2511">
        <v>433.15</v>
      </c>
      <c r="D2511">
        <v>1000</v>
      </c>
      <c r="E2511">
        <v>0</v>
      </c>
      <c r="G2511">
        <v>4.9006000000000001E-2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 spans="1:20">
      <c r="A2512">
        <f t="shared" si="62"/>
        <v>2511</v>
      </c>
      <c r="B2512" t="str">
        <f t="shared" si="61"/>
        <v>Wang 2021</v>
      </c>
      <c r="C2512">
        <v>433.15</v>
      </c>
      <c r="D2512">
        <v>1100</v>
      </c>
      <c r="E2512">
        <v>0</v>
      </c>
      <c r="G2512">
        <v>5.0855999999999998E-2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 spans="1:20">
      <c r="A2513">
        <f t="shared" si="62"/>
        <v>2512</v>
      </c>
      <c r="B2513" t="str">
        <f t="shared" si="61"/>
        <v>Wang 2021</v>
      </c>
      <c r="C2513">
        <v>433.15</v>
      </c>
      <c r="D2513">
        <v>1200</v>
      </c>
      <c r="E2513">
        <v>0</v>
      </c>
      <c r="G2513">
        <v>5.3978999999999999E-2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 spans="1:20">
      <c r="A2514">
        <f t="shared" si="62"/>
        <v>2513</v>
      </c>
      <c r="B2514" t="str">
        <f t="shared" si="61"/>
        <v>Wang 2021</v>
      </c>
      <c r="C2514">
        <v>433.15</v>
      </c>
      <c r="D2514">
        <v>1300</v>
      </c>
      <c r="E2514">
        <v>0</v>
      </c>
      <c r="G2514">
        <v>5.4038000000000003E-2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 spans="1:20">
      <c r="A2515">
        <f t="shared" si="62"/>
        <v>2514</v>
      </c>
      <c r="B2515" t="str">
        <f t="shared" si="61"/>
        <v>Wang 2021</v>
      </c>
      <c r="C2515">
        <v>433.15</v>
      </c>
      <c r="D2515">
        <v>1400</v>
      </c>
      <c r="E2515">
        <v>0</v>
      </c>
      <c r="G2515">
        <v>5.5355000000000001E-2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</row>
    <row r="2516" spans="1:20">
      <c r="A2516">
        <f t="shared" si="62"/>
        <v>2515</v>
      </c>
      <c r="B2516" t="str">
        <f t="shared" si="61"/>
        <v>Wang 2021</v>
      </c>
      <c r="C2516">
        <v>433.15</v>
      </c>
      <c r="D2516">
        <v>1500</v>
      </c>
      <c r="E2516">
        <v>0</v>
      </c>
      <c r="G2516">
        <v>5.6687000000000001E-2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</row>
    <row r="2517" spans="1:20">
      <c r="A2517">
        <f t="shared" si="62"/>
        <v>2516</v>
      </c>
      <c r="B2517" t="str">
        <f t="shared" si="61"/>
        <v>Wang 2021</v>
      </c>
      <c r="C2517">
        <v>433.15</v>
      </c>
      <c r="D2517">
        <v>1600</v>
      </c>
      <c r="E2517">
        <v>0</v>
      </c>
      <c r="G2517">
        <v>5.7919999999999999E-2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</row>
    <row r="2518" spans="1:20">
      <c r="A2518">
        <f t="shared" si="62"/>
        <v>2517</v>
      </c>
      <c r="B2518" t="str">
        <f t="shared" si="61"/>
        <v>Wang 2021</v>
      </c>
      <c r="C2518">
        <v>433.15</v>
      </c>
      <c r="D2518">
        <v>1700</v>
      </c>
      <c r="E2518">
        <v>0</v>
      </c>
      <c r="G2518">
        <v>5.9024E-2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 spans="1:20">
      <c r="A2519">
        <f t="shared" si="62"/>
        <v>2518</v>
      </c>
      <c r="B2519" t="str">
        <f t="shared" si="61"/>
        <v>Wang 2021</v>
      </c>
      <c r="C2519">
        <v>433.15</v>
      </c>
      <c r="D2519">
        <v>1800</v>
      </c>
      <c r="E2519">
        <v>0</v>
      </c>
      <c r="G2519">
        <v>6.0185000000000002E-2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 spans="1:20">
      <c r="A2520">
        <f t="shared" si="62"/>
        <v>2519</v>
      </c>
      <c r="B2520" t="str">
        <f t="shared" si="61"/>
        <v>Wang 2021</v>
      </c>
      <c r="C2520">
        <v>433.15</v>
      </c>
      <c r="D2520">
        <v>1900</v>
      </c>
      <c r="E2520">
        <v>0</v>
      </c>
      <c r="G2520">
        <v>6.1130999999999998E-2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 spans="1:20">
      <c r="A2521">
        <f t="shared" si="62"/>
        <v>2520</v>
      </c>
      <c r="B2521" t="str">
        <f t="shared" si="61"/>
        <v>Wang 2021</v>
      </c>
      <c r="C2521">
        <v>433.15</v>
      </c>
      <c r="D2521">
        <v>2000</v>
      </c>
      <c r="E2521">
        <v>0</v>
      </c>
      <c r="G2521">
        <v>6.2114000000000003E-2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 spans="1:20">
      <c r="A2522">
        <f t="shared" si="62"/>
        <v>2521</v>
      </c>
      <c r="B2522" t="str">
        <f t="shared" si="61"/>
        <v>Wang 2021</v>
      </c>
      <c r="C2522">
        <v>453.15</v>
      </c>
      <c r="D2522">
        <v>5</v>
      </c>
      <c r="E2522">
        <v>0</v>
      </c>
      <c r="G2522">
        <v>1.3389999999999999E-3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>
      <c r="A2523">
        <f t="shared" si="62"/>
        <v>2522</v>
      </c>
      <c r="B2523" t="str">
        <f t="shared" si="61"/>
        <v>Wang 2021</v>
      </c>
      <c r="C2523">
        <v>453.15</v>
      </c>
      <c r="D2523">
        <v>10</v>
      </c>
      <c r="E2523">
        <v>0</v>
      </c>
      <c r="G2523">
        <v>1.09E-3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>
      <c r="A2524">
        <f t="shared" si="62"/>
        <v>2523</v>
      </c>
      <c r="B2524" t="str">
        <f t="shared" ref="B2524:B2571" si="63">B2523</f>
        <v>Wang 2021</v>
      </c>
      <c r="C2524">
        <v>453.15</v>
      </c>
      <c r="D2524">
        <v>20</v>
      </c>
      <c r="E2524">
        <v>0</v>
      </c>
      <c r="G2524">
        <v>1.397E-3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>
      <c r="A2525">
        <f t="shared" si="62"/>
        <v>2524</v>
      </c>
      <c r="B2525" t="str">
        <f t="shared" si="63"/>
        <v>Wang 2021</v>
      </c>
      <c r="C2525">
        <v>453.15</v>
      </c>
      <c r="D2525">
        <v>50</v>
      </c>
      <c r="E2525">
        <v>0</v>
      </c>
      <c r="G2525">
        <v>6.221E-3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>
      <c r="A2526">
        <f t="shared" si="62"/>
        <v>2525</v>
      </c>
      <c r="B2526" t="str">
        <f t="shared" si="63"/>
        <v>Wang 2021</v>
      </c>
      <c r="C2526">
        <v>453.15</v>
      </c>
      <c r="D2526">
        <v>100</v>
      </c>
      <c r="E2526">
        <v>0</v>
      </c>
      <c r="G2526">
        <v>1.2647E-2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>
      <c r="A2527">
        <f t="shared" si="62"/>
        <v>2526</v>
      </c>
      <c r="B2527" t="str">
        <f t="shared" si="63"/>
        <v>Wang 2021</v>
      </c>
      <c r="C2527">
        <v>453.15</v>
      </c>
      <c r="D2527">
        <v>200</v>
      </c>
      <c r="E2527">
        <v>0</v>
      </c>
      <c r="G2527">
        <v>2.3227000000000001E-2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 spans="1:20">
      <c r="A2528">
        <f t="shared" si="62"/>
        <v>2527</v>
      </c>
      <c r="B2528" t="str">
        <f t="shared" si="63"/>
        <v>Wang 2021</v>
      </c>
      <c r="C2528">
        <v>453.15</v>
      </c>
      <c r="D2528">
        <v>300</v>
      </c>
      <c r="E2528">
        <v>0</v>
      </c>
      <c r="G2528">
        <v>2.9624999999999999E-2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</row>
    <row r="2529" spans="1:20">
      <c r="A2529">
        <f t="shared" si="62"/>
        <v>2528</v>
      </c>
      <c r="B2529" t="str">
        <f t="shared" si="63"/>
        <v>Wang 2021</v>
      </c>
      <c r="C2529">
        <v>453.15</v>
      </c>
      <c r="D2529">
        <v>400</v>
      </c>
      <c r="E2529">
        <v>0</v>
      </c>
      <c r="G2529">
        <v>3.5024E-2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</row>
    <row r="2530" spans="1:20">
      <c r="A2530">
        <f t="shared" si="62"/>
        <v>2529</v>
      </c>
      <c r="B2530" t="str">
        <f t="shared" si="63"/>
        <v>Wang 2021</v>
      </c>
      <c r="C2530">
        <v>453.15</v>
      </c>
      <c r="D2530">
        <v>500</v>
      </c>
      <c r="E2530">
        <v>0</v>
      </c>
      <c r="G2530">
        <v>3.9558000000000003E-2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 spans="1:20">
      <c r="A2531">
        <f t="shared" si="62"/>
        <v>2530</v>
      </c>
      <c r="B2531" t="str">
        <f t="shared" si="63"/>
        <v>Wang 2021</v>
      </c>
      <c r="C2531">
        <v>453.15</v>
      </c>
      <c r="D2531">
        <v>600</v>
      </c>
      <c r="E2531">
        <v>0</v>
      </c>
      <c r="G2531">
        <v>4.3584999999999999E-2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 spans="1:20">
      <c r="A2532">
        <f t="shared" si="62"/>
        <v>2531</v>
      </c>
      <c r="B2532" t="str">
        <f t="shared" si="63"/>
        <v>Wang 2021</v>
      </c>
      <c r="C2532">
        <v>453.15</v>
      </c>
      <c r="D2532">
        <v>700</v>
      </c>
      <c r="E2532">
        <v>0</v>
      </c>
      <c r="G2532">
        <v>4.7153E-2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 spans="1:20">
      <c r="A2533">
        <f t="shared" si="62"/>
        <v>2532</v>
      </c>
      <c r="B2533" t="str">
        <f t="shared" si="63"/>
        <v>Wang 2021</v>
      </c>
      <c r="C2533">
        <v>453.15</v>
      </c>
      <c r="D2533">
        <v>800</v>
      </c>
      <c r="E2533">
        <v>0</v>
      </c>
      <c r="G2533">
        <v>5.0166000000000002E-2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 spans="1:20">
      <c r="A2534">
        <f t="shared" si="62"/>
        <v>2533</v>
      </c>
      <c r="B2534" t="str">
        <f t="shared" si="63"/>
        <v>Wang 2021</v>
      </c>
      <c r="C2534">
        <v>453.15</v>
      </c>
      <c r="D2534">
        <v>900</v>
      </c>
      <c r="E2534">
        <v>0</v>
      </c>
      <c r="G2534">
        <v>5.2887000000000003E-2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</row>
    <row r="2535" spans="1:20">
      <c r="A2535">
        <f t="shared" si="62"/>
        <v>2534</v>
      </c>
      <c r="B2535" t="str">
        <f t="shared" si="63"/>
        <v>Wang 2021</v>
      </c>
      <c r="C2535">
        <v>453.15</v>
      </c>
      <c r="D2535">
        <v>1000</v>
      </c>
      <c r="E2535">
        <v>0</v>
      </c>
      <c r="G2535">
        <v>5.6605999999999997E-2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 spans="1:20">
      <c r="A2536">
        <f t="shared" si="62"/>
        <v>2535</v>
      </c>
      <c r="B2536" t="str">
        <f t="shared" si="63"/>
        <v>Wang 2021</v>
      </c>
      <c r="C2536">
        <v>453.15</v>
      </c>
      <c r="D2536">
        <v>1100</v>
      </c>
      <c r="E2536">
        <v>0</v>
      </c>
      <c r="G2536">
        <v>5.9764999999999999E-2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</row>
    <row r="2537" spans="1:20">
      <c r="A2537">
        <f t="shared" si="62"/>
        <v>2536</v>
      </c>
      <c r="B2537" t="str">
        <f t="shared" si="63"/>
        <v>Wang 2021</v>
      </c>
      <c r="C2537">
        <v>453.15</v>
      </c>
      <c r="D2537">
        <v>1200</v>
      </c>
      <c r="E2537">
        <v>0</v>
      </c>
      <c r="G2537">
        <v>6.3898999999999997E-2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 spans="1:20">
      <c r="A2538">
        <f t="shared" si="62"/>
        <v>2537</v>
      </c>
      <c r="B2538" t="str">
        <f t="shared" si="63"/>
        <v>Wang 2021</v>
      </c>
      <c r="C2538">
        <v>453.15</v>
      </c>
      <c r="D2538">
        <v>1300</v>
      </c>
      <c r="E2538">
        <v>0</v>
      </c>
      <c r="G2538">
        <v>6.3866999999999993E-2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 spans="1:20">
      <c r="A2539">
        <f t="shared" si="62"/>
        <v>2538</v>
      </c>
      <c r="B2539" t="str">
        <f t="shared" si="63"/>
        <v>Wang 2021</v>
      </c>
      <c r="C2539">
        <v>453.15</v>
      </c>
      <c r="D2539">
        <v>1400</v>
      </c>
      <c r="E2539">
        <v>0</v>
      </c>
      <c r="G2539">
        <v>6.5573000000000006E-2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</row>
    <row r="2540" spans="1:20">
      <c r="A2540">
        <f t="shared" si="62"/>
        <v>2539</v>
      </c>
      <c r="B2540" t="str">
        <f t="shared" si="63"/>
        <v>Wang 2021</v>
      </c>
      <c r="C2540">
        <v>453.15</v>
      </c>
      <c r="D2540">
        <v>1500</v>
      </c>
      <c r="E2540">
        <v>0</v>
      </c>
      <c r="G2540">
        <v>6.7049999999999998E-2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</row>
    <row r="2541" spans="1:20">
      <c r="A2541">
        <f t="shared" si="62"/>
        <v>2540</v>
      </c>
      <c r="B2541" t="str">
        <f t="shared" si="63"/>
        <v>Wang 2021</v>
      </c>
      <c r="C2541">
        <v>453.15</v>
      </c>
      <c r="D2541">
        <v>1600</v>
      </c>
      <c r="E2541">
        <v>0</v>
      </c>
      <c r="G2541">
        <v>6.8487999999999993E-2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 spans="1:20">
      <c r="A2542">
        <f t="shared" si="62"/>
        <v>2541</v>
      </c>
      <c r="B2542" t="str">
        <f t="shared" si="63"/>
        <v>Wang 2021</v>
      </c>
      <c r="C2542">
        <v>453.15</v>
      </c>
      <c r="D2542">
        <v>1700</v>
      </c>
      <c r="E2542">
        <v>0</v>
      </c>
      <c r="G2542">
        <v>6.9762000000000005E-2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 spans="1:20">
      <c r="A2543">
        <f t="shared" si="62"/>
        <v>2542</v>
      </c>
      <c r="B2543" t="str">
        <f t="shared" si="63"/>
        <v>Wang 2021</v>
      </c>
      <c r="C2543">
        <v>453.15</v>
      </c>
      <c r="D2543">
        <v>1800</v>
      </c>
      <c r="E2543">
        <v>0</v>
      </c>
      <c r="G2543">
        <v>7.0981000000000002E-2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 spans="1:20">
      <c r="A2544">
        <f t="shared" si="62"/>
        <v>2543</v>
      </c>
      <c r="B2544" t="str">
        <f t="shared" si="63"/>
        <v>Wang 2021</v>
      </c>
      <c r="C2544">
        <v>453.15</v>
      </c>
      <c r="D2544">
        <v>1900</v>
      </c>
      <c r="E2544">
        <v>0</v>
      </c>
      <c r="G2544">
        <v>7.2085999999999997E-2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 spans="1:20">
      <c r="A2545">
        <f t="shared" si="62"/>
        <v>2544</v>
      </c>
      <c r="B2545" t="str">
        <f t="shared" si="63"/>
        <v>Wang 2021</v>
      </c>
      <c r="C2545">
        <v>453.15</v>
      </c>
      <c r="D2545">
        <v>2000</v>
      </c>
      <c r="E2545">
        <v>0</v>
      </c>
      <c r="G2545">
        <v>7.3237999999999998E-2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 spans="1:20">
      <c r="A2546">
        <f t="shared" si="62"/>
        <v>2545</v>
      </c>
      <c r="B2546" t="str">
        <f t="shared" si="63"/>
        <v>Wang 2021</v>
      </c>
      <c r="C2546">
        <v>473.15</v>
      </c>
      <c r="D2546">
        <v>5</v>
      </c>
      <c r="E2546">
        <v>0</v>
      </c>
      <c r="G2546">
        <v>2.042E-3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>
      <c r="A2547">
        <f t="shared" si="62"/>
        <v>2546</v>
      </c>
      <c r="B2547" t="str">
        <f t="shared" si="63"/>
        <v>Wang 2021</v>
      </c>
      <c r="C2547">
        <v>473.15</v>
      </c>
      <c r="D2547">
        <v>10</v>
      </c>
      <c r="E2547">
        <v>0</v>
      </c>
      <c r="G2547">
        <v>1.5590000000000001E-3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>
      <c r="A2548">
        <f t="shared" si="62"/>
        <v>2547</v>
      </c>
      <c r="B2548" t="str">
        <f t="shared" si="63"/>
        <v>Wang 2021</v>
      </c>
      <c r="C2548">
        <v>473.15</v>
      </c>
      <c r="D2548">
        <v>20</v>
      </c>
      <c r="E2548">
        <v>0</v>
      </c>
      <c r="G2548">
        <v>1.5610000000000001E-3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>
      <c r="A2549">
        <f t="shared" si="62"/>
        <v>2548</v>
      </c>
      <c r="B2549" t="str">
        <f t="shared" si="63"/>
        <v>Wang 2021</v>
      </c>
      <c r="C2549">
        <v>473.15</v>
      </c>
      <c r="D2549">
        <v>50</v>
      </c>
      <c r="E2549">
        <v>0</v>
      </c>
      <c r="G2549">
        <v>5.3810000000000004E-3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>
      <c r="A2550">
        <f t="shared" si="62"/>
        <v>2549</v>
      </c>
      <c r="B2550" t="str">
        <f t="shared" si="63"/>
        <v>Wang 2021</v>
      </c>
      <c r="C2550">
        <v>473.15</v>
      </c>
      <c r="D2550">
        <v>100</v>
      </c>
      <c r="E2550">
        <v>0</v>
      </c>
      <c r="G2550">
        <v>1.2624E-2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>
      <c r="A2551">
        <f t="shared" si="62"/>
        <v>2550</v>
      </c>
      <c r="B2551" t="str">
        <f t="shared" si="63"/>
        <v>Wang 2021</v>
      </c>
      <c r="C2551">
        <v>473.15</v>
      </c>
      <c r="D2551">
        <v>200</v>
      </c>
      <c r="E2551">
        <v>0</v>
      </c>
      <c r="G2551">
        <v>2.4778000000000001E-2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>
      <c r="A2552">
        <f t="shared" si="62"/>
        <v>2551</v>
      </c>
      <c r="B2552" t="str">
        <f t="shared" si="63"/>
        <v>Wang 2021</v>
      </c>
      <c r="C2552">
        <v>473.15</v>
      </c>
      <c r="D2552">
        <v>300</v>
      </c>
      <c r="E2552">
        <v>0</v>
      </c>
      <c r="G2552">
        <v>3.3999000000000001E-2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 spans="1:20">
      <c r="A2553">
        <f t="shared" si="62"/>
        <v>2552</v>
      </c>
      <c r="B2553" t="str">
        <f t="shared" si="63"/>
        <v>Wang 2021</v>
      </c>
      <c r="C2553">
        <v>473.15</v>
      </c>
      <c r="D2553">
        <v>400</v>
      </c>
      <c r="E2553">
        <v>0</v>
      </c>
      <c r="G2553">
        <v>4.1457000000000001E-2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 spans="1:20">
      <c r="A2554">
        <f t="shared" si="62"/>
        <v>2553</v>
      </c>
      <c r="B2554" t="str">
        <f t="shared" si="63"/>
        <v>Wang 2021</v>
      </c>
      <c r="C2554">
        <v>473.15</v>
      </c>
      <c r="D2554">
        <v>500</v>
      </c>
      <c r="E2554">
        <v>0</v>
      </c>
      <c r="G2554">
        <v>4.7357999999999997E-2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 spans="1:20">
      <c r="A2555">
        <f t="shared" si="62"/>
        <v>2554</v>
      </c>
      <c r="B2555" t="str">
        <f t="shared" si="63"/>
        <v>Wang 2021</v>
      </c>
      <c r="C2555">
        <v>473.15</v>
      </c>
      <c r="D2555">
        <v>600</v>
      </c>
      <c r="E2555">
        <v>0</v>
      </c>
      <c r="G2555">
        <v>5.2561999999999998E-2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 spans="1:20">
      <c r="A2556">
        <f t="shared" si="62"/>
        <v>2555</v>
      </c>
      <c r="B2556" t="str">
        <f t="shared" si="63"/>
        <v>Wang 2021</v>
      </c>
      <c r="C2556">
        <v>473.15</v>
      </c>
      <c r="D2556">
        <v>700</v>
      </c>
      <c r="E2556">
        <v>0</v>
      </c>
      <c r="G2556">
        <v>5.7174999999999997E-2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 spans="1:20">
      <c r="A2557">
        <f t="shared" si="62"/>
        <v>2556</v>
      </c>
      <c r="B2557" t="str">
        <f t="shared" si="63"/>
        <v>Wang 2021</v>
      </c>
      <c r="C2557">
        <v>473.15</v>
      </c>
      <c r="D2557">
        <v>800</v>
      </c>
      <c r="E2557">
        <v>0</v>
      </c>
      <c r="G2557">
        <v>6.0818999999999998E-2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 spans="1:20">
      <c r="A2558">
        <f t="shared" si="62"/>
        <v>2557</v>
      </c>
      <c r="B2558" t="str">
        <f t="shared" si="63"/>
        <v>Wang 2021</v>
      </c>
      <c r="C2558">
        <v>473.15</v>
      </c>
      <c r="D2558">
        <v>900</v>
      </c>
      <c r="E2558">
        <v>0</v>
      </c>
      <c r="G2558">
        <v>6.4445000000000002E-2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 spans="1:20">
      <c r="A2559">
        <f t="shared" si="62"/>
        <v>2558</v>
      </c>
      <c r="B2559" t="str">
        <f t="shared" si="63"/>
        <v>Wang 2021</v>
      </c>
      <c r="C2559">
        <v>473.15</v>
      </c>
      <c r="D2559">
        <v>1000</v>
      </c>
      <c r="E2559">
        <v>0</v>
      </c>
      <c r="G2559">
        <v>6.7858000000000002E-2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 spans="1:20">
      <c r="A2560">
        <f t="shared" si="62"/>
        <v>2559</v>
      </c>
      <c r="B2560" t="str">
        <f t="shared" si="63"/>
        <v>Wang 2021</v>
      </c>
      <c r="C2560">
        <v>473.15</v>
      </c>
      <c r="D2560">
        <v>1100</v>
      </c>
      <c r="E2560">
        <v>0</v>
      </c>
      <c r="G2560">
        <v>7.0866999999999999E-2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 spans="1:20">
      <c r="A2561">
        <f t="shared" si="62"/>
        <v>2560</v>
      </c>
      <c r="B2561" t="str">
        <f t="shared" si="63"/>
        <v>Wang 2021</v>
      </c>
      <c r="C2561">
        <v>473.15</v>
      </c>
      <c r="D2561">
        <v>1200</v>
      </c>
      <c r="E2561">
        <v>0</v>
      </c>
      <c r="G2561">
        <v>7.3583999999999997E-2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>
      <c r="A2562">
        <f t="shared" si="62"/>
        <v>2561</v>
      </c>
      <c r="B2562" t="str">
        <f t="shared" si="63"/>
        <v>Wang 2021</v>
      </c>
      <c r="C2562">
        <v>473.15</v>
      </c>
      <c r="D2562">
        <v>1300</v>
      </c>
      <c r="E2562">
        <v>0</v>
      </c>
      <c r="G2562">
        <v>7.6125999999999999E-2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 spans="1:20">
      <c r="A2563">
        <f t="shared" si="62"/>
        <v>2562</v>
      </c>
      <c r="B2563" t="str">
        <f t="shared" si="63"/>
        <v>Wang 2021</v>
      </c>
      <c r="C2563">
        <v>473.15</v>
      </c>
      <c r="D2563">
        <v>1400</v>
      </c>
      <c r="E2563">
        <v>0</v>
      </c>
      <c r="G2563">
        <v>7.8299999999999995E-2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 spans="1:20">
      <c r="A2564">
        <f t="shared" ref="A2564:A2627" si="64">A2563+1</f>
        <v>2563</v>
      </c>
      <c r="B2564" t="str">
        <f t="shared" si="63"/>
        <v>Wang 2021</v>
      </c>
      <c r="C2564">
        <v>473.15</v>
      </c>
      <c r="D2564">
        <v>1500</v>
      </c>
      <c r="E2564">
        <v>0</v>
      </c>
      <c r="G2564">
        <v>8.0614000000000005E-2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 spans="1:20">
      <c r="A2565">
        <f t="shared" si="64"/>
        <v>2564</v>
      </c>
      <c r="B2565" t="str">
        <f t="shared" si="63"/>
        <v>Wang 2021</v>
      </c>
      <c r="C2565">
        <v>473.15</v>
      </c>
      <c r="D2565">
        <v>1600</v>
      </c>
      <c r="E2565">
        <v>0</v>
      </c>
      <c r="G2565">
        <v>8.2587999999999995E-2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 spans="1:20">
      <c r="A2566">
        <f t="shared" si="64"/>
        <v>2565</v>
      </c>
      <c r="B2566" t="str">
        <f t="shared" si="63"/>
        <v>Wang 2021</v>
      </c>
      <c r="C2566">
        <v>473.15</v>
      </c>
      <c r="D2566">
        <v>1700</v>
      </c>
      <c r="E2566">
        <v>0</v>
      </c>
      <c r="G2566">
        <v>8.4370000000000001E-2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 spans="1:20">
      <c r="A2567">
        <f t="shared" si="64"/>
        <v>2566</v>
      </c>
      <c r="B2567" t="str">
        <f t="shared" si="63"/>
        <v>Wang 2021</v>
      </c>
      <c r="C2567">
        <v>473.15</v>
      </c>
      <c r="D2567">
        <v>1800</v>
      </c>
      <c r="E2567">
        <v>0</v>
      </c>
      <c r="G2567">
        <v>8.5782999999999998E-2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 spans="1:20">
      <c r="A2568">
        <f t="shared" si="64"/>
        <v>2567</v>
      </c>
      <c r="B2568" t="str">
        <f t="shared" si="63"/>
        <v>Wang 2021</v>
      </c>
      <c r="C2568">
        <v>473.15</v>
      </c>
      <c r="D2568">
        <v>1900</v>
      </c>
      <c r="E2568">
        <v>0</v>
      </c>
      <c r="G2568">
        <v>8.7076000000000001E-2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 spans="1:20">
      <c r="A2569">
        <f t="shared" si="64"/>
        <v>2568</v>
      </c>
      <c r="B2569" t="str">
        <f t="shared" si="63"/>
        <v>Wang 2021</v>
      </c>
      <c r="C2569">
        <v>473.15</v>
      </c>
      <c r="D2569">
        <v>2000</v>
      </c>
      <c r="E2569">
        <v>0</v>
      </c>
      <c r="G2569">
        <v>8.8325000000000001E-2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 spans="1:20">
      <c r="A2570">
        <f t="shared" si="64"/>
        <v>2569</v>
      </c>
      <c r="B2570" t="str">
        <f t="shared" si="63"/>
        <v>Wang 2021</v>
      </c>
      <c r="C2570">
        <v>313.14999999999998</v>
      </c>
      <c r="D2570">
        <v>100</v>
      </c>
      <c r="E2570">
        <v>0</v>
      </c>
      <c r="F2570">
        <v>1.7000000000000001E-2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>
      <c r="A2571">
        <f t="shared" si="64"/>
        <v>2570</v>
      </c>
      <c r="B2571" t="str">
        <f t="shared" si="63"/>
        <v>Wang 2021</v>
      </c>
      <c r="C2571">
        <v>313.14999999999998</v>
      </c>
      <c r="D2571">
        <v>200</v>
      </c>
      <c r="E2571">
        <v>0</v>
      </c>
      <c r="F2571">
        <v>2.1999999999999999E-2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>
      <c r="A2572">
        <f t="shared" si="64"/>
        <v>2571</v>
      </c>
      <c r="B2572" t="str">
        <f t="shared" ref="B2572:B2625" si="65">B2571</f>
        <v>Wang 2021</v>
      </c>
      <c r="C2572">
        <v>313.14999999999998</v>
      </c>
      <c r="D2572">
        <v>400</v>
      </c>
      <c r="E2572">
        <v>0</v>
      </c>
      <c r="F2572">
        <v>3.2000000000000001E-2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>
      <c r="A2573">
        <f t="shared" si="64"/>
        <v>2572</v>
      </c>
      <c r="B2573" t="str">
        <f t="shared" si="65"/>
        <v>Wang 2021</v>
      </c>
      <c r="C2573">
        <v>313.14999999999998</v>
      </c>
      <c r="D2573">
        <v>600</v>
      </c>
      <c r="E2573">
        <v>0</v>
      </c>
      <c r="F2573">
        <v>4.2000000000000003E-2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>
      <c r="A2574">
        <f t="shared" si="64"/>
        <v>2573</v>
      </c>
      <c r="B2574" t="str">
        <f t="shared" si="65"/>
        <v>Wang 2021</v>
      </c>
      <c r="C2574">
        <v>313.14999999999998</v>
      </c>
      <c r="D2574">
        <v>800</v>
      </c>
      <c r="E2574">
        <v>0</v>
      </c>
      <c r="F2574">
        <v>5.1999999999999998E-2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>
      <c r="A2575">
        <f t="shared" si="64"/>
        <v>2574</v>
      </c>
      <c r="B2575" t="str">
        <f t="shared" si="65"/>
        <v>Wang 2021</v>
      </c>
      <c r="C2575">
        <v>313.14999999999998</v>
      </c>
      <c r="D2575">
        <v>1000</v>
      </c>
      <c r="E2575">
        <v>0</v>
      </c>
      <c r="F2575">
        <v>6.2E-2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 spans="1:20">
      <c r="A2576">
        <f t="shared" si="64"/>
        <v>2575</v>
      </c>
      <c r="B2576" t="str">
        <f t="shared" si="65"/>
        <v>Wang 2021</v>
      </c>
      <c r="C2576">
        <v>313.14999999999998</v>
      </c>
      <c r="D2576">
        <v>1500</v>
      </c>
      <c r="E2576">
        <v>0</v>
      </c>
      <c r="F2576">
        <v>7.2999999999999995E-2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 spans="1:20">
      <c r="A2577">
        <f t="shared" si="64"/>
        <v>2576</v>
      </c>
      <c r="B2577" t="str">
        <f t="shared" si="65"/>
        <v>Wang 2021</v>
      </c>
      <c r="C2577">
        <v>313.14999999999998</v>
      </c>
      <c r="D2577">
        <v>2000</v>
      </c>
      <c r="E2577">
        <v>0</v>
      </c>
      <c r="F2577">
        <v>8.1000000000000003E-2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 spans="1:20">
      <c r="A2578">
        <f t="shared" si="64"/>
        <v>2577</v>
      </c>
      <c r="B2578" t="str">
        <f t="shared" si="65"/>
        <v>Wang 2021</v>
      </c>
      <c r="C2578">
        <v>353.15</v>
      </c>
      <c r="D2578">
        <v>100</v>
      </c>
      <c r="E2578">
        <v>0</v>
      </c>
      <c r="F2578">
        <v>1.9E-2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 spans="1:20">
      <c r="A2579">
        <f t="shared" si="64"/>
        <v>2578</v>
      </c>
      <c r="B2579" t="str">
        <f t="shared" si="65"/>
        <v>Wang 2021</v>
      </c>
      <c r="C2579">
        <v>353.15</v>
      </c>
      <c r="D2579">
        <v>200</v>
      </c>
      <c r="E2579">
        <v>0</v>
      </c>
      <c r="F2579">
        <v>2.5000000000000001E-2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 spans="1:20">
      <c r="A2580">
        <f t="shared" si="64"/>
        <v>2579</v>
      </c>
      <c r="B2580" t="str">
        <f t="shared" si="65"/>
        <v>Wang 2021</v>
      </c>
      <c r="C2580">
        <v>353.15</v>
      </c>
      <c r="D2580">
        <v>400</v>
      </c>
      <c r="E2580">
        <v>0</v>
      </c>
      <c r="F2580">
        <v>3.5000000000000003E-2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 spans="1:20">
      <c r="A2581">
        <f t="shared" si="64"/>
        <v>2580</v>
      </c>
      <c r="B2581" t="str">
        <f t="shared" si="65"/>
        <v>Wang 2021</v>
      </c>
      <c r="C2581">
        <v>353.15</v>
      </c>
      <c r="D2581">
        <v>600</v>
      </c>
      <c r="E2581">
        <v>0</v>
      </c>
      <c r="F2581">
        <v>4.5999999999999999E-2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 spans="1:20">
      <c r="A2582">
        <f t="shared" si="64"/>
        <v>2581</v>
      </c>
      <c r="B2582" t="str">
        <f t="shared" si="65"/>
        <v>Wang 2021</v>
      </c>
      <c r="C2582">
        <v>353.15</v>
      </c>
      <c r="D2582">
        <v>800</v>
      </c>
      <c r="E2582">
        <v>0</v>
      </c>
      <c r="F2582">
        <v>5.7000000000000002E-2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 spans="1:20">
      <c r="A2583">
        <f t="shared" si="64"/>
        <v>2582</v>
      </c>
      <c r="B2583" t="str">
        <f t="shared" si="65"/>
        <v>Wang 2021</v>
      </c>
      <c r="C2583">
        <v>353.15</v>
      </c>
      <c r="D2583">
        <v>1000</v>
      </c>
      <c r="E2583">
        <v>0</v>
      </c>
      <c r="F2583">
        <v>6.7000000000000004E-2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 spans="1:20">
      <c r="A2584">
        <f t="shared" si="64"/>
        <v>2583</v>
      </c>
      <c r="B2584" t="str">
        <f t="shared" si="65"/>
        <v>Wang 2021</v>
      </c>
      <c r="C2584">
        <v>353.15</v>
      </c>
      <c r="D2584">
        <v>1500</v>
      </c>
      <c r="E2584">
        <v>0</v>
      </c>
      <c r="F2584">
        <v>7.6999999999999999E-2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 spans="1:20">
      <c r="A2585">
        <f t="shared" si="64"/>
        <v>2584</v>
      </c>
      <c r="B2585" t="str">
        <f t="shared" si="65"/>
        <v>Wang 2021</v>
      </c>
      <c r="C2585">
        <v>353.15</v>
      </c>
      <c r="D2585">
        <v>2000</v>
      </c>
      <c r="E2585">
        <v>0</v>
      </c>
      <c r="F2585">
        <v>8.5999999999999993E-2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 spans="1:20">
      <c r="A2586">
        <f t="shared" si="64"/>
        <v>2585</v>
      </c>
      <c r="B2586" t="str">
        <f t="shared" si="65"/>
        <v>Wang 2021</v>
      </c>
      <c r="C2586">
        <v>373.15</v>
      </c>
      <c r="D2586">
        <v>100</v>
      </c>
      <c r="E2586">
        <v>0</v>
      </c>
      <c r="F2586">
        <v>2.1000000000000001E-2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 spans="1:20">
      <c r="A2587">
        <f t="shared" si="64"/>
        <v>2586</v>
      </c>
      <c r="B2587" t="str">
        <f t="shared" si="65"/>
        <v>Wang 2021</v>
      </c>
      <c r="C2587">
        <v>373.15</v>
      </c>
      <c r="D2587">
        <v>200</v>
      </c>
      <c r="E2587">
        <v>0</v>
      </c>
      <c r="F2587">
        <v>2.7E-2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 spans="1:20">
      <c r="A2588">
        <f t="shared" si="64"/>
        <v>2587</v>
      </c>
      <c r="B2588" t="str">
        <f t="shared" si="65"/>
        <v>Wang 2021</v>
      </c>
      <c r="C2588">
        <v>373.15</v>
      </c>
      <c r="D2588">
        <v>400</v>
      </c>
      <c r="E2588">
        <v>0</v>
      </c>
      <c r="F2588">
        <v>3.7999999999999999E-2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 spans="1:20">
      <c r="A2589">
        <f t="shared" si="64"/>
        <v>2588</v>
      </c>
      <c r="B2589" t="str">
        <f t="shared" si="65"/>
        <v>Wang 2021</v>
      </c>
      <c r="C2589">
        <v>373.15</v>
      </c>
      <c r="D2589">
        <v>600</v>
      </c>
      <c r="E2589">
        <v>0</v>
      </c>
      <c r="F2589">
        <v>4.9000000000000002E-2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 spans="1:20">
      <c r="A2590">
        <f t="shared" si="64"/>
        <v>2589</v>
      </c>
      <c r="B2590" t="str">
        <f t="shared" si="65"/>
        <v>Wang 2021</v>
      </c>
      <c r="C2590">
        <v>373.15</v>
      </c>
      <c r="D2590">
        <v>800</v>
      </c>
      <c r="E2590">
        <v>0</v>
      </c>
      <c r="F2590">
        <v>6.2E-2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 spans="1:20">
      <c r="A2591">
        <f t="shared" si="64"/>
        <v>2590</v>
      </c>
      <c r="B2591" t="str">
        <f t="shared" si="65"/>
        <v>Wang 2021</v>
      </c>
      <c r="C2591">
        <v>373.15</v>
      </c>
      <c r="D2591">
        <v>1000</v>
      </c>
      <c r="E2591">
        <v>0</v>
      </c>
      <c r="F2591">
        <v>7.1999999999999995E-2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 spans="1:20">
      <c r="A2592">
        <f t="shared" si="64"/>
        <v>2591</v>
      </c>
      <c r="B2592" t="str">
        <f t="shared" si="65"/>
        <v>Wang 2021</v>
      </c>
      <c r="C2592">
        <v>373.15</v>
      </c>
      <c r="D2592">
        <v>1500</v>
      </c>
      <c r="E2592">
        <v>0</v>
      </c>
      <c r="F2592">
        <v>8.2000000000000003E-2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 spans="1:20">
      <c r="A2593">
        <f t="shared" si="64"/>
        <v>2592</v>
      </c>
      <c r="B2593" t="str">
        <f t="shared" si="65"/>
        <v>Wang 2021</v>
      </c>
      <c r="C2593">
        <v>373.15</v>
      </c>
      <c r="D2593">
        <v>2000</v>
      </c>
      <c r="E2593">
        <v>0</v>
      </c>
      <c r="F2593">
        <v>9.0999999999999998E-2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 spans="1:20">
      <c r="A2594">
        <f t="shared" si="64"/>
        <v>2593</v>
      </c>
      <c r="B2594" t="str">
        <f t="shared" si="65"/>
        <v>Wang 2021</v>
      </c>
      <c r="C2594">
        <v>413.15</v>
      </c>
      <c r="D2594">
        <v>100</v>
      </c>
      <c r="E2594">
        <v>0</v>
      </c>
      <c r="F2594">
        <v>2.3E-2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>
      <c r="A2595">
        <f t="shared" si="64"/>
        <v>2594</v>
      </c>
      <c r="B2595" t="str">
        <f t="shared" si="65"/>
        <v>Wang 2021</v>
      </c>
      <c r="C2595">
        <v>413.15</v>
      </c>
      <c r="D2595">
        <v>200</v>
      </c>
      <c r="E2595">
        <v>0</v>
      </c>
      <c r="F2595">
        <v>0.03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>
      <c r="A2596">
        <f t="shared" si="64"/>
        <v>2595</v>
      </c>
      <c r="B2596" t="str">
        <f t="shared" si="65"/>
        <v>Wang 2021</v>
      </c>
      <c r="C2596">
        <v>413.15</v>
      </c>
      <c r="D2596">
        <v>400</v>
      </c>
      <c r="E2596">
        <v>0</v>
      </c>
      <c r="F2596">
        <v>4.2000000000000003E-2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>
      <c r="A2597">
        <f t="shared" si="64"/>
        <v>2596</v>
      </c>
      <c r="B2597" t="str">
        <f t="shared" si="65"/>
        <v>Wang 2021</v>
      </c>
      <c r="C2597">
        <v>413.15</v>
      </c>
      <c r="D2597">
        <v>600</v>
      </c>
      <c r="E2597">
        <v>0</v>
      </c>
      <c r="F2597">
        <v>5.2999999999999999E-2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>
      <c r="A2598">
        <f t="shared" si="64"/>
        <v>2597</v>
      </c>
      <c r="B2598" t="str">
        <f t="shared" si="65"/>
        <v>Wang 2021</v>
      </c>
      <c r="C2598">
        <v>413.15</v>
      </c>
      <c r="D2598">
        <v>800</v>
      </c>
      <c r="E2598">
        <v>0</v>
      </c>
      <c r="F2598">
        <v>6.6000000000000003E-2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>
      <c r="A2599">
        <f t="shared" si="64"/>
        <v>2598</v>
      </c>
      <c r="B2599" t="str">
        <f t="shared" si="65"/>
        <v>Wang 2021</v>
      </c>
      <c r="C2599">
        <v>413.15</v>
      </c>
      <c r="D2599">
        <v>1000</v>
      </c>
      <c r="E2599">
        <v>0</v>
      </c>
      <c r="F2599">
        <v>7.5999999999999998E-2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>
      <c r="A2600">
        <f t="shared" si="64"/>
        <v>2599</v>
      </c>
      <c r="B2600" t="str">
        <f t="shared" si="65"/>
        <v>Wang 2021</v>
      </c>
      <c r="C2600">
        <v>413.15</v>
      </c>
      <c r="D2600">
        <v>1500</v>
      </c>
      <c r="E2600">
        <v>0</v>
      </c>
      <c r="F2600">
        <v>8.6999999999999994E-2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>
      <c r="A2601">
        <f t="shared" si="64"/>
        <v>2600</v>
      </c>
      <c r="B2601" t="str">
        <f t="shared" si="65"/>
        <v>Wang 2021</v>
      </c>
      <c r="C2601">
        <v>413.15</v>
      </c>
      <c r="D2601">
        <v>2000</v>
      </c>
      <c r="E2601">
        <v>0</v>
      </c>
      <c r="F2601">
        <v>9.7000000000000003E-2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 spans="1:20">
      <c r="A2602">
        <f t="shared" si="64"/>
        <v>2601</v>
      </c>
      <c r="B2602" t="str">
        <f t="shared" si="65"/>
        <v>Wang 2021</v>
      </c>
      <c r="C2602">
        <v>433.15</v>
      </c>
      <c r="D2602">
        <v>100</v>
      </c>
      <c r="E2602">
        <v>0</v>
      </c>
      <c r="F2602">
        <v>2.5000000000000001E-2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 spans="1:20">
      <c r="A2603">
        <f t="shared" si="64"/>
        <v>2602</v>
      </c>
      <c r="B2603" t="str">
        <f t="shared" si="65"/>
        <v>Wang 2021</v>
      </c>
      <c r="C2603">
        <v>433.15</v>
      </c>
      <c r="D2603">
        <v>200</v>
      </c>
      <c r="E2603">
        <v>0</v>
      </c>
      <c r="F2603">
        <v>3.2000000000000001E-2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 spans="1:20">
      <c r="A2604">
        <f t="shared" si="64"/>
        <v>2603</v>
      </c>
      <c r="B2604" t="str">
        <f t="shared" si="65"/>
        <v>Wang 2021</v>
      </c>
      <c r="C2604">
        <v>433.15</v>
      </c>
      <c r="D2604">
        <v>400</v>
      </c>
      <c r="E2604">
        <v>0</v>
      </c>
      <c r="F2604">
        <v>4.4999999999999998E-2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 spans="1:20">
      <c r="A2605">
        <f t="shared" si="64"/>
        <v>2604</v>
      </c>
      <c r="B2605" t="str">
        <f t="shared" si="65"/>
        <v>Wang 2021</v>
      </c>
      <c r="C2605">
        <v>433.15</v>
      </c>
      <c r="D2605">
        <v>600</v>
      </c>
      <c r="E2605">
        <v>0</v>
      </c>
      <c r="F2605">
        <v>5.7000000000000002E-2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 spans="1:20">
      <c r="A2606">
        <f t="shared" si="64"/>
        <v>2605</v>
      </c>
      <c r="B2606" t="str">
        <f t="shared" si="65"/>
        <v>Wang 2021</v>
      </c>
      <c r="C2606">
        <v>433.15</v>
      </c>
      <c r="D2606">
        <v>800</v>
      </c>
      <c r="E2606">
        <v>0</v>
      </c>
      <c r="F2606">
        <v>7.0000000000000007E-2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 spans="1:20">
      <c r="A2607">
        <f t="shared" si="64"/>
        <v>2606</v>
      </c>
      <c r="B2607" t="str">
        <f t="shared" si="65"/>
        <v>Wang 2021</v>
      </c>
      <c r="C2607">
        <v>433.15</v>
      </c>
      <c r="D2607">
        <v>1000</v>
      </c>
      <c r="E2607">
        <v>0</v>
      </c>
      <c r="F2607">
        <v>8.2000000000000003E-2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 spans="1:20">
      <c r="A2608">
        <f t="shared" si="64"/>
        <v>2607</v>
      </c>
      <c r="B2608" t="str">
        <f t="shared" si="65"/>
        <v>Wang 2021</v>
      </c>
      <c r="C2608">
        <v>433.15</v>
      </c>
      <c r="D2608">
        <v>1500</v>
      </c>
      <c r="E2608">
        <v>0</v>
      </c>
      <c r="F2608">
        <v>9.1999999999999998E-2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 spans="1:20">
      <c r="A2609">
        <f t="shared" si="64"/>
        <v>2608</v>
      </c>
      <c r="B2609" t="str">
        <f t="shared" si="65"/>
        <v>Wang 2021</v>
      </c>
      <c r="C2609">
        <v>433.15</v>
      </c>
      <c r="D2609">
        <v>2000</v>
      </c>
      <c r="E2609">
        <v>0</v>
      </c>
      <c r="F2609">
        <v>0.10199999999999999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 spans="1:20">
      <c r="A2610">
        <f t="shared" si="64"/>
        <v>2609</v>
      </c>
      <c r="B2610" t="str">
        <f t="shared" si="65"/>
        <v>Wang 2021</v>
      </c>
      <c r="C2610">
        <v>453.15</v>
      </c>
      <c r="D2610">
        <v>100</v>
      </c>
      <c r="E2610">
        <v>0</v>
      </c>
      <c r="F2610">
        <v>2.8000000000000001E-2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 spans="1:20">
      <c r="A2611">
        <f t="shared" si="64"/>
        <v>2610</v>
      </c>
      <c r="B2611" t="str">
        <f t="shared" si="65"/>
        <v>Wang 2021</v>
      </c>
      <c r="C2611">
        <v>453.15</v>
      </c>
      <c r="D2611">
        <v>200</v>
      </c>
      <c r="E2611">
        <v>0</v>
      </c>
      <c r="F2611">
        <v>3.5000000000000003E-2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 spans="1:20">
      <c r="A2612">
        <f t="shared" si="64"/>
        <v>2611</v>
      </c>
      <c r="B2612" t="str">
        <f t="shared" si="65"/>
        <v>Wang 2021</v>
      </c>
      <c r="C2612">
        <v>453.15</v>
      </c>
      <c r="D2612">
        <v>400</v>
      </c>
      <c r="E2612">
        <v>0</v>
      </c>
      <c r="F2612">
        <v>4.9000000000000002E-2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 spans="1:20">
      <c r="A2613">
        <f t="shared" si="64"/>
        <v>2612</v>
      </c>
      <c r="B2613" t="str">
        <f t="shared" si="65"/>
        <v>Wang 2021</v>
      </c>
      <c r="C2613">
        <v>453.15</v>
      </c>
      <c r="D2613">
        <v>600</v>
      </c>
      <c r="E2613">
        <v>0</v>
      </c>
      <c r="F2613">
        <v>6.2E-2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 spans="1:20">
      <c r="A2614">
        <f t="shared" si="64"/>
        <v>2613</v>
      </c>
      <c r="B2614" t="str">
        <f t="shared" si="65"/>
        <v>Wang 2021</v>
      </c>
      <c r="C2614">
        <v>453.15</v>
      </c>
      <c r="D2614">
        <v>800</v>
      </c>
      <c r="E2614">
        <v>0</v>
      </c>
      <c r="F2614">
        <v>7.5999999999999998E-2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 spans="1:20">
      <c r="A2615">
        <f t="shared" si="64"/>
        <v>2614</v>
      </c>
      <c r="B2615" t="str">
        <f t="shared" si="65"/>
        <v>Wang 2021</v>
      </c>
      <c r="C2615">
        <v>453.15</v>
      </c>
      <c r="D2615">
        <v>1000</v>
      </c>
      <c r="E2615">
        <v>0</v>
      </c>
      <c r="F2615">
        <v>8.6999999999999994E-2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 spans="1:20">
      <c r="A2616">
        <f t="shared" si="64"/>
        <v>2615</v>
      </c>
      <c r="B2616" t="str">
        <f t="shared" si="65"/>
        <v>Wang 2021</v>
      </c>
      <c r="C2616">
        <v>453.15</v>
      </c>
      <c r="D2616">
        <v>1500</v>
      </c>
      <c r="E2616">
        <v>0</v>
      </c>
      <c r="F2616">
        <v>9.6000000000000002E-2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 spans="1:20">
      <c r="A2617">
        <f t="shared" si="64"/>
        <v>2616</v>
      </c>
      <c r="B2617" t="str">
        <f t="shared" si="65"/>
        <v>Wang 2021</v>
      </c>
      <c r="C2617">
        <v>453.15</v>
      </c>
      <c r="D2617">
        <v>2000</v>
      </c>
      <c r="E2617">
        <v>0</v>
      </c>
      <c r="F2617">
        <v>0.108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 spans="1:20">
      <c r="A2618">
        <f t="shared" si="64"/>
        <v>2617</v>
      </c>
      <c r="B2618" t="str">
        <f t="shared" si="65"/>
        <v>Wang 2021</v>
      </c>
      <c r="C2618">
        <v>473.15</v>
      </c>
      <c r="D2618">
        <v>100</v>
      </c>
      <c r="E2618">
        <v>0</v>
      </c>
      <c r="F2618">
        <v>0.03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>
      <c r="A2619">
        <f t="shared" si="64"/>
        <v>2618</v>
      </c>
      <c r="B2619" t="str">
        <f t="shared" si="65"/>
        <v>Wang 2021</v>
      </c>
      <c r="C2619">
        <v>473.15</v>
      </c>
      <c r="D2619">
        <v>200</v>
      </c>
      <c r="E2619">
        <v>0</v>
      </c>
      <c r="F2619">
        <v>3.7999999999999999E-2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>
      <c r="A2620">
        <f t="shared" si="64"/>
        <v>2619</v>
      </c>
      <c r="B2620" t="str">
        <f t="shared" si="65"/>
        <v>Wang 2021</v>
      </c>
      <c r="C2620">
        <v>473.15</v>
      </c>
      <c r="D2620">
        <v>400</v>
      </c>
      <c r="E2620">
        <v>0</v>
      </c>
      <c r="F2620">
        <v>5.2999999999999999E-2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>
      <c r="A2621">
        <f t="shared" si="64"/>
        <v>2620</v>
      </c>
      <c r="B2621" t="str">
        <f t="shared" si="65"/>
        <v>Wang 2021</v>
      </c>
      <c r="C2621">
        <v>473.15</v>
      </c>
      <c r="D2621">
        <v>600</v>
      </c>
      <c r="E2621">
        <v>0</v>
      </c>
      <c r="F2621">
        <v>6.6000000000000003E-2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>
      <c r="A2622">
        <f t="shared" si="64"/>
        <v>2621</v>
      </c>
      <c r="B2622" t="str">
        <f t="shared" si="65"/>
        <v>Wang 2021</v>
      </c>
      <c r="C2622">
        <v>473.15</v>
      </c>
      <c r="D2622">
        <v>800</v>
      </c>
      <c r="E2622">
        <v>0</v>
      </c>
      <c r="F2622">
        <v>8.2000000000000003E-2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>
      <c r="A2623">
        <f t="shared" si="64"/>
        <v>2622</v>
      </c>
      <c r="B2623" t="str">
        <f t="shared" si="65"/>
        <v>Wang 2021</v>
      </c>
      <c r="C2623">
        <v>473.15</v>
      </c>
      <c r="D2623">
        <v>1000</v>
      </c>
      <c r="E2623">
        <v>0</v>
      </c>
      <c r="F2623">
        <v>9.1999999999999998E-2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>
      <c r="A2624">
        <f t="shared" si="64"/>
        <v>2623</v>
      </c>
      <c r="B2624" t="str">
        <f t="shared" si="65"/>
        <v>Wang 2021</v>
      </c>
      <c r="C2624">
        <v>473.15</v>
      </c>
      <c r="D2624">
        <v>1500</v>
      </c>
      <c r="E2624">
        <v>0</v>
      </c>
      <c r="F2624">
        <v>0.10299999999999999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>
      <c r="A2625">
        <f t="shared" si="64"/>
        <v>2624</v>
      </c>
      <c r="B2625" t="str">
        <f t="shared" si="65"/>
        <v>Wang 2021</v>
      </c>
      <c r="C2625">
        <v>473.15</v>
      </c>
      <c r="D2625">
        <v>2000</v>
      </c>
      <c r="E2625">
        <v>0</v>
      </c>
      <c r="F2625">
        <v>0.11600000000000001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 spans="1:20">
      <c r="A2626">
        <f t="shared" si="64"/>
        <v>2625</v>
      </c>
      <c r="B2626" t="s">
        <v>104</v>
      </c>
      <c r="C2626">
        <v>310.93</v>
      </c>
      <c r="D2626">
        <v>13.79</v>
      </c>
      <c r="E2626">
        <v>0</v>
      </c>
      <c r="F2626">
        <v>5.0070000000000002E-3</v>
      </c>
      <c r="S2626">
        <v>1</v>
      </c>
    </row>
    <row r="2627" spans="1:20">
      <c r="A2627">
        <f t="shared" si="64"/>
        <v>2626</v>
      </c>
      <c r="B2627" t="s">
        <v>104</v>
      </c>
      <c r="C2627">
        <v>310.93</v>
      </c>
      <c r="D2627">
        <v>27.58</v>
      </c>
      <c r="E2627">
        <v>0</v>
      </c>
      <c r="F2627">
        <v>2.6410000000000001E-3</v>
      </c>
      <c r="S2627">
        <v>1</v>
      </c>
    </row>
    <row r="2628" spans="1:20">
      <c r="A2628">
        <f t="shared" ref="A2628:A2691" si="66">A2627+1</f>
        <v>2627</v>
      </c>
      <c r="B2628" t="s">
        <v>104</v>
      </c>
      <c r="C2628">
        <v>310.93</v>
      </c>
      <c r="D2628">
        <v>41.37</v>
      </c>
      <c r="E2628">
        <v>0</v>
      </c>
      <c r="F2628">
        <v>1.859E-3</v>
      </c>
      <c r="S2628">
        <v>1</v>
      </c>
    </row>
    <row r="2629" spans="1:20">
      <c r="A2629">
        <f t="shared" si="66"/>
        <v>2628</v>
      </c>
      <c r="B2629" t="s">
        <v>104</v>
      </c>
      <c r="C2629">
        <v>310.93</v>
      </c>
      <c r="D2629">
        <v>55.16</v>
      </c>
      <c r="E2629">
        <v>0</v>
      </c>
      <c r="F2629">
        <v>1.474E-3</v>
      </c>
      <c r="S2629">
        <v>1</v>
      </c>
    </row>
    <row r="2630" spans="1:20">
      <c r="A2630">
        <f t="shared" si="66"/>
        <v>2629</v>
      </c>
      <c r="B2630" t="s">
        <v>104</v>
      </c>
      <c r="C2630">
        <v>310.93</v>
      </c>
      <c r="D2630">
        <v>68.95</v>
      </c>
      <c r="E2630">
        <v>0</v>
      </c>
      <c r="F2630">
        <v>1.2440000000000001E-3</v>
      </c>
      <c r="S2630">
        <v>1</v>
      </c>
    </row>
    <row r="2631" spans="1:20">
      <c r="A2631">
        <f t="shared" si="66"/>
        <v>2630</v>
      </c>
      <c r="B2631" t="s">
        <v>104</v>
      </c>
      <c r="C2631">
        <v>310.93</v>
      </c>
      <c r="D2631">
        <v>137.9</v>
      </c>
      <c r="E2631">
        <v>0</v>
      </c>
      <c r="F2631">
        <v>8.12E-4</v>
      </c>
      <c r="S2631">
        <v>1</v>
      </c>
    </row>
    <row r="2632" spans="1:20">
      <c r="A2632">
        <f t="shared" si="66"/>
        <v>2631</v>
      </c>
      <c r="B2632" t="s">
        <v>104</v>
      </c>
      <c r="C2632">
        <v>310.93</v>
      </c>
      <c r="D2632">
        <v>241.32</v>
      </c>
      <c r="E2632">
        <v>0</v>
      </c>
      <c r="F2632">
        <v>7.3399999999999995E-4</v>
      </c>
      <c r="S2632">
        <v>1</v>
      </c>
    </row>
    <row r="2633" spans="1:20">
      <c r="A2633">
        <f t="shared" si="66"/>
        <v>2632</v>
      </c>
      <c r="B2633" t="s">
        <v>104</v>
      </c>
      <c r="C2633">
        <v>310.93</v>
      </c>
      <c r="D2633">
        <v>344.74</v>
      </c>
      <c r="E2633">
        <v>0</v>
      </c>
      <c r="F2633">
        <v>6.2E-4</v>
      </c>
      <c r="S2633">
        <v>1</v>
      </c>
    </row>
    <row r="2634" spans="1:20">
      <c r="A2634">
        <f t="shared" si="66"/>
        <v>2633</v>
      </c>
      <c r="B2634" t="s">
        <v>104</v>
      </c>
      <c r="C2634">
        <v>310.93</v>
      </c>
      <c r="D2634">
        <v>689.48</v>
      </c>
      <c r="E2634">
        <v>0</v>
      </c>
      <c r="F2634">
        <v>6.29E-4</v>
      </c>
      <c r="S2634">
        <v>1</v>
      </c>
    </row>
    <row r="2635" spans="1:20">
      <c r="A2635">
        <f t="shared" si="66"/>
        <v>2634</v>
      </c>
      <c r="B2635" t="s">
        <v>104</v>
      </c>
      <c r="C2635">
        <v>344.26</v>
      </c>
      <c r="D2635">
        <v>13.79</v>
      </c>
      <c r="E2635">
        <v>0</v>
      </c>
      <c r="F2635">
        <v>2.4490000000000001E-2</v>
      </c>
      <c r="S2635">
        <v>1</v>
      </c>
    </row>
    <row r="2636" spans="1:20">
      <c r="A2636">
        <f t="shared" si="66"/>
        <v>2635</v>
      </c>
      <c r="B2636" t="s">
        <v>104</v>
      </c>
      <c r="C2636">
        <v>344.26</v>
      </c>
      <c r="D2636">
        <v>27.58</v>
      </c>
      <c r="E2636">
        <v>0</v>
      </c>
      <c r="F2636">
        <v>1.269E-2</v>
      </c>
      <c r="S2636">
        <v>1</v>
      </c>
    </row>
    <row r="2637" spans="1:20">
      <c r="A2637">
        <f t="shared" si="66"/>
        <v>2636</v>
      </c>
      <c r="B2637" t="s">
        <v>104</v>
      </c>
      <c r="C2637">
        <v>344.26</v>
      </c>
      <c r="D2637">
        <v>55.16</v>
      </c>
      <c r="E2637">
        <v>0</v>
      </c>
      <c r="F2637">
        <v>6.8329999999999997E-3</v>
      </c>
      <c r="S2637">
        <v>1</v>
      </c>
    </row>
    <row r="2638" spans="1:20">
      <c r="A2638">
        <f t="shared" si="66"/>
        <v>2637</v>
      </c>
      <c r="B2638" t="s">
        <v>104</v>
      </c>
      <c r="C2638">
        <v>344.26</v>
      </c>
      <c r="D2638">
        <v>68.95</v>
      </c>
      <c r="E2638">
        <v>0</v>
      </c>
      <c r="F2638">
        <v>5.6750000000000004E-3</v>
      </c>
      <c r="S2638">
        <v>1</v>
      </c>
    </row>
    <row r="2639" spans="1:20">
      <c r="A2639">
        <f t="shared" si="66"/>
        <v>2638</v>
      </c>
      <c r="B2639" t="s">
        <v>104</v>
      </c>
      <c r="C2639">
        <v>344.26</v>
      </c>
      <c r="D2639">
        <v>137.9</v>
      </c>
      <c r="E2639">
        <v>0</v>
      </c>
      <c r="F2639">
        <v>3.4090000000000001E-3</v>
      </c>
      <c r="S2639">
        <v>1</v>
      </c>
    </row>
    <row r="2640" spans="1:20">
      <c r="A2640">
        <f t="shared" si="66"/>
        <v>2639</v>
      </c>
      <c r="B2640" t="s">
        <v>104</v>
      </c>
      <c r="C2640">
        <v>344.26</v>
      </c>
      <c r="D2640">
        <v>344.74</v>
      </c>
      <c r="E2640">
        <v>0</v>
      </c>
      <c r="F2640">
        <v>2.2179999999999999E-3</v>
      </c>
      <c r="S2640">
        <v>1</v>
      </c>
    </row>
    <row r="2641" spans="1:19">
      <c r="A2641">
        <f t="shared" si="66"/>
        <v>2640</v>
      </c>
      <c r="B2641" t="s">
        <v>104</v>
      </c>
      <c r="C2641">
        <v>344.26</v>
      </c>
      <c r="D2641">
        <v>689.48</v>
      </c>
      <c r="E2641">
        <v>0</v>
      </c>
      <c r="F2641">
        <v>1.952E-3</v>
      </c>
      <c r="S2641">
        <v>1</v>
      </c>
    </row>
    <row r="2642" spans="1:19">
      <c r="A2642">
        <f t="shared" si="66"/>
        <v>2641</v>
      </c>
      <c r="B2642" t="s">
        <v>104</v>
      </c>
      <c r="C2642">
        <v>377.59</v>
      </c>
      <c r="D2642">
        <v>13.79</v>
      </c>
      <c r="E2642">
        <v>0</v>
      </c>
      <c r="F2642">
        <v>8.7819999999999995E-2</v>
      </c>
      <c r="S2642">
        <v>1</v>
      </c>
    </row>
    <row r="2643" spans="1:19">
      <c r="A2643">
        <f t="shared" si="66"/>
        <v>2642</v>
      </c>
      <c r="B2643" t="s">
        <v>104</v>
      </c>
      <c r="C2643">
        <v>377.59</v>
      </c>
      <c r="D2643">
        <v>27.58</v>
      </c>
      <c r="E2643">
        <v>0</v>
      </c>
      <c r="F2643">
        <v>4.5069999999999999E-2</v>
      </c>
      <c r="S2643">
        <v>1</v>
      </c>
    </row>
    <row r="2644" spans="1:19">
      <c r="A2644">
        <f t="shared" si="66"/>
        <v>2643</v>
      </c>
      <c r="B2644" t="s">
        <v>104</v>
      </c>
      <c r="C2644">
        <v>377.59</v>
      </c>
      <c r="D2644">
        <v>55.16</v>
      </c>
      <c r="E2644">
        <v>0</v>
      </c>
      <c r="F2644">
        <v>2.3720000000000001E-2</v>
      </c>
      <c r="S2644">
        <v>1</v>
      </c>
    </row>
    <row r="2645" spans="1:19">
      <c r="A2645">
        <f t="shared" si="66"/>
        <v>2644</v>
      </c>
      <c r="B2645" t="s">
        <v>104</v>
      </c>
      <c r="C2645">
        <v>377.59</v>
      </c>
      <c r="D2645">
        <v>68.95</v>
      </c>
      <c r="E2645">
        <v>0</v>
      </c>
      <c r="F2645">
        <v>1.951E-2</v>
      </c>
      <c r="S2645">
        <v>1</v>
      </c>
    </row>
    <row r="2646" spans="1:19">
      <c r="A2646">
        <f t="shared" si="66"/>
        <v>2645</v>
      </c>
      <c r="B2646" t="s">
        <v>104</v>
      </c>
      <c r="C2646">
        <v>377.59</v>
      </c>
      <c r="D2646">
        <v>137.9</v>
      </c>
      <c r="E2646">
        <v>0</v>
      </c>
      <c r="F2646">
        <v>1.1209999999999999E-2</v>
      </c>
      <c r="S2646">
        <v>1</v>
      </c>
    </row>
    <row r="2647" spans="1:19">
      <c r="A2647">
        <f t="shared" si="66"/>
        <v>2646</v>
      </c>
      <c r="B2647" t="s">
        <v>104</v>
      </c>
      <c r="C2647">
        <v>377.59</v>
      </c>
      <c r="D2647">
        <v>344.74</v>
      </c>
      <c r="E2647">
        <v>0</v>
      </c>
      <c r="F2647">
        <v>6.6030000000000004E-3</v>
      </c>
      <c r="S2647">
        <v>1</v>
      </c>
    </row>
    <row r="2648" spans="1:19">
      <c r="A2648">
        <f t="shared" si="66"/>
        <v>2647</v>
      </c>
      <c r="B2648" t="s">
        <v>104</v>
      </c>
      <c r="C2648">
        <v>377.59</v>
      </c>
      <c r="D2648">
        <v>689.48</v>
      </c>
      <c r="E2648">
        <v>0</v>
      </c>
      <c r="F2648">
        <v>5.2069999999999998E-3</v>
      </c>
      <c r="S2648">
        <v>1</v>
      </c>
    </row>
    <row r="2649" spans="1:19">
      <c r="A2649">
        <f t="shared" si="66"/>
        <v>2648</v>
      </c>
      <c r="B2649" t="s">
        <v>104</v>
      </c>
      <c r="C2649">
        <v>410.93</v>
      </c>
      <c r="D2649">
        <v>27.58</v>
      </c>
      <c r="E2649">
        <v>0</v>
      </c>
      <c r="F2649">
        <v>0.12790000000000001</v>
      </c>
      <c r="S2649">
        <v>1</v>
      </c>
    </row>
    <row r="2650" spans="1:19">
      <c r="A2650">
        <f t="shared" si="66"/>
        <v>2649</v>
      </c>
      <c r="B2650" t="s">
        <v>104</v>
      </c>
      <c r="C2650">
        <v>410.93</v>
      </c>
      <c r="D2650">
        <v>55.16</v>
      </c>
      <c r="E2650">
        <v>0</v>
      </c>
      <c r="F2650">
        <v>6.6610000000000003E-2</v>
      </c>
      <c r="S2650">
        <v>1</v>
      </c>
    </row>
    <row r="2651" spans="1:19">
      <c r="A2651">
        <f t="shared" si="66"/>
        <v>2650</v>
      </c>
      <c r="B2651" t="s">
        <v>104</v>
      </c>
      <c r="C2651">
        <v>410.93</v>
      </c>
      <c r="D2651">
        <v>68.95</v>
      </c>
      <c r="E2651">
        <v>0</v>
      </c>
      <c r="F2651">
        <v>5.4469999999999998E-2</v>
      </c>
      <c r="S2651">
        <v>1</v>
      </c>
    </row>
    <row r="2652" spans="1:19">
      <c r="A2652">
        <f t="shared" si="66"/>
        <v>2651</v>
      </c>
      <c r="B2652" t="s">
        <v>104</v>
      </c>
      <c r="C2652">
        <v>410.93</v>
      </c>
      <c r="D2652">
        <v>137.9</v>
      </c>
      <c r="E2652">
        <v>0</v>
      </c>
      <c r="F2652">
        <v>3.0509999999999999E-2</v>
      </c>
      <c r="S2652">
        <v>1</v>
      </c>
    </row>
    <row r="2653" spans="1:19">
      <c r="A2653">
        <f t="shared" si="66"/>
        <v>2652</v>
      </c>
      <c r="B2653" t="s">
        <v>104</v>
      </c>
      <c r="C2653">
        <v>410.93</v>
      </c>
      <c r="D2653">
        <v>344.74</v>
      </c>
      <c r="E2653">
        <v>0</v>
      </c>
      <c r="F2653">
        <v>1.7010000000000001E-2</v>
      </c>
      <c r="S2653">
        <v>1</v>
      </c>
    </row>
    <row r="2654" spans="1:19">
      <c r="A2654">
        <f t="shared" si="66"/>
        <v>2653</v>
      </c>
      <c r="B2654" t="s">
        <v>104</v>
      </c>
      <c r="C2654">
        <v>410.93</v>
      </c>
      <c r="D2654">
        <v>689.48</v>
      </c>
      <c r="E2654">
        <v>0</v>
      </c>
      <c r="F2654">
        <v>1.274E-2</v>
      </c>
      <c r="S2654">
        <v>1</v>
      </c>
    </row>
    <row r="2655" spans="1:19">
      <c r="A2655">
        <f t="shared" si="66"/>
        <v>2654</v>
      </c>
      <c r="B2655" t="s">
        <v>104</v>
      </c>
      <c r="C2655">
        <v>444.26</v>
      </c>
      <c r="D2655">
        <v>68.95</v>
      </c>
      <c r="E2655">
        <v>0</v>
      </c>
      <c r="F2655">
        <v>0.12909999999999999</v>
      </c>
      <c r="S2655">
        <v>1</v>
      </c>
    </row>
    <row r="2656" spans="1:19">
      <c r="A2656">
        <f t="shared" si="66"/>
        <v>2655</v>
      </c>
      <c r="B2656" t="s">
        <v>104</v>
      </c>
      <c r="C2656">
        <v>444.26</v>
      </c>
      <c r="D2656">
        <v>137.9</v>
      </c>
      <c r="E2656">
        <v>0</v>
      </c>
      <c r="F2656">
        <v>7.1690000000000004E-2</v>
      </c>
      <c r="S2656">
        <v>1</v>
      </c>
    </row>
    <row r="2657" spans="1:20">
      <c r="A2657">
        <f t="shared" si="66"/>
        <v>2656</v>
      </c>
      <c r="B2657" t="s">
        <v>104</v>
      </c>
      <c r="C2657">
        <v>444.26</v>
      </c>
      <c r="D2657">
        <v>344.74</v>
      </c>
      <c r="E2657">
        <v>0</v>
      </c>
      <c r="F2657">
        <v>3.9059999999999997E-2</v>
      </c>
      <c r="S2657">
        <v>1</v>
      </c>
    </row>
    <row r="2658" spans="1:20">
      <c r="A2658">
        <f t="shared" si="66"/>
        <v>2657</v>
      </c>
      <c r="B2658" t="s">
        <v>104</v>
      </c>
      <c r="C2658">
        <v>444.26</v>
      </c>
      <c r="D2658">
        <v>689.48</v>
      </c>
      <c r="E2658">
        <v>0</v>
      </c>
      <c r="F2658">
        <v>2.7949999999999999E-2</v>
      </c>
      <c r="S2658">
        <v>1</v>
      </c>
    </row>
    <row r="2659" spans="1:20">
      <c r="A2659">
        <f t="shared" si="66"/>
        <v>2658</v>
      </c>
      <c r="B2659" t="s">
        <v>104</v>
      </c>
      <c r="C2659">
        <v>477.59</v>
      </c>
      <c r="D2659">
        <v>68.95</v>
      </c>
      <c r="E2659">
        <v>0</v>
      </c>
      <c r="F2659">
        <v>0.27010000000000001</v>
      </c>
      <c r="S2659">
        <v>1</v>
      </c>
    </row>
    <row r="2660" spans="1:20">
      <c r="A2660">
        <f t="shared" si="66"/>
        <v>2659</v>
      </c>
      <c r="B2660" t="s">
        <v>104</v>
      </c>
      <c r="C2660">
        <v>477.59</v>
      </c>
      <c r="D2660">
        <v>137.9</v>
      </c>
      <c r="E2660">
        <v>0</v>
      </c>
      <c r="F2660">
        <v>0.15140000000000001</v>
      </c>
      <c r="S2660">
        <v>1</v>
      </c>
    </row>
    <row r="2661" spans="1:20">
      <c r="A2661">
        <f t="shared" si="66"/>
        <v>2660</v>
      </c>
      <c r="B2661" t="s">
        <v>104</v>
      </c>
      <c r="C2661">
        <v>477.59</v>
      </c>
      <c r="D2661">
        <v>344.74</v>
      </c>
      <c r="E2661">
        <v>0</v>
      </c>
      <c r="F2661">
        <v>8.201E-2</v>
      </c>
      <c r="S2661">
        <v>1</v>
      </c>
    </row>
    <row r="2662" spans="1:20">
      <c r="A2662">
        <f t="shared" si="66"/>
        <v>2661</v>
      </c>
      <c r="B2662" t="s">
        <v>104</v>
      </c>
      <c r="C2662">
        <v>477.59</v>
      </c>
      <c r="D2662">
        <v>689.48</v>
      </c>
      <c r="E2662">
        <v>0</v>
      </c>
      <c r="F2662">
        <v>5.6489999999999999E-2</v>
      </c>
      <c r="S2662">
        <v>1</v>
      </c>
    </row>
    <row r="2663" spans="1:20">
      <c r="A2663">
        <f t="shared" si="66"/>
        <v>2662</v>
      </c>
      <c r="B2663" t="s">
        <v>104</v>
      </c>
      <c r="C2663">
        <v>510.93</v>
      </c>
      <c r="D2663">
        <v>68.95</v>
      </c>
      <c r="E2663">
        <v>0</v>
      </c>
      <c r="F2663">
        <v>0.50519999999999998</v>
      </c>
      <c r="S2663">
        <v>1</v>
      </c>
    </row>
    <row r="2664" spans="1:20">
      <c r="A2664">
        <f t="shared" si="66"/>
        <v>2663</v>
      </c>
      <c r="B2664" t="s">
        <v>104</v>
      </c>
      <c r="C2664">
        <v>510.93</v>
      </c>
      <c r="D2664">
        <v>137.9</v>
      </c>
      <c r="E2664">
        <v>0</v>
      </c>
      <c r="F2664">
        <v>0.28899999999999998</v>
      </c>
      <c r="S2664">
        <v>1</v>
      </c>
    </row>
    <row r="2665" spans="1:20">
      <c r="A2665">
        <f t="shared" si="66"/>
        <v>2664</v>
      </c>
      <c r="B2665" t="s">
        <v>104</v>
      </c>
      <c r="C2665">
        <v>510.93</v>
      </c>
      <c r="D2665">
        <v>344.74</v>
      </c>
      <c r="E2665">
        <v>0</v>
      </c>
      <c r="F2665">
        <v>0.157</v>
      </c>
      <c r="S2665">
        <v>1</v>
      </c>
    </row>
    <row r="2666" spans="1:20">
      <c r="A2666">
        <f t="shared" si="66"/>
        <v>2665</v>
      </c>
      <c r="B2666" t="s">
        <v>104</v>
      </c>
      <c r="C2666">
        <v>510.93</v>
      </c>
      <c r="D2666">
        <v>689.48</v>
      </c>
      <c r="E2666">
        <v>0</v>
      </c>
      <c r="F2666">
        <v>0.1079</v>
      </c>
      <c r="S2666">
        <v>1</v>
      </c>
    </row>
    <row r="2667" spans="1:20">
      <c r="A2667">
        <f t="shared" si="66"/>
        <v>2666</v>
      </c>
      <c r="B2667" t="s">
        <v>105</v>
      </c>
      <c r="C2667">
        <v>278.87</v>
      </c>
      <c r="D2667">
        <v>5.67</v>
      </c>
      <c r="E2667">
        <v>0</v>
      </c>
      <c r="F2667">
        <v>1.4E-3</v>
      </c>
      <c r="M2667">
        <v>3.6600000000000001E-4</v>
      </c>
      <c r="T2667">
        <v>1</v>
      </c>
    </row>
    <row r="2668" spans="1:20">
      <c r="A2668">
        <f t="shared" si="66"/>
        <v>2667</v>
      </c>
      <c r="B2668" t="s">
        <v>105</v>
      </c>
      <c r="C2668">
        <v>288.70999999999998</v>
      </c>
      <c r="D2668">
        <v>7.48</v>
      </c>
      <c r="E2668">
        <v>0</v>
      </c>
      <c r="F2668">
        <v>2.1800000000000001E-3</v>
      </c>
      <c r="M2668">
        <v>2.6400000000000002E-4</v>
      </c>
      <c r="T2668">
        <v>1</v>
      </c>
    </row>
    <row r="2669" spans="1:20">
      <c r="A2669">
        <f t="shared" si="66"/>
        <v>2668</v>
      </c>
      <c r="B2669" t="s">
        <v>105</v>
      </c>
      <c r="C2669">
        <v>299.82</v>
      </c>
      <c r="D2669">
        <v>10.07</v>
      </c>
      <c r="E2669">
        <v>0</v>
      </c>
      <c r="F2669">
        <v>3.3500000000000001E-3</v>
      </c>
      <c r="M2669">
        <v>2.1900000000000001E-4</v>
      </c>
      <c r="T2669">
        <v>1</v>
      </c>
    </row>
    <row r="2670" spans="1:20">
      <c r="A2670">
        <f t="shared" si="66"/>
        <v>2669</v>
      </c>
      <c r="B2670" t="s">
        <v>105</v>
      </c>
      <c r="C2670">
        <v>310.93</v>
      </c>
      <c r="D2670">
        <v>13.2</v>
      </c>
      <c r="E2670">
        <v>0</v>
      </c>
      <c r="F2670">
        <v>4.6600000000000001E-3</v>
      </c>
      <c r="M2670">
        <v>2.03E-4</v>
      </c>
      <c r="T2670">
        <v>1</v>
      </c>
    </row>
    <row r="2671" spans="1:20">
      <c r="A2671">
        <f t="shared" si="66"/>
        <v>2670</v>
      </c>
      <c r="B2671" t="s">
        <v>105</v>
      </c>
      <c r="C2671">
        <v>322.04000000000002</v>
      </c>
      <c r="D2671">
        <v>16.96</v>
      </c>
      <c r="E2671">
        <v>0</v>
      </c>
      <c r="F2671">
        <v>6.2500000000000003E-3</v>
      </c>
      <c r="M2671">
        <v>1.9900000000000001E-4</v>
      </c>
      <c r="T2671">
        <v>1</v>
      </c>
    </row>
    <row r="2672" spans="1:20">
      <c r="A2672">
        <f t="shared" si="66"/>
        <v>2671</v>
      </c>
      <c r="B2672" t="s">
        <v>105</v>
      </c>
      <c r="C2672">
        <v>333.15</v>
      </c>
      <c r="D2672">
        <v>21.44</v>
      </c>
      <c r="E2672">
        <v>0</v>
      </c>
      <c r="F2672">
        <v>8.1300000000000001E-3</v>
      </c>
      <c r="M2672">
        <v>2.02E-4</v>
      </c>
      <c r="T2672">
        <v>1</v>
      </c>
    </row>
    <row r="2673" spans="1:20">
      <c r="A2673">
        <f t="shared" si="66"/>
        <v>2672</v>
      </c>
      <c r="B2673" t="s">
        <v>105</v>
      </c>
      <c r="C2673">
        <v>344.26</v>
      </c>
      <c r="D2673">
        <v>26.82</v>
      </c>
      <c r="E2673">
        <v>0</v>
      </c>
      <c r="F2673">
        <v>1.0019999999999999E-2</v>
      </c>
      <c r="M2673">
        <v>2.12E-4</v>
      </c>
      <c r="T2673">
        <v>1</v>
      </c>
    </row>
    <row r="2674" spans="1:20">
      <c r="A2674">
        <f t="shared" si="66"/>
        <v>2673</v>
      </c>
      <c r="B2674" t="s">
        <v>105</v>
      </c>
      <c r="C2674">
        <v>349.82</v>
      </c>
      <c r="D2674">
        <v>29.78</v>
      </c>
      <c r="E2674">
        <v>0</v>
      </c>
      <c r="F2674">
        <v>1.0970000000000001E-2</v>
      </c>
      <c r="M2674">
        <v>2.23E-4</v>
      </c>
      <c r="T2674">
        <v>1</v>
      </c>
    </row>
    <row r="2675" spans="1:20">
      <c r="A2675">
        <f t="shared" si="66"/>
        <v>2674</v>
      </c>
      <c r="B2675" t="s">
        <v>105</v>
      </c>
      <c r="C2675">
        <v>355.37</v>
      </c>
      <c r="D2675">
        <v>33.299999999999997</v>
      </c>
      <c r="E2675">
        <v>0</v>
      </c>
      <c r="F2675">
        <v>1.191E-2</v>
      </c>
      <c r="M2675">
        <v>2.3599999999999999E-4</v>
      </c>
      <c r="T2675">
        <v>1</v>
      </c>
    </row>
    <row r="2676" spans="1:20">
      <c r="A2676">
        <f t="shared" si="66"/>
        <v>2675</v>
      </c>
      <c r="B2676" t="s">
        <v>105</v>
      </c>
      <c r="C2676">
        <v>360.93</v>
      </c>
      <c r="D2676">
        <v>37.090000000000003</v>
      </c>
      <c r="E2676">
        <v>0</v>
      </c>
      <c r="F2676">
        <v>1.2800000000000001E-2</v>
      </c>
      <c r="M2676">
        <v>2.5000000000000001E-4</v>
      </c>
      <c r="T2676">
        <v>1</v>
      </c>
    </row>
    <row r="2677" spans="1:20">
      <c r="A2677">
        <f t="shared" si="66"/>
        <v>2676</v>
      </c>
      <c r="B2677" t="s">
        <v>105</v>
      </c>
      <c r="C2677">
        <v>363.71</v>
      </c>
      <c r="D2677">
        <v>39.24</v>
      </c>
      <c r="E2677">
        <v>0</v>
      </c>
      <c r="F2677">
        <v>1.278E-2</v>
      </c>
      <c r="M2677">
        <v>2.5599999999999999E-4</v>
      </c>
      <c r="T2677">
        <v>1</v>
      </c>
    </row>
    <row r="2678" spans="1:20">
      <c r="A2678">
        <f t="shared" si="66"/>
        <v>2677</v>
      </c>
      <c r="B2678" t="s">
        <v>105</v>
      </c>
      <c r="C2678">
        <v>366.48</v>
      </c>
      <c r="D2678">
        <v>41.51</v>
      </c>
      <c r="E2678">
        <v>0</v>
      </c>
      <c r="F2678">
        <v>1.2370000000000001E-2</v>
      </c>
      <c r="M2678">
        <v>2.6400000000000002E-4</v>
      </c>
      <c r="T2678">
        <v>1</v>
      </c>
    </row>
    <row r="2679" spans="1:20">
      <c r="A2679">
        <f t="shared" si="66"/>
        <v>2678</v>
      </c>
      <c r="B2679" t="s">
        <v>105</v>
      </c>
      <c r="C2679">
        <v>369.65</v>
      </c>
      <c r="D2679">
        <v>43.92</v>
      </c>
      <c r="E2679">
        <v>0</v>
      </c>
      <c r="F2679">
        <v>9.9799999999999993E-3</v>
      </c>
      <c r="M2679">
        <v>2.72E-4</v>
      </c>
      <c r="T2679">
        <v>1</v>
      </c>
    </row>
    <row r="2680" spans="1:20">
      <c r="A2680">
        <f t="shared" si="66"/>
        <v>2679</v>
      </c>
      <c r="B2680" t="s">
        <v>105</v>
      </c>
      <c r="C2680">
        <v>285.37</v>
      </c>
      <c r="D2680">
        <v>42.54</v>
      </c>
      <c r="E2680">
        <v>0</v>
      </c>
      <c r="M2680">
        <v>2.9629999999999999E-4</v>
      </c>
      <c r="T2680">
        <v>1</v>
      </c>
    </row>
    <row r="2681" spans="1:20">
      <c r="A2681">
        <f t="shared" si="66"/>
        <v>2680</v>
      </c>
      <c r="B2681" t="s">
        <v>105</v>
      </c>
      <c r="C2681">
        <v>285.37</v>
      </c>
      <c r="D2681">
        <v>84.26</v>
      </c>
      <c r="E2681">
        <v>0</v>
      </c>
      <c r="M2681">
        <v>2.9060000000000002E-4</v>
      </c>
      <c r="T2681">
        <v>1</v>
      </c>
    </row>
    <row r="2682" spans="1:20">
      <c r="A2682">
        <f t="shared" si="66"/>
        <v>2681</v>
      </c>
      <c r="B2682" t="s">
        <v>105</v>
      </c>
      <c r="C2682">
        <v>285.37</v>
      </c>
      <c r="D2682">
        <v>137.07</v>
      </c>
      <c r="E2682">
        <v>0</v>
      </c>
      <c r="M2682">
        <v>2.9480000000000001E-4</v>
      </c>
      <c r="T2682">
        <v>1</v>
      </c>
    </row>
    <row r="2683" spans="1:20">
      <c r="A2683">
        <f t="shared" si="66"/>
        <v>2682</v>
      </c>
      <c r="B2683" t="s">
        <v>105</v>
      </c>
      <c r="C2683">
        <v>310.93</v>
      </c>
      <c r="D2683">
        <v>4.96</v>
      </c>
      <c r="E2683">
        <v>0</v>
      </c>
      <c r="M2683">
        <v>8.6299999999999997E-5</v>
      </c>
      <c r="T2683">
        <v>1</v>
      </c>
    </row>
    <row r="2684" spans="1:20">
      <c r="A2684">
        <f t="shared" si="66"/>
        <v>2683</v>
      </c>
      <c r="B2684" t="s">
        <v>105</v>
      </c>
      <c r="C2684">
        <v>310.93</v>
      </c>
      <c r="D2684">
        <v>8.07</v>
      </c>
      <c r="E2684">
        <v>0</v>
      </c>
      <c r="M2684">
        <v>7.9599999999999997E-5</v>
      </c>
      <c r="T2684">
        <v>1</v>
      </c>
    </row>
    <row r="2685" spans="1:20">
      <c r="A2685">
        <f t="shared" si="66"/>
        <v>2684</v>
      </c>
      <c r="B2685" t="s">
        <v>105</v>
      </c>
      <c r="C2685">
        <v>310.93</v>
      </c>
      <c r="D2685">
        <v>9.0299999999999994</v>
      </c>
      <c r="E2685">
        <v>0</v>
      </c>
      <c r="M2685">
        <v>1.552E-4</v>
      </c>
      <c r="T2685">
        <v>1</v>
      </c>
    </row>
    <row r="2686" spans="1:20">
      <c r="A2686">
        <f t="shared" si="66"/>
        <v>2685</v>
      </c>
      <c r="B2686" t="s">
        <v>105</v>
      </c>
      <c r="C2686">
        <v>310.93</v>
      </c>
      <c r="D2686">
        <v>29.51</v>
      </c>
      <c r="E2686">
        <v>0</v>
      </c>
      <c r="M2686">
        <v>2.0460000000000001E-4</v>
      </c>
      <c r="T2686">
        <v>1</v>
      </c>
    </row>
    <row r="2687" spans="1:20">
      <c r="A2687">
        <f t="shared" si="66"/>
        <v>2686</v>
      </c>
      <c r="B2687" t="s">
        <v>105</v>
      </c>
      <c r="C2687">
        <v>310.93</v>
      </c>
      <c r="D2687">
        <v>42.88</v>
      </c>
      <c r="E2687">
        <v>0</v>
      </c>
      <c r="M2687">
        <v>2.1780000000000001E-4</v>
      </c>
      <c r="T2687">
        <v>1</v>
      </c>
    </row>
    <row r="2688" spans="1:20">
      <c r="A2688">
        <f t="shared" si="66"/>
        <v>2687</v>
      </c>
      <c r="B2688" t="s">
        <v>105</v>
      </c>
      <c r="C2688">
        <v>310.93</v>
      </c>
      <c r="D2688">
        <v>105.56</v>
      </c>
      <c r="E2688">
        <v>0</v>
      </c>
      <c r="M2688">
        <v>2.151E-4</v>
      </c>
      <c r="T2688">
        <v>1</v>
      </c>
    </row>
    <row r="2689" spans="1:20">
      <c r="A2689">
        <f t="shared" si="66"/>
        <v>2688</v>
      </c>
      <c r="B2689" t="s">
        <v>105</v>
      </c>
      <c r="C2689">
        <v>310.93</v>
      </c>
      <c r="D2689">
        <v>138.72</v>
      </c>
      <c r="E2689">
        <v>0</v>
      </c>
      <c r="M2689">
        <v>2.2389999999999999E-4</v>
      </c>
      <c r="T2689">
        <v>1</v>
      </c>
    </row>
    <row r="2690" spans="1:20">
      <c r="A2690">
        <f t="shared" si="66"/>
        <v>2689</v>
      </c>
      <c r="B2690" t="s">
        <v>105</v>
      </c>
      <c r="C2690">
        <v>310.93</v>
      </c>
      <c r="D2690">
        <v>185.25</v>
      </c>
      <c r="E2690">
        <v>0</v>
      </c>
      <c r="M2690">
        <v>2.3039999999999999E-4</v>
      </c>
      <c r="T2690">
        <v>1</v>
      </c>
    </row>
    <row r="2691" spans="1:20">
      <c r="A2691">
        <f t="shared" si="66"/>
        <v>2690</v>
      </c>
      <c r="B2691" t="s">
        <v>105</v>
      </c>
      <c r="C2691">
        <v>329.26</v>
      </c>
      <c r="D2691">
        <v>12.96</v>
      </c>
      <c r="E2691">
        <v>0</v>
      </c>
      <c r="M2691">
        <v>1.4990000000000001E-4</v>
      </c>
      <c r="T2691">
        <v>1</v>
      </c>
    </row>
    <row r="2692" spans="1:20">
      <c r="A2692">
        <f t="shared" ref="A2692:A2755" si="67">A2691+1</f>
        <v>2691</v>
      </c>
      <c r="B2692" t="s">
        <v>105</v>
      </c>
      <c r="C2692">
        <v>329.26</v>
      </c>
      <c r="D2692">
        <v>82.67</v>
      </c>
      <c r="E2692">
        <v>0</v>
      </c>
      <c r="M2692">
        <v>2.2489999999999999E-4</v>
      </c>
      <c r="T2692">
        <v>1</v>
      </c>
    </row>
    <row r="2693" spans="1:20">
      <c r="A2693">
        <f t="shared" si="67"/>
        <v>2692</v>
      </c>
      <c r="B2693" t="s">
        <v>105</v>
      </c>
      <c r="C2693">
        <v>329.26</v>
      </c>
      <c r="D2693">
        <v>124.8</v>
      </c>
      <c r="E2693">
        <v>0</v>
      </c>
      <c r="M2693">
        <v>2.2670000000000001E-4</v>
      </c>
      <c r="T2693">
        <v>1</v>
      </c>
    </row>
    <row r="2694" spans="1:20">
      <c r="A2694">
        <f t="shared" si="67"/>
        <v>2693</v>
      </c>
      <c r="B2694" t="s">
        <v>105</v>
      </c>
      <c r="C2694">
        <v>329.26</v>
      </c>
      <c r="D2694">
        <v>192.14</v>
      </c>
      <c r="E2694">
        <v>0</v>
      </c>
      <c r="M2694">
        <v>2.364E-4</v>
      </c>
      <c r="T2694">
        <v>1</v>
      </c>
    </row>
    <row r="2695" spans="1:20">
      <c r="A2695">
        <f t="shared" si="67"/>
        <v>2694</v>
      </c>
      <c r="B2695" t="s">
        <v>105</v>
      </c>
      <c r="C2695">
        <v>360.93</v>
      </c>
      <c r="D2695">
        <v>15.44</v>
      </c>
      <c r="E2695">
        <v>0</v>
      </c>
      <c r="M2695">
        <v>1.3300000000000001E-4</v>
      </c>
      <c r="T2695">
        <v>1</v>
      </c>
    </row>
    <row r="2696" spans="1:20">
      <c r="A2696">
        <f t="shared" si="67"/>
        <v>2695</v>
      </c>
      <c r="B2696" t="s">
        <v>105</v>
      </c>
      <c r="C2696">
        <v>360.93</v>
      </c>
      <c r="D2696">
        <v>24.75</v>
      </c>
      <c r="E2696">
        <v>0</v>
      </c>
      <c r="M2696">
        <v>1.9599999999999999E-4</v>
      </c>
      <c r="T2696">
        <v>1</v>
      </c>
    </row>
    <row r="2697" spans="1:20">
      <c r="A2697">
        <f t="shared" si="67"/>
        <v>2696</v>
      </c>
      <c r="B2697" t="s">
        <v>105</v>
      </c>
      <c r="C2697">
        <v>360.93</v>
      </c>
      <c r="D2697">
        <v>68.260000000000005</v>
      </c>
      <c r="E2697">
        <v>0</v>
      </c>
      <c r="M2697">
        <v>2.5799999999999998E-4</v>
      </c>
      <c r="T2697">
        <v>1</v>
      </c>
    </row>
    <row r="2698" spans="1:20">
      <c r="A2698">
        <f t="shared" si="67"/>
        <v>2697</v>
      </c>
      <c r="B2698" t="s">
        <v>105</v>
      </c>
      <c r="C2698">
        <v>360.93</v>
      </c>
      <c r="D2698">
        <v>104.98</v>
      </c>
      <c r="E2698">
        <v>0</v>
      </c>
      <c r="M2698">
        <v>2.7030000000000001E-4</v>
      </c>
      <c r="T2698">
        <v>1</v>
      </c>
    </row>
    <row r="2699" spans="1:20">
      <c r="A2699">
        <f t="shared" si="67"/>
        <v>2698</v>
      </c>
      <c r="B2699" t="s">
        <v>105</v>
      </c>
      <c r="C2699">
        <v>360.93</v>
      </c>
      <c r="D2699">
        <v>138.76</v>
      </c>
      <c r="E2699">
        <v>0</v>
      </c>
      <c r="M2699">
        <v>2.745E-4</v>
      </c>
      <c r="T2699">
        <v>1</v>
      </c>
    </row>
    <row r="2700" spans="1:20">
      <c r="A2700">
        <f t="shared" si="67"/>
        <v>2699</v>
      </c>
      <c r="B2700" t="s">
        <v>105</v>
      </c>
      <c r="C2700">
        <v>360.93</v>
      </c>
      <c r="D2700">
        <v>192.14</v>
      </c>
      <c r="E2700">
        <v>0</v>
      </c>
      <c r="M2700">
        <v>2.8800000000000001E-4</v>
      </c>
      <c r="T2700">
        <v>1</v>
      </c>
    </row>
    <row r="2701" spans="1:20">
      <c r="A2701">
        <f t="shared" si="67"/>
        <v>2700</v>
      </c>
      <c r="B2701" t="s">
        <v>105</v>
      </c>
      <c r="C2701">
        <v>369.65</v>
      </c>
      <c r="D2701">
        <v>15.86</v>
      </c>
      <c r="E2701">
        <v>0</v>
      </c>
      <c r="M2701">
        <v>1.261E-4</v>
      </c>
      <c r="T2701">
        <v>1</v>
      </c>
    </row>
    <row r="2702" spans="1:20">
      <c r="A2702">
        <f t="shared" si="67"/>
        <v>2701</v>
      </c>
      <c r="B2702" t="s">
        <v>105</v>
      </c>
      <c r="C2702">
        <v>369.65</v>
      </c>
      <c r="D2702">
        <v>27.58</v>
      </c>
      <c r="E2702">
        <v>0</v>
      </c>
      <c r="M2702">
        <v>2.162E-4</v>
      </c>
      <c r="T2702">
        <v>1</v>
      </c>
    </row>
    <row r="2703" spans="1:20">
      <c r="A2703">
        <f t="shared" si="67"/>
        <v>2702</v>
      </c>
      <c r="B2703" t="s">
        <v>105</v>
      </c>
      <c r="C2703">
        <v>369.65</v>
      </c>
      <c r="D2703">
        <v>32.96</v>
      </c>
      <c r="E2703">
        <v>0</v>
      </c>
      <c r="M2703">
        <v>2.4489999999999999E-4</v>
      </c>
      <c r="T2703">
        <v>1</v>
      </c>
    </row>
    <row r="2704" spans="1:20">
      <c r="A2704">
        <f t="shared" si="67"/>
        <v>2703</v>
      </c>
      <c r="B2704" t="s">
        <v>105</v>
      </c>
      <c r="C2704">
        <v>369.65</v>
      </c>
      <c r="D2704">
        <v>62.74</v>
      </c>
      <c r="E2704">
        <v>0</v>
      </c>
      <c r="M2704">
        <v>2.8420000000000002E-4</v>
      </c>
      <c r="T2704">
        <v>1</v>
      </c>
    </row>
    <row r="2705" spans="1:20">
      <c r="A2705">
        <f t="shared" si="67"/>
        <v>2704</v>
      </c>
      <c r="B2705" t="s">
        <v>105</v>
      </c>
      <c r="C2705">
        <v>369.65</v>
      </c>
      <c r="D2705">
        <v>124.8</v>
      </c>
      <c r="E2705">
        <v>0</v>
      </c>
      <c r="M2705">
        <v>3.0079999999999999E-4</v>
      </c>
      <c r="T2705">
        <v>1</v>
      </c>
    </row>
    <row r="2706" spans="1:20">
      <c r="A2706">
        <f t="shared" si="67"/>
        <v>2705</v>
      </c>
      <c r="B2706" t="s">
        <v>105</v>
      </c>
      <c r="C2706">
        <v>369.65</v>
      </c>
      <c r="D2706">
        <v>192.14</v>
      </c>
      <c r="E2706">
        <v>0</v>
      </c>
      <c r="M2706">
        <v>3.1339999999999997E-4</v>
      </c>
      <c r="T2706">
        <v>1</v>
      </c>
    </row>
    <row r="2707" spans="1:20">
      <c r="A2707">
        <f t="shared" si="67"/>
        <v>2706</v>
      </c>
      <c r="B2707" t="s">
        <v>105</v>
      </c>
      <c r="C2707">
        <v>383.15</v>
      </c>
      <c r="D2707">
        <v>15.31</v>
      </c>
      <c r="E2707">
        <v>0</v>
      </c>
      <c r="M2707">
        <v>1.3009999999999999E-4</v>
      </c>
      <c r="T2707">
        <v>1</v>
      </c>
    </row>
    <row r="2708" spans="1:20">
      <c r="A2708">
        <f t="shared" si="67"/>
        <v>2707</v>
      </c>
      <c r="B2708" t="s">
        <v>105</v>
      </c>
      <c r="C2708">
        <v>383.15</v>
      </c>
      <c r="D2708">
        <v>34.75</v>
      </c>
      <c r="E2708">
        <v>0</v>
      </c>
      <c r="M2708">
        <v>2.633E-4</v>
      </c>
      <c r="T2708">
        <v>1</v>
      </c>
    </row>
    <row r="2709" spans="1:20">
      <c r="A2709">
        <f t="shared" si="67"/>
        <v>2708</v>
      </c>
      <c r="B2709" t="s">
        <v>105</v>
      </c>
      <c r="C2709">
        <v>383.15</v>
      </c>
      <c r="D2709">
        <v>55.85</v>
      </c>
      <c r="E2709">
        <v>0</v>
      </c>
      <c r="M2709">
        <v>3.2430000000000002E-4</v>
      </c>
      <c r="T2709">
        <v>1</v>
      </c>
    </row>
    <row r="2710" spans="1:20">
      <c r="A2710">
        <f t="shared" si="67"/>
        <v>2709</v>
      </c>
      <c r="B2710" t="s">
        <v>105</v>
      </c>
      <c r="C2710">
        <v>383.15</v>
      </c>
      <c r="D2710">
        <v>77.77</v>
      </c>
      <c r="E2710">
        <v>0</v>
      </c>
      <c r="M2710">
        <v>3.414E-4</v>
      </c>
      <c r="T2710">
        <v>1</v>
      </c>
    </row>
    <row r="2711" spans="1:20">
      <c r="A2711">
        <f t="shared" si="67"/>
        <v>2710</v>
      </c>
      <c r="B2711" t="s">
        <v>105</v>
      </c>
      <c r="C2711">
        <v>383.15</v>
      </c>
      <c r="D2711">
        <v>124.8</v>
      </c>
      <c r="E2711">
        <v>0</v>
      </c>
      <c r="M2711">
        <v>3.5419999999999999E-4</v>
      </c>
      <c r="T2711">
        <v>1</v>
      </c>
    </row>
    <row r="2712" spans="1:20">
      <c r="A2712">
        <f t="shared" si="67"/>
        <v>2711</v>
      </c>
      <c r="B2712" t="s">
        <v>105</v>
      </c>
      <c r="C2712">
        <v>383.15</v>
      </c>
      <c r="D2712">
        <v>192.14</v>
      </c>
      <c r="E2712">
        <v>0</v>
      </c>
      <c r="M2712">
        <v>3.7649999999999999E-4</v>
      </c>
      <c r="T2712">
        <v>1</v>
      </c>
    </row>
    <row r="2713" spans="1:20">
      <c r="A2713">
        <f t="shared" si="67"/>
        <v>2712</v>
      </c>
      <c r="B2713" t="s">
        <v>105</v>
      </c>
      <c r="C2713">
        <v>399.82</v>
      </c>
      <c r="D2713">
        <v>22.89</v>
      </c>
      <c r="E2713">
        <v>0</v>
      </c>
      <c r="M2713">
        <v>1.964E-4</v>
      </c>
      <c r="T2713">
        <v>1</v>
      </c>
    </row>
    <row r="2714" spans="1:20">
      <c r="A2714">
        <f t="shared" si="67"/>
        <v>2713</v>
      </c>
      <c r="B2714" t="s">
        <v>105</v>
      </c>
      <c r="C2714">
        <v>399.82</v>
      </c>
      <c r="D2714">
        <v>35.229999999999997</v>
      </c>
      <c r="E2714">
        <v>0</v>
      </c>
      <c r="M2714">
        <v>2.8919999999999998E-4</v>
      </c>
      <c r="T2714">
        <v>1</v>
      </c>
    </row>
    <row r="2715" spans="1:20">
      <c r="A2715">
        <f t="shared" si="67"/>
        <v>2714</v>
      </c>
      <c r="B2715" t="s">
        <v>105</v>
      </c>
      <c r="C2715">
        <v>399.82</v>
      </c>
      <c r="D2715">
        <v>51.78</v>
      </c>
      <c r="E2715">
        <v>0</v>
      </c>
      <c r="M2715">
        <v>3.6650000000000002E-4</v>
      </c>
      <c r="T2715">
        <v>1</v>
      </c>
    </row>
    <row r="2716" spans="1:20">
      <c r="A2716">
        <f t="shared" si="67"/>
        <v>2715</v>
      </c>
      <c r="B2716" t="s">
        <v>105</v>
      </c>
      <c r="C2716">
        <v>399.82</v>
      </c>
      <c r="D2716">
        <v>84.94</v>
      </c>
      <c r="E2716">
        <v>0</v>
      </c>
      <c r="M2716">
        <v>4.1970000000000001E-4</v>
      </c>
      <c r="T2716">
        <v>1</v>
      </c>
    </row>
    <row r="2717" spans="1:20">
      <c r="A2717">
        <f t="shared" si="67"/>
        <v>2716</v>
      </c>
      <c r="B2717" t="s">
        <v>105</v>
      </c>
      <c r="C2717">
        <v>399.82</v>
      </c>
      <c r="D2717">
        <v>124.8</v>
      </c>
      <c r="E2717">
        <v>0</v>
      </c>
      <c r="M2717">
        <v>4.393E-4</v>
      </c>
      <c r="T2717">
        <v>1</v>
      </c>
    </row>
    <row r="2718" spans="1:20">
      <c r="A2718">
        <f t="shared" si="67"/>
        <v>2717</v>
      </c>
      <c r="B2718" t="s">
        <v>105</v>
      </c>
      <c r="C2718">
        <v>399.82</v>
      </c>
      <c r="D2718">
        <v>192.14</v>
      </c>
      <c r="E2718">
        <v>0</v>
      </c>
      <c r="M2718">
        <v>4.7659999999999998E-4</v>
      </c>
      <c r="T2718">
        <v>1</v>
      </c>
    </row>
    <row r="2719" spans="1:20">
      <c r="A2719">
        <f t="shared" si="67"/>
        <v>2718</v>
      </c>
      <c r="B2719" t="s">
        <v>105</v>
      </c>
      <c r="C2719">
        <v>422.04</v>
      </c>
      <c r="D2719">
        <v>18.27</v>
      </c>
      <c r="E2719">
        <v>0</v>
      </c>
      <c r="M2719">
        <v>1.6660000000000001E-4</v>
      </c>
      <c r="T2719">
        <v>1</v>
      </c>
    </row>
    <row r="2720" spans="1:20">
      <c r="A2720">
        <f t="shared" si="67"/>
        <v>2719</v>
      </c>
      <c r="B2720" t="s">
        <v>105</v>
      </c>
      <c r="C2720">
        <v>422.04</v>
      </c>
      <c r="D2720">
        <v>32.47</v>
      </c>
      <c r="E2720">
        <v>0</v>
      </c>
      <c r="M2720">
        <v>3.0309999999999999E-4</v>
      </c>
      <c r="T2720">
        <v>1</v>
      </c>
    </row>
    <row r="2721" spans="1:20">
      <c r="A2721">
        <f t="shared" si="67"/>
        <v>2720</v>
      </c>
      <c r="B2721" t="s">
        <v>105</v>
      </c>
      <c r="C2721">
        <v>422.04</v>
      </c>
      <c r="D2721">
        <v>47.85</v>
      </c>
      <c r="E2721">
        <v>0</v>
      </c>
      <c r="M2721">
        <v>4.1300000000000001E-4</v>
      </c>
      <c r="T2721">
        <v>1</v>
      </c>
    </row>
    <row r="2722" spans="1:20">
      <c r="A2722">
        <f t="shared" si="67"/>
        <v>2721</v>
      </c>
      <c r="B2722" t="s">
        <v>105</v>
      </c>
      <c r="C2722">
        <v>422.04</v>
      </c>
      <c r="D2722">
        <v>68.040000000000006</v>
      </c>
      <c r="E2722">
        <v>0</v>
      </c>
      <c r="M2722">
        <v>4.8759999999999998E-4</v>
      </c>
      <c r="T2722">
        <v>1</v>
      </c>
    </row>
    <row r="2723" spans="1:20">
      <c r="A2723">
        <f t="shared" si="67"/>
        <v>2722</v>
      </c>
      <c r="B2723" t="s">
        <v>105</v>
      </c>
      <c r="C2723">
        <v>422.04</v>
      </c>
      <c r="D2723">
        <v>107.89</v>
      </c>
      <c r="E2723">
        <v>0</v>
      </c>
      <c r="M2723">
        <v>5.8009999999999995E-4</v>
      </c>
      <c r="T2723">
        <v>1</v>
      </c>
    </row>
    <row r="2724" spans="1:20">
      <c r="A2724">
        <f t="shared" si="67"/>
        <v>2723</v>
      </c>
      <c r="B2724" t="s">
        <v>105</v>
      </c>
      <c r="C2724">
        <v>422.04</v>
      </c>
      <c r="D2724">
        <v>124.8</v>
      </c>
      <c r="E2724">
        <v>0</v>
      </c>
      <c r="M2724">
        <v>6.0780000000000003E-4</v>
      </c>
      <c r="T2724">
        <v>1</v>
      </c>
    </row>
    <row r="2725" spans="1:20">
      <c r="A2725">
        <f t="shared" si="67"/>
        <v>2724</v>
      </c>
      <c r="B2725" t="s">
        <v>105</v>
      </c>
      <c r="C2725">
        <v>422.04</v>
      </c>
      <c r="D2725">
        <v>192.14</v>
      </c>
      <c r="E2725">
        <v>0</v>
      </c>
      <c r="M2725">
        <v>6.8610000000000003E-4</v>
      </c>
      <c r="T2725">
        <v>1</v>
      </c>
    </row>
    <row r="2726" spans="1:20">
      <c r="A2726">
        <f t="shared" si="67"/>
        <v>2725</v>
      </c>
      <c r="B2726" t="s">
        <v>94</v>
      </c>
      <c r="C2726">
        <v>310.93</v>
      </c>
      <c r="D2726">
        <v>3.45</v>
      </c>
      <c r="E2726">
        <v>0</v>
      </c>
      <c r="F2726">
        <v>2.0199999999999999E-2</v>
      </c>
      <c r="I2726">
        <v>3.5899999999999998E-5</v>
      </c>
      <c r="N2726">
        <v>0</v>
      </c>
      <c r="O2726">
        <v>0</v>
      </c>
      <c r="P2726">
        <v>1</v>
      </c>
    </row>
    <row r="2727" spans="1:20">
      <c r="A2727">
        <f t="shared" si="67"/>
        <v>2726</v>
      </c>
      <c r="B2727" t="s">
        <v>94</v>
      </c>
      <c r="C2727">
        <v>310.93</v>
      </c>
      <c r="D2727">
        <v>13.79</v>
      </c>
      <c r="E2727">
        <v>0</v>
      </c>
      <c r="F2727">
        <v>5.0200000000000002E-3</v>
      </c>
      <c r="I2727">
        <v>1.36E-4</v>
      </c>
      <c r="N2727">
        <v>0</v>
      </c>
      <c r="O2727">
        <v>0</v>
      </c>
      <c r="P2727">
        <v>1</v>
      </c>
    </row>
    <row r="2728" spans="1:20">
      <c r="A2728">
        <f t="shared" si="67"/>
        <v>2727</v>
      </c>
      <c r="B2728" t="s">
        <v>94</v>
      </c>
      <c r="C2728">
        <v>310.93</v>
      </c>
      <c r="D2728">
        <v>31.03</v>
      </c>
      <c r="E2728">
        <v>0</v>
      </c>
      <c r="F2728">
        <v>2.3600000000000001E-3</v>
      </c>
      <c r="I2728">
        <v>2.9999999999999997E-4</v>
      </c>
      <c r="N2728">
        <v>0</v>
      </c>
      <c r="O2728">
        <v>0</v>
      </c>
      <c r="P2728">
        <v>1</v>
      </c>
    </row>
    <row r="2729" spans="1:20">
      <c r="A2729">
        <f t="shared" si="67"/>
        <v>2728</v>
      </c>
      <c r="B2729" t="s">
        <v>94</v>
      </c>
      <c r="C2729">
        <v>310.93</v>
      </c>
      <c r="D2729">
        <v>65.5</v>
      </c>
      <c r="E2729">
        <v>0</v>
      </c>
      <c r="F2729">
        <v>1.2199999999999999E-3</v>
      </c>
      <c r="I2729">
        <v>6.0099999999999997E-4</v>
      </c>
      <c r="N2729">
        <v>0</v>
      </c>
      <c r="O2729">
        <v>0</v>
      </c>
      <c r="P2729">
        <v>1</v>
      </c>
    </row>
    <row r="2730" spans="1:20">
      <c r="A2730">
        <f t="shared" si="67"/>
        <v>2729</v>
      </c>
      <c r="B2730" t="s">
        <v>94</v>
      </c>
      <c r="C2730">
        <v>310.93</v>
      </c>
      <c r="D2730">
        <v>103.42</v>
      </c>
      <c r="E2730">
        <v>0</v>
      </c>
      <c r="F2730">
        <v>8.4999999999999995E-4</v>
      </c>
      <c r="I2730">
        <v>9.0300000000000005E-4</v>
      </c>
      <c r="N2730">
        <v>0</v>
      </c>
      <c r="O2730">
        <v>0</v>
      </c>
      <c r="P2730">
        <v>1</v>
      </c>
    </row>
    <row r="2731" spans="1:20">
      <c r="A2731">
        <f t="shared" si="67"/>
        <v>2730</v>
      </c>
      <c r="B2731" t="s">
        <v>94</v>
      </c>
      <c r="C2731">
        <v>310.93</v>
      </c>
      <c r="D2731">
        <v>137.9</v>
      </c>
      <c r="E2731">
        <v>0</v>
      </c>
      <c r="F2731">
        <v>6.8999999999999997E-4</v>
      </c>
      <c r="I2731">
        <v>1.16E-3</v>
      </c>
      <c r="N2731">
        <v>0</v>
      </c>
      <c r="O2731">
        <v>0</v>
      </c>
      <c r="P2731">
        <v>1</v>
      </c>
    </row>
    <row r="2732" spans="1:20">
      <c r="A2732">
        <f t="shared" si="67"/>
        <v>2731</v>
      </c>
      <c r="B2732" t="s">
        <v>94</v>
      </c>
      <c r="C2732">
        <v>366.48</v>
      </c>
      <c r="D2732">
        <v>3.45</v>
      </c>
      <c r="E2732">
        <v>0</v>
      </c>
      <c r="F2732">
        <v>0.23300000000000001</v>
      </c>
      <c r="I2732">
        <v>2.3E-5</v>
      </c>
      <c r="N2732">
        <v>0</v>
      </c>
      <c r="O2732">
        <v>0</v>
      </c>
      <c r="P2732">
        <v>1</v>
      </c>
    </row>
    <row r="2733" spans="1:20">
      <c r="A2733">
        <f t="shared" si="67"/>
        <v>2732</v>
      </c>
      <c r="B2733" t="s">
        <v>94</v>
      </c>
      <c r="C2733">
        <v>366.48</v>
      </c>
      <c r="D2733">
        <v>13.79</v>
      </c>
      <c r="E2733">
        <v>0</v>
      </c>
      <c r="F2733">
        <v>6.0499999999999998E-2</v>
      </c>
      <c r="I2733">
        <v>1.07E-4</v>
      </c>
      <c r="N2733">
        <v>0</v>
      </c>
      <c r="O2733">
        <v>0</v>
      </c>
      <c r="P2733">
        <v>1</v>
      </c>
    </row>
    <row r="2734" spans="1:20">
      <c r="A2734">
        <f t="shared" si="67"/>
        <v>2733</v>
      </c>
      <c r="B2734" t="s">
        <v>94</v>
      </c>
      <c r="C2734">
        <v>366.48</v>
      </c>
      <c r="D2734">
        <v>31.03</v>
      </c>
      <c r="E2734">
        <v>0</v>
      </c>
      <c r="F2734">
        <v>2.7699999999999999E-2</v>
      </c>
      <c r="I2734">
        <v>2.4800000000000001E-4</v>
      </c>
      <c r="N2734">
        <v>0</v>
      </c>
      <c r="O2734">
        <v>0</v>
      </c>
      <c r="P2734">
        <v>1</v>
      </c>
    </row>
    <row r="2735" spans="1:20">
      <c r="A2735">
        <f t="shared" si="67"/>
        <v>2734</v>
      </c>
      <c r="B2735" t="s">
        <v>94</v>
      </c>
      <c r="C2735">
        <v>366.48</v>
      </c>
      <c r="D2735">
        <v>65.5</v>
      </c>
      <c r="E2735">
        <v>0</v>
      </c>
      <c r="F2735">
        <v>1.37E-2</v>
      </c>
      <c r="I2735">
        <v>5.0900000000000001E-4</v>
      </c>
      <c r="N2735">
        <v>0</v>
      </c>
      <c r="O2735">
        <v>0</v>
      </c>
      <c r="P2735">
        <v>1</v>
      </c>
    </row>
    <row r="2736" spans="1:20">
      <c r="A2736">
        <f t="shared" si="67"/>
        <v>2735</v>
      </c>
      <c r="B2736" t="s">
        <v>94</v>
      </c>
      <c r="C2736">
        <v>366.48</v>
      </c>
      <c r="D2736">
        <v>137.9</v>
      </c>
      <c r="E2736">
        <v>0</v>
      </c>
      <c r="F2736">
        <v>7.4700000000000001E-3</v>
      </c>
      <c r="I2736">
        <v>1.011E-3</v>
      </c>
      <c r="N2736">
        <v>0</v>
      </c>
      <c r="O2736">
        <v>0</v>
      </c>
      <c r="P2736">
        <v>1</v>
      </c>
    </row>
    <row r="2737" spans="1:16">
      <c r="A2737">
        <f t="shared" si="67"/>
        <v>2736</v>
      </c>
      <c r="B2737" t="s">
        <v>94</v>
      </c>
      <c r="C2737">
        <v>422.04</v>
      </c>
      <c r="D2737">
        <v>65.5</v>
      </c>
      <c r="E2737">
        <v>0</v>
      </c>
      <c r="F2737">
        <v>7.8600000000000003E-2</v>
      </c>
      <c r="I2737">
        <v>6.4499999999999996E-4</v>
      </c>
      <c r="N2737">
        <v>0</v>
      </c>
      <c r="O2737">
        <v>0</v>
      </c>
      <c r="P2737">
        <v>1</v>
      </c>
    </row>
    <row r="2738" spans="1:16">
      <c r="A2738">
        <f t="shared" si="67"/>
        <v>2737</v>
      </c>
      <c r="B2738" t="s">
        <v>94</v>
      </c>
      <c r="C2738">
        <v>477.59</v>
      </c>
      <c r="D2738">
        <v>31.03</v>
      </c>
      <c r="E2738">
        <v>0</v>
      </c>
      <c r="F2738">
        <v>0.57340000000000002</v>
      </c>
      <c r="I2738">
        <v>2.63E-4</v>
      </c>
      <c r="N2738">
        <v>0</v>
      </c>
      <c r="O2738">
        <v>0</v>
      </c>
      <c r="P2738">
        <v>1</v>
      </c>
    </row>
    <row r="2739" spans="1:16">
      <c r="A2739">
        <f t="shared" si="67"/>
        <v>2738</v>
      </c>
      <c r="B2739" t="s">
        <v>94</v>
      </c>
      <c r="C2739">
        <v>477.59</v>
      </c>
      <c r="D2739">
        <v>65.5</v>
      </c>
      <c r="E2739">
        <v>0</v>
      </c>
      <c r="F2739">
        <v>0.29449999999999998</v>
      </c>
      <c r="I2739">
        <v>8.8199999999999997E-4</v>
      </c>
      <c r="N2739">
        <v>0</v>
      </c>
      <c r="O2739">
        <v>0</v>
      </c>
      <c r="P2739">
        <v>1</v>
      </c>
    </row>
    <row r="2740" spans="1:16">
      <c r="A2740">
        <f t="shared" si="67"/>
        <v>2739</v>
      </c>
      <c r="B2740" t="s">
        <v>94</v>
      </c>
      <c r="C2740">
        <v>477.59</v>
      </c>
      <c r="D2740">
        <v>103.42</v>
      </c>
      <c r="E2740">
        <v>0</v>
      </c>
      <c r="F2740">
        <v>0.19750000000000001</v>
      </c>
      <c r="I2740">
        <v>1.518E-3</v>
      </c>
      <c r="N2740">
        <v>0</v>
      </c>
      <c r="O2740">
        <v>0</v>
      </c>
      <c r="P2740">
        <v>1</v>
      </c>
    </row>
    <row r="2741" spans="1:16">
      <c r="A2741">
        <f t="shared" si="67"/>
        <v>2740</v>
      </c>
      <c r="B2741" t="s">
        <v>94</v>
      </c>
      <c r="C2741">
        <v>588.71</v>
      </c>
      <c r="D2741">
        <v>137.9</v>
      </c>
      <c r="E2741">
        <v>0</v>
      </c>
      <c r="F2741">
        <v>0.85550000000000004</v>
      </c>
      <c r="I2741">
        <v>2.9350000000000001E-3</v>
      </c>
      <c r="N2741">
        <v>0</v>
      </c>
      <c r="O2741">
        <v>0</v>
      </c>
      <c r="P2741">
        <v>1</v>
      </c>
    </row>
    <row r="2742" spans="1:16">
      <c r="A2742">
        <f t="shared" si="67"/>
        <v>2741</v>
      </c>
      <c r="B2742" t="s">
        <v>94</v>
      </c>
      <c r="C2742">
        <v>310.93</v>
      </c>
      <c r="D2742">
        <v>3.45</v>
      </c>
      <c r="E2742">
        <v>0</v>
      </c>
      <c r="F2742">
        <v>2.019E-2</v>
      </c>
      <c r="H2742">
        <v>4.3699999999999998E-3</v>
      </c>
      <c r="N2742">
        <v>0</v>
      </c>
      <c r="O2742">
        <v>1</v>
      </c>
      <c r="P2742">
        <v>0</v>
      </c>
    </row>
    <row r="2743" spans="1:16">
      <c r="A2743">
        <f t="shared" si="67"/>
        <v>2742</v>
      </c>
      <c r="B2743" t="s">
        <v>94</v>
      </c>
      <c r="C2743">
        <v>310.93</v>
      </c>
      <c r="D2743">
        <v>8.27</v>
      </c>
      <c r="E2743">
        <v>0</v>
      </c>
      <c r="F2743">
        <v>9.0399999999999994E-3</v>
      </c>
      <c r="H2743">
        <v>1.06E-2</v>
      </c>
      <c r="N2743">
        <v>0</v>
      </c>
      <c r="O2743">
        <v>1</v>
      </c>
      <c r="P2743">
        <v>0</v>
      </c>
    </row>
    <row r="2744" spans="1:16">
      <c r="A2744">
        <f t="shared" si="67"/>
        <v>2743</v>
      </c>
      <c r="B2744" t="s">
        <v>94</v>
      </c>
      <c r="C2744">
        <v>310.93</v>
      </c>
      <c r="D2744">
        <v>13.79</v>
      </c>
      <c r="E2744">
        <v>0</v>
      </c>
      <c r="F2744">
        <v>5.9199999999999999E-3</v>
      </c>
      <c r="H2744">
        <v>1.7500000000000002E-2</v>
      </c>
      <c r="N2744">
        <v>0</v>
      </c>
      <c r="O2744">
        <v>1</v>
      </c>
      <c r="P2744">
        <v>0</v>
      </c>
    </row>
    <row r="2745" spans="1:16">
      <c r="A2745">
        <f t="shared" si="67"/>
        <v>2744</v>
      </c>
      <c r="B2745" t="s">
        <v>94</v>
      </c>
      <c r="C2745">
        <v>310.93</v>
      </c>
      <c r="D2745">
        <v>19.309999999999999</v>
      </c>
      <c r="E2745">
        <v>0</v>
      </c>
      <c r="F2745">
        <v>4.5100000000000001E-3</v>
      </c>
      <c r="H2745">
        <v>2.2800000000000001E-2</v>
      </c>
      <c r="N2745">
        <v>0</v>
      </c>
      <c r="O2745">
        <v>1</v>
      </c>
      <c r="P2745">
        <v>0</v>
      </c>
    </row>
    <row r="2746" spans="1:16">
      <c r="A2746">
        <f t="shared" si="67"/>
        <v>2745</v>
      </c>
      <c r="B2746" t="s">
        <v>94</v>
      </c>
      <c r="C2746">
        <v>310.93</v>
      </c>
      <c r="D2746">
        <v>24.82</v>
      </c>
      <c r="E2746">
        <v>0</v>
      </c>
      <c r="F2746">
        <v>3.7499999999999999E-3</v>
      </c>
      <c r="H2746">
        <v>3.0499999999999999E-2</v>
      </c>
      <c r="N2746">
        <v>0</v>
      </c>
      <c r="O2746">
        <v>1</v>
      </c>
      <c r="P2746">
        <v>0</v>
      </c>
    </row>
    <row r="2747" spans="1:16">
      <c r="A2747">
        <f t="shared" si="67"/>
        <v>2746</v>
      </c>
      <c r="B2747" t="s">
        <v>94</v>
      </c>
      <c r="C2747">
        <v>366.48</v>
      </c>
      <c r="D2747">
        <v>8.27</v>
      </c>
      <c r="E2747">
        <v>0</v>
      </c>
      <c r="F2747">
        <v>0.10349999999999999</v>
      </c>
      <c r="H2747">
        <v>4.8300000000000001E-3</v>
      </c>
      <c r="N2747">
        <v>0</v>
      </c>
      <c r="O2747">
        <v>1</v>
      </c>
      <c r="P2747">
        <v>0</v>
      </c>
    </row>
    <row r="2748" spans="1:16">
      <c r="A2748">
        <f t="shared" si="67"/>
        <v>2747</v>
      </c>
      <c r="B2748" t="s">
        <v>94</v>
      </c>
      <c r="C2748">
        <v>366.48</v>
      </c>
      <c r="D2748">
        <v>20.68</v>
      </c>
      <c r="E2748">
        <v>0</v>
      </c>
      <c r="F2748">
        <v>4.3950000000000003E-2</v>
      </c>
      <c r="H2748">
        <v>1.46E-2</v>
      </c>
      <c r="N2748">
        <v>0</v>
      </c>
      <c r="O2748">
        <v>1</v>
      </c>
      <c r="P2748">
        <v>0</v>
      </c>
    </row>
    <row r="2749" spans="1:16">
      <c r="A2749">
        <f t="shared" si="67"/>
        <v>2748</v>
      </c>
      <c r="B2749" t="s">
        <v>94</v>
      </c>
      <c r="C2749">
        <v>366.48</v>
      </c>
      <c r="D2749">
        <v>41.37</v>
      </c>
      <c r="E2749">
        <v>0</v>
      </c>
      <c r="F2749">
        <v>2.4420000000000001E-2</v>
      </c>
      <c r="H2749">
        <v>2.52E-2</v>
      </c>
      <c r="N2749">
        <v>0</v>
      </c>
      <c r="O2749">
        <v>1</v>
      </c>
      <c r="P2749">
        <v>0</v>
      </c>
    </row>
    <row r="2750" spans="1:16">
      <c r="A2750">
        <f t="shared" si="67"/>
        <v>2749</v>
      </c>
      <c r="B2750" t="s">
        <v>94</v>
      </c>
      <c r="C2750">
        <v>366.48</v>
      </c>
      <c r="D2750">
        <v>57.92</v>
      </c>
      <c r="E2750">
        <v>0</v>
      </c>
      <c r="F2750">
        <v>2.1489999999999999E-2</v>
      </c>
      <c r="H2750">
        <v>3.3500000000000002E-2</v>
      </c>
      <c r="N2750">
        <v>0</v>
      </c>
      <c r="O2750">
        <v>1</v>
      </c>
      <c r="P2750">
        <v>0</v>
      </c>
    </row>
    <row r="2751" spans="1:16">
      <c r="A2751">
        <f t="shared" si="67"/>
        <v>2750</v>
      </c>
      <c r="B2751" t="s">
        <v>94</v>
      </c>
      <c r="C2751">
        <v>366.48</v>
      </c>
      <c r="D2751">
        <v>74.47</v>
      </c>
      <c r="E2751">
        <v>0</v>
      </c>
      <c r="F2751">
        <v>2.07E-2</v>
      </c>
      <c r="H2751">
        <v>4.1000000000000002E-2</v>
      </c>
      <c r="N2751">
        <v>0</v>
      </c>
      <c r="O2751">
        <v>1</v>
      </c>
      <c r="P2751">
        <v>0</v>
      </c>
    </row>
    <row r="2752" spans="1:16">
      <c r="A2752">
        <f t="shared" si="67"/>
        <v>2751</v>
      </c>
      <c r="B2752" t="s">
        <v>94</v>
      </c>
      <c r="C2752">
        <v>422.04</v>
      </c>
      <c r="D2752">
        <v>31.03</v>
      </c>
      <c r="E2752">
        <v>0</v>
      </c>
      <c r="F2752">
        <v>0.17449999999999999</v>
      </c>
      <c r="H2752">
        <v>1.2999999999999999E-2</v>
      </c>
      <c r="N2752">
        <v>0</v>
      </c>
      <c r="O2752">
        <v>1</v>
      </c>
      <c r="P2752">
        <v>0</v>
      </c>
    </row>
    <row r="2753" spans="1:16">
      <c r="A2753">
        <f t="shared" si="67"/>
        <v>2752</v>
      </c>
      <c r="B2753" t="s">
        <v>94</v>
      </c>
      <c r="C2753">
        <v>422.04</v>
      </c>
      <c r="D2753">
        <v>103.42</v>
      </c>
      <c r="E2753">
        <v>0</v>
      </c>
      <c r="F2753">
        <v>8.1199999999999994E-2</v>
      </c>
      <c r="H2753">
        <v>4.2999999999999997E-2</v>
      </c>
      <c r="N2753">
        <v>0</v>
      </c>
      <c r="O2753">
        <v>1</v>
      </c>
      <c r="P2753">
        <v>0</v>
      </c>
    </row>
    <row r="2754" spans="1:16">
      <c r="A2754">
        <f t="shared" si="67"/>
        <v>2753</v>
      </c>
      <c r="B2754" t="s">
        <v>94</v>
      </c>
      <c r="C2754">
        <v>477.59</v>
      </c>
      <c r="D2754">
        <v>31.03</v>
      </c>
      <c r="E2754">
        <v>0</v>
      </c>
      <c r="F2754">
        <v>0.60740000000000005</v>
      </c>
      <c r="H2754">
        <v>6.3800000000000003E-3</v>
      </c>
      <c r="N2754">
        <v>0</v>
      </c>
      <c r="O2754">
        <v>1</v>
      </c>
      <c r="P2754">
        <v>0</v>
      </c>
    </row>
    <row r="2755" spans="1:16">
      <c r="A2755">
        <f t="shared" si="67"/>
        <v>2754</v>
      </c>
      <c r="B2755" t="s">
        <v>94</v>
      </c>
      <c r="C2755">
        <v>477.59</v>
      </c>
      <c r="D2755">
        <v>65.5</v>
      </c>
      <c r="E2755">
        <v>0</v>
      </c>
      <c r="F2755">
        <v>0.32569999999999999</v>
      </c>
      <c r="H2755">
        <v>2.06E-2</v>
      </c>
      <c r="N2755">
        <v>0</v>
      </c>
      <c r="O2755">
        <v>1</v>
      </c>
      <c r="P2755">
        <v>0</v>
      </c>
    </row>
    <row r="2756" spans="1:16">
      <c r="A2756">
        <f t="shared" ref="A2756:A2819" si="68">A2755+1</f>
        <v>2755</v>
      </c>
      <c r="B2756" t="s">
        <v>94</v>
      </c>
      <c r="C2756">
        <v>477.59</v>
      </c>
      <c r="D2756">
        <v>103.42</v>
      </c>
      <c r="E2756">
        <v>0</v>
      </c>
      <c r="F2756">
        <v>0.2412</v>
      </c>
      <c r="H2756">
        <v>2.8199999999999999E-2</v>
      </c>
      <c r="N2756">
        <v>0</v>
      </c>
      <c r="O2756">
        <v>1</v>
      </c>
      <c r="P2756">
        <v>0</v>
      </c>
    </row>
    <row r="2757" spans="1:16">
      <c r="A2757">
        <f t="shared" si="68"/>
        <v>2756</v>
      </c>
      <c r="B2757" t="s">
        <v>94</v>
      </c>
      <c r="C2757">
        <v>533.15</v>
      </c>
      <c r="D2757">
        <v>103.42</v>
      </c>
      <c r="E2757">
        <v>0</v>
      </c>
      <c r="F2757">
        <v>0.56340000000000001</v>
      </c>
      <c r="H2757">
        <v>1.9E-2</v>
      </c>
      <c r="N2757">
        <v>0</v>
      </c>
      <c r="O2757">
        <v>1</v>
      </c>
      <c r="P2757">
        <v>0</v>
      </c>
    </row>
    <row r="2758" spans="1:16">
      <c r="A2758">
        <f t="shared" si="68"/>
        <v>2757</v>
      </c>
      <c r="B2758" t="s">
        <v>94</v>
      </c>
      <c r="C2758">
        <v>588.71</v>
      </c>
      <c r="D2758">
        <v>137.9</v>
      </c>
      <c r="E2758">
        <v>0</v>
      </c>
      <c r="F2758">
        <v>0.85189999999999999</v>
      </c>
      <c r="H2758">
        <v>1.01E-2</v>
      </c>
      <c r="N2758">
        <v>0</v>
      </c>
      <c r="O2758">
        <v>1</v>
      </c>
      <c r="P2758">
        <v>0</v>
      </c>
    </row>
    <row r="2759" spans="1:16">
      <c r="A2759">
        <f t="shared" si="68"/>
        <v>2758</v>
      </c>
      <c r="B2759" t="s">
        <v>106</v>
      </c>
      <c r="C2759">
        <v>323.2</v>
      </c>
      <c r="D2759">
        <v>50</v>
      </c>
      <c r="E2759">
        <v>0</v>
      </c>
      <c r="G2759">
        <v>1.473E-2</v>
      </c>
      <c r="N2759">
        <v>1</v>
      </c>
    </row>
    <row r="2760" spans="1:16">
      <c r="A2760">
        <f t="shared" si="68"/>
        <v>2759</v>
      </c>
      <c r="B2760" t="s">
        <v>106</v>
      </c>
      <c r="C2760">
        <v>323.2</v>
      </c>
      <c r="D2760">
        <v>100</v>
      </c>
      <c r="E2760">
        <v>0</v>
      </c>
      <c r="G2760">
        <v>2.137E-2</v>
      </c>
      <c r="N2760">
        <v>1</v>
      </c>
    </row>
    <row r="2761" spans="1:16">
      <c r="A2761">
        <f t="shared" si="68"/>
        <v>2760</v>
      </c>
      <c r="B2761" t="s">
        <v>106</v>
      </c>
      <c r="C2761">
        <v>323.2</v>
      </c>
      <c r="D2761">
        <v>150</v>
      </c>
      <c r="E2761">
        <v>0</v>
      </c>
      <c r="G2761">
        <v>2.206E-2</v>
      </c>
      <c r="N2761">
        <v>1</v>
      </c>
    </row>
    <row r="2762" spans="1:16">
      <c r="A2762">
        <f t="shared" si="68"/>
        <v>2761</v>
      </c>
      <c r="B2762" t="s">
        <v>106</v>
      </c>
      <c r="C2762">
        <v>323.2</v>
      </c>
      <c r="D2762">
        <v>200</v>
      </c>
      <c r="E2762">
        <v>0</v>
      </c>
      <c r="G2762">
        <v>2.2849999999999999E-2</v>
      </c>
      <c r="N2762">
        <v>1</v>
      </c>
    </row>
    <row r="2763" spans="1:16">
      <c r="A2763">
        <f t="shared" si="68"/>
        <v>2762</v>
      </c>
      <c r="B2763" t="s">
        <v>106</v>
      </c>
      <c r="C2763">
        <v>323.2</v>
      </c>
      <c r="D2763">
        <v>300</v>
      </c>
      <c r="E2763">
        <v>0</v>
      </c>
      <c r="G2763">
        <v>2.4920000000000001E-2</v>
      </c>
      <c r="N2763">
        <v>1</v>
      </c>
    </row>
    <row r="2764" spans="1:16">
      <c r="A2764">
        <f t="shared" si="68"/>
        <v>2763</v>
      </c>
      <c r="B2764" t="s">
        <v>106</v>
      </c>
      <c r="C2764">
        <v>323.2</v>
      </c>
      <c r="D2764">
        <v>400</v>
      </c>
      <c r="E2764">
        <v>0</v>
      </c>
      <c r="G2764">
        <v>2.5690000000000001E-2</v>
      </c>
      <c r="N2764">
        <v>1</v>
      </c>
    </row>
    <row r="2765" spans="1:16">
      <c r="A2765">
        <f t="shared" si="68"/>
        <v>2764</v>
      </c>
      <c r="B2765" t="s">
        <v>106</v>
      </c>
      <c r="C2765">
        <v>373.2</v>
      </c>
      <c r="D2765">
        <v>50</v>
      </c>
      <c r="E2765">
        <v>0</v>
      </c>
      <c r="G2765">
        <v>8.26E-3</v>
      </c>
      <c r="N2765">
        <v>1</v>
      </c>
    </row>
    <row r="2766" spans="1:16">
      <c r="A2766">
        <f t="shared" si="68"/>
        <v>2765</v>
      </c>
      <c r="B2766" t="s">
        <v>106</v>
      </c>
      <c r="C2766">
        <v>373.2</v>
      </c>
      <c r="D2766">
        <v>100</v>
      </c>
      <c r="E2766">
        <v>0</v>
      </c>
      <c r="G2766">
        <v>1.427E-2</v>
      </c>
      <c r="N2766">
        <v>1</v>
      </c>
    </row>
    <row r="2767" spans="1:16">
      <c r="A2767">
        <f t="shared" si="68"/>
        <v>2766</v>
      </c>
      <c r="B2767" t="s">
        <v>106</v>
      </c>
      <c r="C2767">
        <v>373.2</v>
      </c>
      <c r="D2767">
        <v>150</v>
      </c>
      <c r="E2767">
        <v>0</v>
      </c>
      <c r="G2767">
        <v>1.7950000000000001E-2</v>
      </c>
      <c r="N2767">
        <v>1</v>
      </c>
    </row>
    <row r="2768" spans="1:16">
      <c r="A2768">
        <f t="shared" si="68"/>
        <v>2767</v>
      </c>
      <c r="B2768" t="s">
        <v>106</v>
      </c>
      <c r="C2768">
        <v>373.2</v>
      </c>
      <c r="D2768">
        <v>200</v>
      </c>
      <c r="E2768">
        <v>0</v>
      </c>
      <c r="G2768">
        <v>2.044E-2</v>
      </c>
      <c r="N2768">
        <v>1</v>
      </c>
    </row>
    <row r="2769" spans="1:14">
      <c r="A2769">
        <f t="shared" si="68"/>
        <v>2768</v>
      </c>
      <c r="B2769" t="s">
        <v>106</v>
      </c>
      <c r="C2769">
        <v>373.2</v>
      </c>
      <c r="D2769">
        <v>300</v>
      </c>
      <c r="E2769">
        <v>0</v>
      </c>
      <c r="G2769">
        <v>2.3140000000000001E-2</v>
      </c>
      <c r="N2769">
        <v>1</v>
      </c>
    </row>
    <row r="2770" spans="1:14">
      <c r="A2770">
        <f t="shared" si="68"/>
        <v>2769</v>
      </c>
      <c r="B2770" t="s">
        <v>106</v>
      </c>
      <c r="C2770">
        <v>373.2</v>
      </c>
      <c r="D2770">
        <v>400</v>
      </c>
      <c r="E2770">
        <v>0</v>
      </c>
      <c r="G2770">
        <v>2.5340000000000001E-2</v>
      </c>
      <c r="N2770">
        <v>1</v>
      </c>
    </row>
    <row r="2771" spans="1:14">
      <c r="A2771">
        <f t="shared" si="68"/>
        <v>2770</v>
      </c>
      <c r="B2771" t="s">
        <v>106</v>
      </c>
      <c r="C2771">
        <v>413.2</v>
      </c>
      <c r="D2771">
        <v>50</v>
      </c>
      <c r="E2771">
        <v>0</v>
      </c>
      <c r="G2771">
        <v>6.77E-3</v>
      </c>
      <c r="N2771">
        <v>1</v>
      </c>
    </row>
    <row r="2772" spans="1:14">
      <c r="A2772">
        <f t="shared" si="68"/>
        <v>2771</v>
      </c>
      <c r="B2772" t="s">
        <v>106</v>
      </c>
      <c r="C2772">
        <v>413.2</v>
      </c>
      <c r="D2772">
        <v>100</v>
      </c>
      <c r="E2772">
        <v>0</v>
      </c>
      <c r="G2772">
        <v>1.2579999999999999E-2</v>
      </c>
      <c r="N2772">
        <v>1</v>
      </c>
    </row>
    <row r="2773" spans="1:14">
      <c r="A2773">
        <f t="shared" si="68"/>
        <v>2772</v>
      </c>
      <c r="B2773" t="s">
        <v>106</v>
      </c>
      <c r="C2773">
        <v>413.2</v>
      </c>
      <c r="D2773">
        <v>150</v>
      </c>
      <c r="E2773">
        <v>0</v>
      </c>
      <c r="G2773">
        <v>1.7170000000000001E-2</v>
      </c>
      <c r="N2773">
        <v>1</v>
      </c>
    </row>
    <row r="2774" spans="1:14">
      <c r="A2774">
        <f t="shared" si="68"/>
        <v>2773</v>
      </c>
      <c r="B2774" t="s">
        <v>106</v>
      </c>
      <c r="C2774">
        <v>413.2</v>
      </c>
      <c r="D2774">
        <v>200</v>
      </c>
      <c r="E2774">
        <v>0</v>
      </c>
      <c r="G2774">
        <v>2.035E-2</v>
      </c>
      <c r="N2774">
        <v>1</v>
      </c>
    </row>
    <row r="2775" spans="1:14">
      <c r="A2775">
        <f t="shared" si="68"/>
        <v>2774</v>
      </c>
      <c r="B2775" t="s">
        <v>106</v>
      </c>
      <c r="C2775">
        <v>413.2</v>
      </c>
      <c r="D2775">
        <v>300</v>
      </c>
      <c r="E2775">
        <v>0</v>
      </c>
      <c r="G2775">
        <v>2.4660000000000001E-2</v>
      </c>
      <c r="N2775">
        <v>1</v>
      </c>
    </row>
    <row r="2776" spans="1:14">
      <c r="A2776">
        <f t="shared" si="68"/>
        <v>2775</v>
      </c>
      <c r="B2776" t="s">
        <v>106</v>
      </c>
      <c r="C2776">
        <v>413.2</v>
      </c>
      <c r="D2776">
        <v>400</v>
      </c>
      <c r="E2776">
        <v>0</v>
      </c>
      <c r="G2776">
        <v>2.7400000000000001E-2</v>
      </c>
      <c r="N2776">
        <v>1</v>
      </c>
    </row>
    <row r="2777" spans="1:14">
      <c r="A2777">
        <f t="shared" si="68"/>
        <v>2776</v>
      </c>
      <c r="B2777" t="s">
        <v>106</v>
      </c>
      <c r="C2777">
        <v>323.2</v>
      </c>
      <c r="D2777">
        <v>50</v>
      </c>
      <c r="E2777">
        <v>1</v>
      </c>
      <c r="G2777">
        <v>1.188E-2</v>
      </c>
      <c r="N2777">
        <v>1</v>
      </c>
    </row>
    <row r="2778" spans="1:14">
      <c r="A2778">
        <f t="shared" si="68"/>
        <v>2777</v>
      </c>
      <c r="B2778" t="s">
        <v>106</v>
      </c>
      <c r="C2778">
        <v>323.2</v>
      </c>
      <c r="D2778">
        <v>100</v>
      </c>
      <c r="E2778">
        <v>1</v>
      </c>
      <c r="G2778">
        <v>1.702E-2</v>
      </c>
      <c r="N2778">
        <v>1</v>
      </c>
    </row>
    <row r="2779" spans="1:14">
      <c r="A2779">
        <f t="shared" si="68"/>
        <v>2778</v>
      </c>
      <c r="B2779" t="s">
        <v>106</v>
      </c>
      <c r="C2779">
        <v>323.2</v>
      </c>
      <c r="D2779">
        <v>150</v>
      </c>
      <c r="E2779">
        <v>1</v>
      </c>
      <c r="G2779">
        <v>1.8030000000000001E-2</v>
      </c>
      <c r="N2779">
        <v>1</v>
      </c>
    </row>
    <row r="2780" spans="1:14">
      <c r="A2780">
        <f t="shared" si="68"/>
        <v>2779</v>
      </c>
      <c r="B2780" t="s">
        <v>106</v>
      </c>
      <c r="C2780">
        <v>323.2</v>
      </c>
      <c r="D2780">
        <v>200</v>
      </c>
      <c r="E2780">
        <v>1</v>
      </c>
      <c r="G2780">
        <v>1.9429999999999999E-2</v>
      </c>
      <c r="N2780">
        <v>1</v>
      </c>
    </row>
    <row r="2781" spans="1:14">
      <c r="A2781">
        <f t="shared" si="68"/>
        <v>2780</v>
      </c>
      <c r="B2781" t="s">
        <v>106</v>
      </c>
      <c r="C2781">
        <v>323.2</v>
      </c>
      <c r="D2781">
        <v>300</v>
      </c>
      <c r="E2781">
        <v>1</v>
      </c>
      <c r="G2781">
        <v>2.0459999999999999E-2</v>
      </c>
      <c r="N2781">
        <v>1</v>
      </c>
    </row>
    <row r="2782" spans="1:14">
      <c r="A2782">
        <f t="shared" si="68"/>
        <v>2781</v>
      </c>
      <c r="B2782" t="s">
        <v>106</v>
      </c>
      <c r="C2782">
        <v>323.2</v>
      </c>
      <c r="D2782">
        <v>400</v>
      </c>
      <c r="E2782">
        <v>1</v>
      </c>
      <c r="G2782">
        <v>2.163E-2</v>
      </c>
      <c r="N2782">
        <v>1</v>
      </c>
    </row>
    <row r="2783" spans="1:14">
      <c r="A2783">
        <f t="shared" si="68"/>
        <v>2782</v>
      </c>
      <c r="B2783" t="s">
        <v>106</v>
      </c>
      <c r="C2783">
        <v>373.2</v>
      </c>
      <c r="D2783">
        <v>50</v>
      </c>
      <c r="E2783">
        <v>1</v>
      </c>
      <c r="G2783">
        <v>7.6600000000000001E-3</v>
      </c>
      <c r="N2783">
        <v>1</v>
      </c>
    </row>
    <row r="2784" spans="1:14">
      <c r="A2784">
        <f t="shared" si="68"/>
        <v>2783</v>
      </c>
      <c r="B2784" t="s">
        <v>106</v>
      </c>
      <c r="C2784">
        <v>373.2</v>
      </c>
      <c r="D2784">
        <v>100</v>
      </c>
      <c r="E2784">
        <v>1</v>
      </c>
      <c r="G2784">
        <v>1.2160000000000001E-2</v>
      </c>
      <c r="N2784">
        <v>1</v>
      </c>
    </row>
    <row r="2785" spans="1:14">
      <c r="A2785">
        <f t="shared" si="68"/>
        <v>2784</v>
      </c>
      <c r="B2785" t="s">
        <v>106</v>
      </c>
      <c r="C2785">
        <v>373.2</v>
      </c>
      <c r="D2785">
        <v>150</v>
      </c>
      <c r="E2785">
        <v>1</v>
      </c>
      <c r="G2785">
        <v>1.47E-2</v>
      </c>
      <c r="N2785">
        <v>1</v>
      </c>
    </row>
    <row r="2786" spans="1:14">
      <c r="A2786">
        <f t="shared" si="68"/>
        <v>2785</v>
      </c>
      <c r="B2786" t="s">
        <v>106</v>
      </c>
      <c r="C2786">
        <v>373.2</v>
      </c>
      <c r="D2786">
        <v>200</v>
      </c>
      <c r="E2786">
        <v>1</v>
      </c>
      <c r="G2786">
        <v>1.712E-2</v>
      </c>
      <c r="N2786">
        <v>1</v>
      </c>
    </row>
    <row r="2787" spans="1:14">
      <c r="A2787">
        <f t="shared" si="68"/>
        <v>2786</v>
      </c>
      <c r="B2787" t="s">
        <v>106</v>
      </c>
      <c r="C2787">
        <v>373.2</v>
      </c>
      <c r="D2787">
        <v>300</v>
      </c>
      <c r="E2787">
        <v>1</v>
      </c>
      <c r="G2787">
        <v>1.8970000000000001E-2</v>
      </c>
      <c r="N2787">
        <v>1</v>
      </c>
    </row>
    <row r="2788" spans="1:14">
      <c r="A2788">
        <f t="shared" si="68"/>
        <v>2787</v>
      </c>
      <c r="B2788" t="s">
        <v>106</v>
      </c>
      <c r="C2788">
        <v>373.2</v>
      </c>
      <c r="D2788">
        <v>400</v>
      </c>
      <c r="E2788">
        <v>1</v>
      </c>
      <c r="G2788">
        <v>2.1069999999999998E-2</v>
      </c>
      <c r="N2788">
        <v>1</v>
      </c>
    </row>
    <row r="2789" spans="1:14">
      <c r="A2789">
        <f t="shared" si="68"/>
        <v>2788</v>
      </c>
      <c r="B2789" t="s">
        <v>106</v>
      </c>
      <c r="C2789">
        <v>413.2</v>
      </c>
      <c r="D2789">
        <v>50</v>
      </c>
      <c r="E2789">
        <v>1</v>
      </c>
      <c r="G2789">
        <v>5.5199999999999997E-3</v>
      </c>
      <c r="N2789">
        <v>1</v>
      </c>
    </row>
    <row r="2790" spans="1:14">
      <c r="A2790">
        <f t="shared" si="68"/>
        <v>2789</v>
      </c>
      <c r="B2790" t="s">
        <v>106</v>
      </c>
      <c r="C2790">
        <v>413.2</v>
      </c>
      <c r="D2790">
        <v>100</v>
      </c>
      <c r="E2790">
        <v>1</v>
      </c>
      <c r="G2790">
        <v>1.025E-2</v>
      </c>
      <c r="N2790">
        <v>1</v>
      </c>
    </row>
    <row r="2791" spans="1:14">
      <c r="A2791">
        <f t="shared" si="68"/>
        <v>2790</v>
      </c>
      <c r="B2791" t="s">
        <v>106</v>
      </c>
      <c r="C2791">
        <v>413.2</v>
      </c>
      <c r="D2791">
        <v>150</v>
      </c>
      <c r="E2791">
        <v>1</v>
      </c>
      <c r="G2791">
        <v>1.4760000000000001E-2</v>
      </c>
      <c r="N2791">
        <v>1</v>
      </c>
    </row>
    <row r="2792" spans="1:14">
      <c r="A2792">
        <f t="shared" si="68"/>
        <v>2791</v>
      </c>
      <c r="B2792" t="s">
        <v>106</v>
      </c>
      <c r="C2792">
        <v>413.2</v>
      </c>
      <c r="D2792">
        <v>200</v>
      </c>
      <c r="E2792">
        <v>1</v>
      </c>
      <c r="G2792">
        <v>1.704E-2</v>
      </c>
      <c r="N2792">
        <v>1</v>
      </c>
    </row>
    <row r="2793" spans="1:14">
      <c r="A2793">
        <f t="shared" si="68"/>
        <v>2792</v>
      </c>
      <c r="B2793" t="s">
        <v>106</v>
      </c>
      <c r="C2793">
        <v>413.2</v>
      </c>
      <c r="D2793">
        <v>300</v>
      </c>
      <c r="E2793">
        <v>1</v>
      </c>
      <c r="G2793">
        <v>2.1870000000000001E-2</v>
      </c>
      <c r="N2793">
        <v>1</v>
      </c>
    </row>
    <row r="2794" spans="1:14">
      <c r="A2794">
        <f t="shared" si="68"/>
        <v>2793</v>
      </c>
      <c r="B2794" t="s">
        <v>106</v>
      </c>
      <c r="C2794">
        <v>413.2</v>
      </c>
      <c r="D2794">
        <v>400</v>
      </c>
      <c r="E2794">
        <v>1</v>
      </c>
      <c r="G2794">
        <v>2.2610000000000002E-2</v>
      </c>
      <c r="N2794">
        <v>1</v>
      </c>
    </row>
    <row r="2795" spans="1:14">
      <c r="A2795">
        <f t="shared" si="68"/>
        <v>2794</v>
      </c>
      <c r="B2795" t="s">
        <v>106</v>
      </c>
      <c r="C2795">
        <v>323.2</v>
      </c>
      <c r="D2795">
        <v>50</v>
      </c>
      <c r="E2795">
        <v>5</v>
      </c>
      <c r="G2795">
        <v>6.0200000000000002E-3</v>
      </c>
      <c r="N2795">
        <v>1</v>
      </c>
    </row>
    <row r="2796" spans="1:14">
      <c r="A2796">
        <f t="shared" si="68"/>
        <v>2795</v>
      </c>
      <c r="B2796" t="s">
        <v>106</v>
      </c>
      <c r="C2796">
        <v>323.2</v>
      </c>
      <c r="D2796">
        <v>100</v>
      </c>
      <c r="E2796">
        <v>5</v>
      </c>
      <c r="G2796">
        <v>8.7600000000000004E-3</v>
      </c>
      <c r="N2796">
        <v>1</v>
      </c>
    </row>
    <row r="2797" spans="1:14">
      <c r="A2797">
        <f t="shared" si="68"/>
        <v>2796</v>
      </c>
      <c r="B2797" t="s">
        <v>106</v>
      </c>
      <c r="C2797">
        <v>323.2</v>
      </c>
      <c r="D2797">
        <v>150</v>
      </c>
      <c r="E2797">
        <v>5</v>
      </c>
      <c r="G2797">
        <v>9.8700000000000003E-3</v>
      </c>
      <c r="N2797">
        <v>1</v>
      </c>
    </row>
    <row r="2798" spans="1:14">
      <c r="A2798">
        <f t="shared" si="68"/>
        <v>2797</v>
      </c>
      <c r="B2798" t="s">
        <v>106</v>
      </c>
      <c r="C2798">
        <v>323.2</v>
      </c>
      <c r="D2798">
        <v>200</v>
      </c>
      <c r="E2798">
        <v>5</v>
      </c>
      <c r="G2798">
        <v>9.9699999999999997E-3</v>
      </c>
      <c r="N2798">
        <v>1</v>
      </c>
    </row>
    <row r="2799" spans="1:14">
      <c r="A2799">
        <f t="shared" si="68"/>
        <v>2798</v>
      </c>
      <c r="B2799" t="s">
        <v>106</v>
      </c>
      <c r="C2799">
        <v>323.2</v>
      </c>
      <c r="D2799">
        <v>300</v>
      </c>
      <c r="E2799">
        <v>5</v>
      </c>
      <c r="G2799">
        <v>1.077E-2</v>
      </c>
      <c r="N2799">
        <v>1</v>
      </c>
    </row>
    <row r="2800" spans="1:14">
      <c r="A2800">
        <f t="shared" si="68"/>
        <v>2799</v>
      </c>
      <c r="B2800" t="s">
        <v>106</v>
      </c>
      <c r="C2800">
        <v>323.2</v>
      </c>
      <c r="D2800">
        <v>400</v>
      </c>
      <c r="E2800">
        <v>5</v>
      </c>
      <c r="G2800">
        <v>1.1650000000000001E-2</v>
      </c>
      <c r="N2800">
        <v>1</v>
      </c>
    </row>
    <row r="2801" spans="1:19">
      <c r="A2801">
        <f t="shared" si="68"/>
        <v>2800</v>
      </c>
      <c r="B2801" t="s">
        <v>106</v>
      </c>
      <c r="C2801">
        <v>373.2</v>
      </c>
      <c r="D2801">
        <v>50</v>
      </c>
      <c r="E2801">
        <v>5</v>
      </c>
      <c r="G2801">
        <v>3.8300000000000001E-3</v>
      </c>
      <c r="N2801">
        <v>1</v>
      </c>
    </row>
    <row r="2802" spans="1:19">
      <c r="A2802">
        <f t="shared" si="68"/>
        <v>2801</v>
      </c>
      <c r="B2802" t="s">
        <v>106</v>
      </c>
      <c r="C2802">
        <v>373.2</v>
      </c>
      <c r="D2802">
        <v>100</v>
      </c>
      <c r="E2802">
        <v>5</v>
      </c>
      <c r="G2802">
        <v>6.5199999999999998E-3</v>
      </c>
      <c r="N2802">
        <v>1</v>
      </c>
    </row>
    <row r="2803" spans="1:19">
      <c r="A2803">
        <f t="shared" si="68"/>
        <v>2802</v>
      </c>
      <c r="B2803" t="s">
        <v>106</v>
      </c>
      <c r="C2803">
        <v>373.2</v>
      </c>
      <c r="D2803">
        <v>150</v>
      </c>
      <c r="E2803">
        <v>5</v>
      </c>
      <c r="G2803">
        <v>8.5900000000000004E-3</v>
      </c>
      <c r="N2803">
        <v>1</v>
      </c>
    </row>
    <row r="2804" spans="1:19">
      <c r="A2804">
        <f t="shared" si="68"/>
        <v>2803</v>
      </c>
      <c r="B2804" t="s">
        <v>106</v>
      </c>
      <c r="C2804">
        <v>373.2</v>
      </c>
      <c r="D2804">
        <v>200</v>
      </c>
      <c r="E2804">
        <v>5</v>
      </c>
      <c r="G2804">
        <v>1.031E-2</v>
      </c>
      <c r="N2804">
        <v>1</v>
      </c>
    </row>
    <row r="2805" spans="1:19">
      <c r="A2805">
        <f t="shared" si="68"/>
        <v>2804</v>
      </c>
      <c r="B2805" t="s">
        <v>106</v>
      </c>
      <c r="C2805">
        <v>373.2</v>
      </c>
      <c r="D2805">
        <v>300</v>
      </c>
      <c r="E2805">
        <v>5</v>
      </c>
      <c r="G2805">
        <v>1.14E-2</v>
      </c>
      <c r="N2805">
        <v>1</v>
      </c>
    </row>
    <row r="2806" spans="1:19">
      <c r="A2806">
        <f t="shared" si="68"/>
        <v>2805</v>
      </c>
      <c r="B2806" t="s">
        <v>106</v>
      </c>
      <c r="C2806">
        <v>373.2</v>
      </c>
      <c r="D2806">
        <v>400</v>
      </c>
      <c r="E2806">
        <v>5</v>
      </c>
      <c r="G2806">
        <v>1.133E-2</v>
      </c>
      <c r="N2806">
        <v>1</v>
      </c>
    </row>
    <row r="2807" spans="1:19">
      <c r="A2807">
        <f t="shared" si="68"/>
        <v>2806</v>
      </c>
      <c r="B2807" t="s">
        <v>106</v>
      </c>
      <c r="C2807">
        <v>413.2</v>
      </c>
      <c r="D2807">
        <v>50</v>
      </c>
      <c r="E2807">
        <v>5</v>
      </c>
      <c r="G2807">
        <v>3.4199999999999999E-3</v>
      </c>
      <c r="N2807">
        <v>1</v>
      </c>
    </row>
    <row r="2808" spans="1:19">
      <c r="A2808">
        <f t="shared" si="68"/>
        <v>2807</v>
      </c>
      <c r="B2808" t="s">
        <v>106</v>
      </c>
      <c r="C2808">
        <v>413.2</v>
      </c>
      <c r="D2808">
        <v>100</v>
      </c>
      <c r="E2808">
        <v>5</v>
      </c>
      <c r="G2808">
        <v>5.7999999999999996E-3</v>
      </c>
      <c r="N2808">
        <v>1</v>
      </c>
    </row>
    <row r="2809" spans="1:19">
      <c r="A2809">
        <f t="shared" si="68"/>
        <v>2808</v>
      </c>
      <c r="B2809" t="s">
        <v>106</v>
      </c>
      <c r="C2809">
        <v>413.2</v>
      </c>
      <c r="D2809">
        <v>150</v>
      </c>
      <c r="E2809">
        <v>5</v>
      </c>
      <c r="G2809">
        <v>8.2500000000000004E-3</v>
      </c>
      <c r="N2809">
        <v>1</v>
      </c>
    </row>
    <row r="2810" spans="1:19">
      <c r="A2810">
        <f t="shared" si="68"/>
        <v>2809</v>
      </c>
      <c r="B2810" t="s">
        <v>106</v>
      </c>
      <c r="C2810">
        <v>413.2</v>
      </c>
      <c r="D2810">
        <v>200</v>
      </c>
      <c r="E2810">
        <v>5</v>
      </c>
      <c r="G2810">
        <v>1.057E-2</v>
      </c>
      <c r="N2810">
        <v>1</v>
      </c>
    </row>
    <row r="2811" spans="1:19">
      <c r="A2811">
        <f t="shared" si="68"/>
        <v>2810</v>
      </c>
      <c r="B2811" t="s">
        <v>106</v>
      </c>
      <c r="C2811">
        <v>413.2</v>
      </c>
      <c r="D2811">
        <v>300</v>
      </c>
      <c r="E2811">
        <v>5</v>
      </c>
      <c r="G2811">
        <v>1.1129999999999999E-2</v>
      </c>
      <c r="N2811">
        <v>1</v>
      </c>
    </row>
    <row r="2812" spans="1:19">
      <c r="A2812">
        <f t="shared" si="68"/>
        <v>2811</v>
      </c>
      <c r="B2812" t="s">
        <v>106</v>
      </c>
      <c r="C2812">
        <v>413.2</v>
      </c>
      <c r="D2812">
        <v>400</v>
      </c>
      <c r="E2812">
        <v>5</v>
      </c>
      <c r="G2812">
        <v>1.268E-2</v>
      </c>
      <c r="N2812">
        <v>1</v>
      </c>
    </row>
    <row r="2813" spans="1:19">
      <c r="A2813">
        <f t="shared" si="68"/>
        <v>2812</v>
      </c>
      <c r="B2813" t="s">
        <v>107</v>
      </c>
      <c r="C2813">
        <v>275.45</v>
      </c>
      <c r="D2813">
        <v>0.70562729999999996</v>
      </c>
      <c r="E2813">
        <v>0</v>
      </c>
      <c r="L2813">
        <v>7.2595000000000005E-5</v>
      </c>
      <c r="S2813">
        <v>1</v>
      </c>
    </row>
    <row r="2814" spans="1:19">
      <c r="A2814">
        <f t="shared" si="68"/>
        <v>2813</v>
      </c>
      <c r="B2814" t="s">
        <v>107</v>
      </c>
      <c r="C2814">
        <v>275.44</v>
      </c>
      <c r="D2814">
        <v>0.72903337499999998</v>
      </c>
      <c r="E2814">
        <v>0</v>
      </c>
      <c r="L2814">
        <v>7.2574E-5</v>
      </c>
      <c r="S2814">
        <v>1</v>
      </c>
    </row>
    <row r="2815" spans="1:19">
      <c r="A2815">
        <f t="shared" si="68"/>
        <v>2814</v>
      </c>
      <c r="B2815" t="s">
        <v>107</v>
      </c>
      <c r="C2815">
        <v>278.14999999999998</v>
      </c>
      <c r="D2815">
        <v>0.85143397500000007</v>
      </c>
      <c r="E2815">
        <v>0</v>
      </c>
      <c r="L2815">
        <v>6.5011000000000005E-5</v>
      </c>
      <c r="S2815">
        <v>1</v>
      </c>
    </row>
    <row r="2816" spans="1:19">
      <c r="A2816">
        <f t="shared" si="68"/>
        <v>2815</v>
      </c>
      <c r="B2816" t="s">
        <v>107</v>
      </c>
      <c r="C2816">
        <v>283.16000000000003</v>
      </c>
      <c r="D2816">
        <v>0.69812924999999992</v>
      </c>
      <c r="E2816">
        <v>0</v>
      </c>
      <c r="L2816">
        <v>5.4015999999999999E-5</v>
      </c>
      <c r="S2816">
        <v>1</v>
      </c>
    </row>
    <row r="2817" spans="1:19">
      <c r="A2817">
        <f t="shared" si="68"/>
        <v>2816</v>
      </c>
      <c r="B2817" t="s">
        <v>107</v>
      </c>
      <c r="C2817">
        <v>283.14</v>
      </c>
      <c r="D2817">
        <v>0.55840207500000005</v>
      </c>
      <c r="E2817">
        <v>0</v>
      </c>
      <c r="L2817">
        <v>5.4019000000000006E-5</v>
      </c>
      <c r="S2817">
        <v>1</v>
      </c>
    </row>
    <row r="2818" spans="1:19">
      <c r="A2818">
        <f t="shared" si="68"/>
        <v>2817</v>
      </c>
      <c r="B2818" t="s">
        <v>107</v>
      </c>
      <c r="C2818">
        <v>283.77</v>
      </c>
      <c r="D2818">
        <v>0.86349164999999994</v>
      </c>
      <c r="E2818">
        <v>0</v>
      </c>
      <c r="L2818">
        <v>5.2853999999999999E-5</v>
      </c>
      <c r="S2818">
        <v>1</v>
      </c>
    </row>
    <row r="2819" spans="1:19">
      <c r="A2819">
        <f t="shared" si="68"/>
        <v>2818</v>
      </c>
      <c r="B2819" t="s">
        <v>107</v>
      </c>
      <c r="C2819">
        <v>288.14999999999998</v>
      </c>
      <c r="D2819">
        <v>0.76682760000000005</v>
      </c>
      <c r="E2819">
        <v>0</v>
      </c>
      <c r="L2819">
        <v>4.5538999999999999E-5</v>
      </c>
      <c r="S2819">
        <v>1</v>
      </c>
    </row>
    <row r="2820" spans="1:19">
      <c r="A2820">
        <f t="shared" ref="A2820:A2883" si="69">A2819+1</f>
        <v>2819</v>
      </c>
      <c r="B2820" t="s">
        <v>107</v>
      </c>
      <c r="C2820">
        <v>293.14999999999998</v>
      </c>
      <c r="D2820">
        <v>0.89804347499999992</v>
      </c>
      <c r="E2820">
        <v>0</v>
      </c>
      <c r="L2820">
        <v>3.9044000000000001E-5</v>
      </c>
      <c r="S2820">
        <v>1</v>
      </c>
    </row>
    <row r="2821" spans="1:19">
      <c r="A2821">
        <f t="shared" si="69"/>
        <v>2820</v>
      </c>
      <c r="B2821" t="s">
        <v>107</v>
      </c>
      <c r="C2821">
        <v>298.14999999999998</v>
      </c>
      <c r="D2821">
        <v>0.58089622500000004</v>
      </c>
      <c r="E2821">
        <v>0</v>
      </c>
      <c r="L2821">
        <v>3.4065E-5</v>
      </c>
      <c r="S2821">
        <v>1</v>
      </c>
    </row>
    <row r="2822" spans="1:19">
      <c r="A2822">
        <f t="shared" si="69"/>
        <v>2821</v>
      </c>
      <c r="B2822" t="s">
        <v>107</v>
      </c>
      <c r="C2822">
        <v>298.14999999999998</v>
      </c>
      <c r="D2822">
        <v>0.95681197500000004</v>
      </c>
      <c r="E2822">
        <v>0</v>
      </c>
      <c r="L2822">
        <v>3.4028999999999996E-5</v>
      </c>
      <c r="S2822">
        <v>1</v>
      </c>
    </row>
    <row r="2823" spans="1:19">
      <c r="A2823">
        <f t="shared" si="69"/>
        <v>2822</v>
      </c>
      <c r="B2823" t="s">
        <v>107</v>
      </c>
      <c r="C2823">
        <v>298.14</v>
      </c>
      <c r="D2823">
        <v>0.72356182499999999</v>
      </c>
      <c r="E2823">
        <v>0</v>
      </c>
      <c r="L2823">
        <v>3.4032000000000002E-5</v>
      </c>
      <c r="S2823">
        <v>1</v>
      </c>
    </row>
    <row r="2824" spans="1:19">
      <c r="A2824">
        <f t="shared" si="69"/>
        <v>2823</v>
      </c>
      <c r="B2824" t="s">
        <v>107</v>
      </c>
      <c r="C2824">
        <v>298.16000000000003</v>
      </c>
      <c r="D2824">
        <v>0.50743559999999999</v>
      </c>
      <c r="E2824">
        <v>0</v>
      </c>
      <c r="L2824">
        <v>3.3977999999999999E-5</v>
      </c>
      <c r="S2824">
        <v>1</v>
      </c>
    </row>
    <row r="2825" spans="1:19">
      <c r="A2825">
        <f t="shared" si="69"/>
        <v>2824</v>
      </c>
      <c r="B2825" t="s">
        <v>108</v>
      </c>
      <c r="C2825">
        <v>310.93</v>
      </c>
      <c r="D2825">
        <v>4.0999999999999996</v>
      </c>
      <c r="E2825">
        <v>0</v>
      </c>
      <c r="L2825">
        <v>8.9300000000000002E-5</v>
      </c>
      <c r="S2825">
        <v>1</v>
      </c>
    </row>
    <row r="2826" spans="1:19">
      <c r="A2826">
        <f t="shared" si="69"/>
        <v>2825</v>
      </c>
      <c r="B2826" t="s">
        <v>108</v>
      </c>
      <c r="C2826">
        <v>310.93</v>
      </c>
      <c r="D2826">
        <v>7.6</v>
      </c>
      <c r="E2826">
        <v>0</v>
      </c>
      <c r="L2826">
        <v>2.04E-4</v>
      </c>
      <c r="S2826">
        <v>1</v>
      </c>
    </row>
    <row r="2827" spans="1:19">
      <c r="A2827">
        <f t="shared" si="69"/>
        <v>2826</v>
      </c>
      <c r="B2827" t="s">
        <v>108</v>
      </c>
      <c r="C2827">
        <v>310.93</v>
      </c>
      <c r="D2827">
        <v>13.799999999999999</v>
      </c>
      <c r="E2827">
        <v>0</v>
      </c>
      <c r="L2827">
        <v>3.1099999999999997E-4</v>
      </c>
      <c r="S2827">
        <v>1</v>
      </c>
    </row>
    <row r="2828" spans="1:19">
      <c r="A2828">
        <f t="shared" si="69"/>
        <v>2827</v>
      </c>
      <c r="B2828" t="s">
        <v>108</v>
      </c>
      <c r="C2828">
        <v>310.93</v>
      </c>
      <c r="D2828">
        <v>23.4</v>
      </c>
      <c r="E2828">
        <v>0</v>
      </c>
      <c r="L2828">
        <v>5.2099999999999998E-4</v>
      </c>
      <c r="S2828">
        <v>1</v>
      </c>
    </row>
    <row r="2829" spans="1:19">
      <c r="A2829">
        <f t="shared" si="69"/>
        <v>2828</v>
      </c>
      <c r="B2829" t="s">
        <v>108</v>
      </c>
      <c r="C2829">
        <v>310.93</v>
      </c>
      <c r="D2829">
        <v>39.200000000000003</v>
      </c>
      <c r="E2829">
        <v>0</v>
      </c>
      <c r="L2829">
        <v>6.4700000000000001E-4</v>
      </c>
      <c r="S2829">
        <v>1</v>
      </c>
    </row>
    <row r="2830" spans="1:19">
      <c r="A2830">
        <f t="shared" si="69"/>
        <v>2829</v>
      </c>
      <c r="B2830" t="s">
        <v>108</v>
      </c>
      <c r="C2830">
        <v>310.93</v>
      </c>
      <c r="D2830">
        <v>52.9</v>
      </c>
      <c r="E2830">
        <v>0</v>
      </c>
      <c r="L2830">
        <v>7.0899999999999999E-4</v>
      </c>
      <c r="S2830">
        <v>1</v>
      </c>
    </row>
    <row r="2831" spans="1:19">
      <c r="A2831">
        <f t="shared" si="69"/>
        <v>2830</v>
      </c>
      <c r="B2831" t="s">
        <v>108</v>
      </c>
      <c r="C2831">
        <v>310.93</v>
      </c>
      <c r="D2831">
        <v>74.5</v>
      </c>
      <c r="E2831">
        <v>0</v>
      </c>
      <c r="L2831">
        <v>8.0099999999999995E-4</v>
      </c>
      <c r="S2831">
        <v>1</v>
      </c>
    </row>
    <row r="2832" spans="1:19">
      <c r="A2832">
        <f t="shared" si="69"/>
        <v>2831</v>
      </c>
      <c r="B2832" t="s">
        <v>108</v>
      </c>
      <c r="C2832">
        <v>344.26</v>
      </c>
      <c r="D2832">
        <v>7.8000000000000007</v>
      </c>
      <c r="E2832">
        <v>0</v>
      </c>
      <c r="L2832">
        <v>8.1200000000000009E-5</v>
      </c>
      <c r="S2832">
        <v>1</v>
      </c>
    </row>
    <row r="2833" spans="1:19">
      <c r="A2833">
        <f t="shared" si="69"/>
        <v>2832</v>
      </c>
      <c r="B2833" t="s">
        <v>108</v>
      </c>
      <c r="C2833">
        <v>344.26</v>
      </c>
      <c r="D2833">
        <v>13.5</v>
      </c>
      <c r="E2833">
        <v>0</v>
      </c>
      <c r="L2833">
        <v>1.54E-4</v>
      </c>
      <c r="S2833">
        <v>1</v>
      </c>
    </row>
    <row r="2834" spans="1:19">
      <c r="A2834">
        <f t="shared" si="69"/>
        <v>2833</v>
      </c>
      <c r="B2834" t="s">
        <v>108</v>
      </c>
      <c r="C2834">
        <v>344.26</v>
      </c>
      <c r="D2834">
        <v>21.7</v>
      </c>
      <c r="E2834">
        <v>0</v>
      </c>
      <c r="L2834">
        <v>3.0899999999999998E-4</v>
      </c>
      <c r="S2834">
        <v>1</v>
      </c>
    </row>
    <row r="2835" spans="1:19">
      <c r="A2835">
        <f t="shared" si="69"/>
        <v>2834</v>
      </c>
      <c r="B2835" t="s">
        <v>108</v>
      </c>
      <c r="C2835">
        <v>344.26</v>
      </c>
      <c r="D2835">
        <v>35.299999999999997</v>
      </c>
      <c r="E2835">
        <v>0</v>
      </c>
      <c r="L2835">
        <v>4.17E-4</v>
      </c>
      <c r="S2835">
        <v>1</v>
      </c>
    </row>
    <row r="2836" spans="1:19">
      <c r="A2836">
        <f t="shared" si="69"/>
        <v>2835</v>
      </c>
      <c r="B2836" t="s">
        <v>108</v>
      </c>
      <c r="C2836">
        <v>344.26</v>
      </c>
      <c r="D2836">
        <v>54.1</v>
      </c>
      <c r="E2836">
        <v>0</v>
      </c>
      <c r="L2836">
        <v>5.6999999999999998E-4</v>
      </c>
      <c r="S2836">
        <v>1</v>
      </c>
    </row>
    <row r="2837" spans="1:19">
      <c r="A2837">
        <f t="shared" si="69"/>
        <v>2836</v>
      </c>
      <c r="B2837" t="s">
        <v>108</v>
      </c>
      <c r="C2837">
        <v>344.26</v>
      </c>
      <c r="D2837">
        <v>83.800000000000011</v>
      </c>
      <c r="E2837">
        <v>0</v>
      </c>
      <c r="L2837">
        <v>6.7900000000000002E-4</v>
      </c>
      <c r="S2837">
        <v>1</v>
      </c>
    </row>
    <row r="2838" spans="1:19">
      <c r="A2838">
        <f t="shared" si="69"/>
        <v>2837</v>
      </c>
      <c r="B2838" t="s">
        <v>108</v>
      </c>
      <c r="C2838">
        <v>377.59</v>
      </c>
      <c r="D2838">
        <v>8.5</v>
      </c>
      <c r="E2838">
        <v>0</v>
      </c>
      <c r="L2838">
        <v>6.9799999999999989E-5</v>
      </c>
      <c r="S2838">
        <v>1</v>
      </c>
    </row>
    <row r="2839" spans="1:19">
      <c r="A2839">
        <f t="shared" si="69"/>
        <v>2838</v>
      </c>
      <c r="B2839" t="s">
        <v>108</v>
      </c>
      <c r="C2839">
        <v>377.59</v>
      </c>
      <c r="D2839">
        <v>14.6</v>
      </c>
      <c r="E2839">
        <v>0</v>
      </c>
      <c r="L2839">
        <v>1.3000000000000002E-4</v>
      </c>
      <c r="S2839">
        <v>1</v>
      </c>
    </row>
    <row r="2840" spans="1:19">
      <c r="A2840">
        <f t="shared" si="69"/>
        <v>2839</v>
      </c>
      <c r="B2840" t="s">
        <v>108</v>
      </c>
      <c r="C2840">
        <v>377.59</v>
      </c>
      <c r="D2840">
        <v>22.200000000000003</v>
      </c>
      <c r="E2840">
        <v>0</v>
      </c>
      <c r="L2840">
        <v>2.5599999999999999E-4</v>
      </c>
      <c r="S2840">
        <v>1</v>
      </c>
    </row>
    <row r="2841" spans="1:19">
      <c r="A2841">
        <f t="shared" si="69"/>
        <v>2840</v>
      </c>
      <c r="B2841" t="s">
        <v>108</v>
      </c>
      <c r="C2841">
        <v>377.59</v>
      </c>
      <c r="D2841">
        <v>37.799999999999997</v>
      </c>
      <c r="E2841">
        <v>0</v>
      </c>
      <c r="L2841">
        <v>3.9100000000000002E-4</v>
      </c>
      <c r="S2841">
        <v>1</v>
      </c>
    </row>
    <row r="2842" spans="1:19">
      <c r="A2842">
        <f t="shared" si="69"/>
        <v>2841</v>
      </c>
      <c r="B2842" t="s">
        <v>108</v>
      </c>
      <c r="C2842">
        <v>377.59</v>
      </c>
      <c r="D2842">
        <v>51.8</v>
      </c>
      <c r="E2842">
        <v>0</v>
      </c>
      <c r="L2842">
        <v>5.5999999999999995E-4</v>
      </c>
      <c r="S2842">
        <v>1</v>
      </c>
    </row>
    <row r="2843" spans="1:19">
      <c r="A2843">
        <f t="shared" si="69"/>
        <v>2842</v>
      </c>
      <c r="B2843" t="s">
        <v>108</v>
      </c>
      <c r="C2843">
        <v>377.59</v>
      </c>
      <c r="D2843">
        <v>77.2</v>
      </c>
      <c r="E2843">
        <v>0</v>
      </c>
      <c r="L2843">
        <v>6.6100000000000002E-4</v>
      </c>
      <c r="S2843">
        <v>1</v>
      </c>
    </row>
    <row r="2844" spans="1:19">
      <c r="A2844">
        <f t="shared" si="69"/>
        <v>2843</v>
      </c>
      <c r="B2844" t="s">
        <v>108</v>
      </c>
      <c r="C2844">
        <v>410.93</v>
      </c>
      <c r="D2844">
        <v>7.8000000000000007</v>
      </c>
      <c r="E2844">
        <v>0</v>
      </c>
      <c r="L2844">
        <v>4.7499999999999996E-5</v>
      </c>
      <c r="S2844">
        <v>1</v>
      </c>
    </row>
    <row r="2845" spans="1:19">
      <c r="A2845">
        <f t="shared" si="69"/>
        <v>2844</v>
      </c>
      <c r="B2845" t="s">
        <v>108</v>
      </c>
      <c r="C2845">
        <v>410.93</v>
      </c>
      <c r="D2845">
        <v>14.5</v>
      </c>
      <c r="E2845">
        <v>0</v>
      </c>
      <c r="L2845">
        <v>1.5800000000000002E-4</v>
      </c>
      <c r="S2845">
        <v>1</v>
      </c>
    </row>
    <row r="2846" spans="1:19">
      <c r="A2846">
        <f t="shared" si="69"/>
        <v>2845</v>
      </c>
      <c r="B2846" t="s">
        <v>108</v>
      </c>
      <c r="C2846">
        <v>410.93</v>
      </c>
      <c r="D2846">
        <v>22.1</v>
      </c>
      <c r="E2846">
        <v>0</v>
      </c>
      <c r="L2846">
        <v>2.72E-4</v>
      </c>
      <c r="S2846">
        <v>1</v>
      </c>
    </row>
    <row r="2847" spans="1:19">
      <c r="A2847">
        <f t="shared" si="69"/>
        <v>2846</v>
      </c>
      <c r="B2847" t="s">
        <v>108</v>
      </c>
      <c r="C2847">
        <v>410.93</v>
      </c>
      <c r="D2847">
        <v>38.4</v>
      </c>
      <c r="E2847">
        <v>0</v>
      </c>
      <c r="L2847">
        <v>4.6399999999999995E-4</v>
      </c>
      <c r="S2847">
        <v>1</v>
      </c>
    </row>
    <row r="2848" spans="1:19">
      <c r="A2848">
        <f t="shared" si="69"/>
        <v>2847</v>
      </c>
      <c r="B2848" t="s">
        <v>108</v>
      </c>
      <c r="C2848">
        <v>410.93</v>
      </c>
      <c r="D2848">
        <v>54.1</v>
      </c>
      <c r="E2848">
        <v>0</v>
      </c>
      <c r="L2848">
        <v>5.9999999999999995E-4</v>
      </c>
      <c r="S2848">
        <v>1</v>
      </c>
    </row>
    <row r="2849" spans="1:19">
      <c r="A2849">
        <f t="shared" si="69"/>
        <v>2848</v>
      </c>
      <c r="B2849" t="s">
        <v>108</v>
      </c>
      <c r="C2849">
        <v>410.93</v>
      </c>
      <c r="D2849">
        <v>83.800000000000011</v>
      </c>
      <c r="E2849">
        <v>0</v>
      </c>
      <c r="L2849">
        <v>8.6499999999999999E-4</v>
      </c>
      <c r="S2849">
        <v>1</v>
      </c>
    </row>
    <row r="2850" spans="1:19">
      <c r="A2850">
        <f t="shared" si="69"/>
        <v>2849</v>
      </c>
      <c r="B2850" t="s">
        <v>108</v>
      </c>
      <c r="C2850">
        <v>444.26</v>
      </c>
      <c r="D2850">
        <v>15.600000000000001</v>
      </c>
      <c r="E2850">
        <v>0</v>
      </c>
      <c r="L2850">
        <v>1.3999999999999999E-4</v>
      </c>
      <c r="S2850">
        <v>1</v>
      </c>
    </row>
    <row r="2851" spans="1:19">
      <c r="A2851">
        <f t="shared" si="69"/>
        <v>2850</v>
      </c>
      <c r="B2851" t="s">
        <v>108</v>
      </c>
      <c r="C2851">
        <v>444.26</v>
      </c>
      <c r="D2851">
        <v>23</v>
      </c>
      <c r="E2851">
        <v>0</v>
      </c>
      <c r="L2851">
        <v>2.61E-4</v>
      </c>
      <c r="S2851">
        <v>1</v>
      </c>
    </row>
    <row r="2852" spans="1:19">
      <c r="A2852">
        <f t="shared" si="69"/>
        <v>2851</v>
      </c>
      <c r="B2852" t="s">
        <v>108</v>
      </c>
      <c r="C2852">
        <v>444.26</v>
      </c>
      <c r="D2852">
        <v>36.5</v>
      </c>
      <c r="E2852">
        <v>0</v>
      </c>
      <c r="L2852">
        <v>5.0299999999999997E-4</v>
      </c>
      <c r="S2852">
        <v>1</v>
      </c>
    </row>
    <row r="2853" spans="1:19">
      <c r="A2853">
        <f t="shared" si="69"/>
        <v>2852</v>
      </c>
      <c r="B2853" t="s">
        <v>108</v>
      </c>
      <c r="C2853">
        <v>444.26</v>
      </c>
      <c r="D2853">
        <v>51.2</v>
      </c>
      <c r="E2853">
        <v>0</v>
      </c>
      <c r="L2853">
        <v>6.7100000000000005E-4</v>
      </c>
      <c r="S2853">
        <v>1</v>
      </c>
    </row>
    <row r="2854" spans="1:19">
      <c r="A2854">
        <f t="shared" si="69"/>
        <v>2853</v>
      </c>
      <c r="B2854" t="s">
        <v>108</v>
      </c>
      <c r="C2854">
        <v>444.26</v>
      </c>
      <c r="D2854">
        <v>78.600000000000009</v>
      </c>
      <c r="E2854">
        <v>0</v>
      </c>
      <c r="L2854">
        <v>9.6999999999999994E-4</v>
      </c>
      <c r="S2854">
        <v>1</v>
      </c>
    </row>
    <row r="2855" spans="1:19">
      <c r="A2855">
        <f t="shared" si="69"/>
        <v>2854</v>
      </c>
      <c r="B2855" t="s">
        <v>108</v>
      </c>
      <c r="C2855">
        <v>310.93</v>
      </c>
      <c r="D2855">
        <v>132.69999999999999</v>
      </c>
      <c r="E2855">
        <v>0</v>
      </c>
      <c r="L2855">
        <v>8.2100000000000012E-4</v>
      </c>
      <c r="S2855">
        <v>1</v>
      </c>
    </row>
    <row r="2856" spans="1:19">
      <c r="A2856">
        <f t="shared" si="69"/>
        <v>2855</v>
      </c>
      <c r="B2856" t="s">
        <v>108</v>
      </c>
      <c r="C2856">
        <v>310.93</v>
      </c>
      <c r="D2856">
        <v>214.8</v>
      </c>
      <c r="E2856">
        <v>0</v>
      </c>
      <c r="L2856">
        <v>8.9000000000000006E-4</v>
      </c>
      <c r="S2856">
        <v>1</v>
      </c>
    </row>
    <row r="2857" spans="1:19">
      <c r="A2857">
        <f t="shared" si="69"/>
        <v>2856</v>
      </c>
      <c r="B2857" t="s">
        <v>108</v>
      </c>
      <c r="C2857">
        <v>310.93</v>
      </c>
      <c r="D2857">
        <v>347.2</v>
      </c>
      <c r="E2857">
        <v>0</v>
      </c>
      <c r="L2857">
        <v>1.018E-3</v>
      </c>
      <c r="S2857">
        <v>1</v>
      </c>
    </row>
    <row r="2858" spans="1:19">
      <c r="A2858">
        <f t="shared" si="69"/>
        <v>2857</v>
      </c>
      <c r="B2858" t="s">
        <v>108</v>
      </c>
      <c r="C2858">
        <v>310.93</v>
      </c>
      <c r="D2858">
        <v>399.90000000000003</v>
      </c>
      <c r="E2858">
        <v>0</v>
      </c>
      <c r="L2858">
        <v>1.0660000000000001E-3</v>
      </c>
      <c r="S2858">
        <v>1</v>
      </c>
    </row>
    <row r="2859" spans="1:19">
      <c r="A2859">
        <f t="shared" si="69"/>
        <v>2858</v>
      </c>
      <c r="B2859" t="s">
        <v>108</v>
      </c>
      <c r="C2859">
        <v>310.93</v>
      </c>
      <c r="D2859">
        <v>436.4</v>
      </c>
      <c r="E2859">
        <v>0</v>
      </c>
      <c r="L2859">
        <v>1.1050000000000001E-3</v>
      </c>
      <c r="S2859">
        <v>1</v>
      </c>
    </row>
    <row r="2860" spans="1:19">
      <c r="A2860">
        <f t="shared" si="69"/>
        <v>2859</v>
      </c>
      <c r="B2860" t="s">
        <v>108</v>
      </c>
      <c r="C2860">
        <v>310.93</v>
      </c>
      <c r="D2860">
        <v>524.29999999999995</v>
      </c>
      <c r="E2860">
        <v>0</v>
      </c>
      <c r="L2860">
        <v>1.06E-3</v>
      </c>
      <c r="S2860">
        <v>1</v>
      </c>
    </row>
    <row r="2861" spans="1:19">
      <c r="A2861">
        <f t="shared" si="69"/>
        <v>2860</v>
      </c>
      <c r="B2861" t="s">
        <v>108</v>
      </c>
      <c r="C2861">
        <v>310.93</v>
      </c>
      <c r="D2861">
        <v>651.9</v>
      </c>
      <c r="E2861">
        <v>0</v>
      </c>
      <c r="L2861">
        <v>1.1300000000000001E-3</v>
      </c>
      <c r="S2861">
        <v>1</v>
      </c>
    </row>
    <row r="2862" spans="1:19">
      <c r="A2862">
        <f t="shared" si="69"/>
        <v>2861</v>
      </c>
      <c r="B2862" t="s">
        <v>108</v>
      </c>
      <c r="C2862">
        <v>344.26</v>
      </c>
      <c r="D2862">
        <v>136.9</v>
      </c>
      <c r="E2862">
        <v>0</v>
      </c>
      <c r="L2862">
        <v>7.8799999999999996E-4</v>
      </c>
      <c r="S2862">
        <v>1</v>
      </c>
    </row>
    <row r="2863" spans="1:19">
      <c r="A2863">
        <f t="shared" si="69"/>
        <v>2862</v>
      </c>
      <c r="B2863" t="s">
        <v>108</v>
      </c>
      <c r="C2863">
        <v>344.26</v>
      </c>
      <c r="D2863">
        <v>225.79999999999998</v>
      </c>
      <c r="E2863">
        <v>0</v>
      </c>
      <c r="L2863">
        <v>8.9499999999999996E-4</v>
      </c>
      <c r="S2863">
        <v>1</v>
      </c>
    </row>
    <row r="2864" spans="1:19">
      <c r="A2864">
        <f t="shared" si="69"/>
        <v>2863</v>
      </c>
      <c r="B2864" t="s">
        <v>108</v>
      </c>
      <c r="C2864">
        <v>344.26</v>
      </c>
      <c r="D2864">
        <v>336.8</v>
      </c>
      <c r="E2864">
        <v>0</v>
      </c>
      <c r="L2864">
        <v>1.011E-3</v>
      </c>
      <c r="S2864">
        <v>1</v>
      </c>
    </row>
    <row r="2865" spans="1:19">
      <c r="A2865">
        <f t="shared" si="69"/>
        <v>2864</v>
      </c>
      <c r="B2865" t="s">
        <v>108</v>
      </c>
      <c r="C2865">
        <v>344.26</v>
      </c>
      <c r="D2865">
        <v>447.1</v>
      </c>
      <c r="E2865">
        <v>0</v>
      </c>
      <c r="L2865">
        <v>1.078E-3</v>
      </c>
      <c r="S2865">
        <v>1</v>
      </c>
    </row>
    <row r="2866" spans="1:19">
      <c r="A2866">
        <f t="shared" si="69"/>
        <v>2865</v>
      </c>
      <c r="B2866" t="s">
        <v>108</v>
      </c>
      <c r="C2866">
        <v>344.26</v>
      </c>
      <c r="D2866">
        <v>506.8</v>
      </c>
      <c r="E2866">
        <v>0</v>
      </c>
      <c r="L2866">
        <v>1.1000000000000001E-3</v>
      </c>
      <c r="S2866">
        <v>1</v>
      </c>
    </row>
    <row r="2867" spans="1:19">
      <c r="A2867">
        <f t="shared" si="69"/>
        <v>2866</v>
      </c>
      <c r="B2867" t="s">
        <v>108</v>
      </c>
      <c r="C2867">
        <v>344.26</v>
      </c>
      <c r="D2867">
        <v>574.29999999999995</v>
      </c>
      <c r="E2867">
        <v>0</v>
      </c>
      <c r="L2867">
        <v>1.178E-3</v>
      </c>
      <c r="S2867">
        <v>1</v>
      </c>
    </row>
    <row r="2868" spans="1:19">
      <c r="A2868">
        <f t="shared" si="69"/>
        <v>2867</v>
      </c>
      <c r="B2868" t="s">
        <v>108</v>
      </c>
      <c r="C2868">
        <v>344.26</v>
      </c>
      <c r="D2868">
        <v>665.3</v>
      </c>
      <c r="E2868">
        <v>0</v>
      </c>
      <c r="L2868">
        <v>1.1659999999999999E-3</v>
      </c>
      <c r="S2868">
        <v>1</v>
      </c>
    </row>
    <row r="2869" spans="1:19">
      <c r="A2869">
        <f t="shared" si="69"/>
        <v>2868</v>
      </c>
      <c r="B2869" t="s">
        <v>108</v>
      </c>
      <c r="C2869">
        <v>377.59</v>
      </c>
      <c r="D2869">
        <v>135.5</v>
      </c>
      <c r="E2869">
        <v>0</v>
      </c>
      <c r="L2869">
        <v>9.4399999999999996E-4</v>
      </c>
      <c r="S2869">
        <v>1</v>
      </c>
    </row>
    <row r="2870" spans="1:19">
      <c r="A2870">
        <f t="shared" si="69"/>
        <v>2869</v>
      </c>
      <c r="B2870" t="s">
        <v>108</v>
      </c>
      <c r="C2870">
        <v>377.59</v>
      </c>
      <c r="D2870">
        <v>140</v>
      </c>
      <c r="E2870">
        <v>0</v>
      </c>
      <c r="L2870">
        <v>9.6400000000000001E-4</v>
      </c>
      <c r="S2870">
        <v>1</v>
      </c>
    </row>
    <row r="2871" spans="1:19">
      <c r="A2871">
        <f t="shared" si="69"/>
        <v>2870</v>
      </c>
      <c r="B2871" t="s">
        <v>108</v>
      </c>
      <c r="C2871">
        <v>377.59</v>
      </c>
      <c r="D2871">
        <v>174.8</v>
      </c>
      <c r="E2871">
        <v>0</v>
      </c>
      <c r="L2871">
        <v>1.042E-3</v>
      </c>
      <c r="S2871">
        <v>1</v>
      </c>
    </row>
    <row r="2872" spans="1:19">
      <c r="A2872">
        <f t="shared" si="69"/>
        <v>2871</v>
      </c>
      <c r="B2872" t="s">
        <v>108</v>
      </c>
      <c r="C2872">
        <v>377.59</v>
      </c>
      <c r="D2872">
        <v>238.2</v>
      </c>
      <c r="E2872">
        <v>0</v>
      </c>
      <c r="L2872">
        <v>1.132E-3</v>
      </c>
      <c r="S2872">
        <v>1</v>
      </c>
    </row>
    <row r="2873" spans="1:19">
      <c r="A2873">
        <f t="shared" si="69"/>
        <v>2872</v>
      </c>
      <c r="B2873" t="s">
        <v>108</v>
      </c>
      <c r="C2873">
        <v>377.59</v>
      </c>
      <c r="D2873">
        <v>366.8</v>
      </c>
      <c r="E2873">
        <v>0</v>
      </c>
      <c r="L2873">
        <v>1.2490000000000001E-3</v>
      </c>
      <c r="S2873">
        <v>1</v>
      </c>
    </row>
    <row r="2874" spans="1:19">
      <c r="A2874">
        <f t="shared" si="69"/>
        <v>2873</v>
      </c>
      <c r="B2874" t="s">
        <v>108</v>
      </c>
      <c r="C2874">
        <v>377.59</v>
      </c>
      <c r="D2874">
        <v>483.29999999999995</v>
      </c>
      <c r="E2874">
        <v>0</v>
      </c>
      <c r="L2874">
        <v>1.3289999999999999E-3</v>
      </c>
      <c r="S2874">
        <v>1</v>
      </c>
    </row>
    <row r="2875" spans="1:19">
      <c r="A2875">
        <f t="shared" si="69"/>
        <v>2874</v>
      </c>
      <c r="B2875" t="s">
        <v>108</v>
      </c>
      <c r="C2875">
        <v>377.59</v>
      </c>
      <c r="D2875">
        <v>584.70000000000005</v>
      </c>
      <c r="E2875">
        <v>0</v>
      </c>
      <c r="L2875">
        <v>1.4339999999999999E-3</v>
      </c>
      <c r="S2875">
        <v>1</v>
      </c>
    </row>
    <row r="2876" spans="1:19">
      <c r="A2876">
        <f t="shared" si="69"/>
        <v>2875</v>
      </c>
      <c r="B2876" t="s">
        <v>108</v>
      </c>
      <c r="C2876">
        <v>377.59</v>
      </c>
      <c r="D2876">
        <v>685</v>
      </c>
      <c r="E2876">
        <v>0</v>
      </c>
      <c r="L2876">
        <v>1.5140000000000002E-3</v>
      </c>
      <c r="S2876">
        <v>1</v>
      </c>
    </row>
    <row r="2877" spans="1:19">
      <c r="A2877">
        <f t="shared" si="69"/>
        <v>2876</v>
      </c>
      <c r="B2877" t="s">
        <v>108</v>
      </c>
      <c r="C2877">
        <v>410.93</v>
      </c>
      <c r="D2877">
        <v>50.7</v>
      </c>
      <c r="E2877">
        <v>0</v>
      </c>
      <c r="L2877">
        <v>6.6E-4</v>
      </c>
      <c r="S2877">
        <v>1</v>
      </c>
    </row>
    <row r="2878" spans="1:19">
      <c r="A2878">
        <f t="shared" si="69"/>
        <v>2877</v>
      </c>
      <c r="B2878" t="s">
        <v>108</v>
      </c>
      <c r="C2878">
        <v>410.93</v>
      </c>
      <c r="D2878">
        <v>67.5</v>
      </c>
      <c r="E2878">
        <v>0</v>
      </c>
      <c r="L2878">
        <v>8.0299999999999989E-4</v>
      </c>
      <c r="S2878">
        <v>1</v>
      </c>
    </row>
    <row r="2879" spans="1:19">
      <c r="A2879">
        <f t="shared" si="69"/>
        <v>2878</v>
      </c>
      <c r="B2879" t="s">
        <v>108</v>
      </c>
      <c r="C2879">
        <v>410.93</v>
      </c>
      <c r="D2879">
        <v>101.4</v>
      </c>
      <c r="E2879">
        <v>0</v>
      </c>
      <c r="L2879">
        <v>1.065E-3</v>
      </c>
      <c r="S2879">
        <v>1</v>
      </c>
    </row>
    <row r="2880" spans="1:19">
      <c r="A2880">
        <f t="shared" si="69"/>
        <v>2879</v>
      </c>
      <c r="B2880" t="s">
        <v>108</v>
      </c>
      <c r="C2880">
        <v>410.93</v>
      </c>
      <c r="D2880">
        <v>145.1</v>
      </c>
      <c r="E2880">
        <v>0</v>
      </c>
      <c r="L2880">
        <v>1.2080000000000001E-3</v>
      </c>
      <c r="S2880">
        <v>1</v>
      </c>
    </row>
    <row r="2881" spans="1:19">
      <c r="A2881">
        <f t="shared" si="69"/>
        <v>2880</v>
      </c>
      <c r="B2881" t="s">
        <v>108</v>
      </c>
      <c r="C2881">
        <v>410.93</v>
      </c>
      <c r="D2881">
        <v>184.8</v>
      </c>
      <c r="E2881">
        <v>0</v>
      </c>
      <c r="L2881">
        <v>1.384E-3</v>
      </c>
      <c r="S2881">
        <v>1</v>
      </c>
    </row>
    <row r="2882" spans="1:19">
      <c r="A2882">
        <f t="shared" si="69"/>
        <v>2881</v>
      </c>
      <c r="B2882" t="s">
        <v>108</v>
      </c>
      <c r="C2882">
        <v>410.93</v>
      </c>
      <c r="D2882">
        <v>247.2</v>
      </c>
      <c r="E2882">
        <v>0</v>
      </c>
      <c r="L2882">
        <v>1.5300000000000001E-3</v>
      </c>
      <c r="S2882">
        <v>1</v>
      </c>
    </row>
    <row r="2883" spans="1:19">
      <c r="A2883">
        <f t="shared" si="69"/>
        <v>2882</v>
      </c>
      <c r="B2883" t="s">
        <v>108</v>
      </c>
      <c r="C2883">
        <v>410.93</v>
      </c>
      <c r="D2883">
        <v>347.8</v>
      </c>
      <c r="E2883">
        <v>0</v>
      </c>
      <c r="L2883">
        <v>1.7030000000000001E-3</v>
      </c>
      <c r="S2883">
        <v>1</v>
      </c>
    </row>
    <row r="2884" spans="1:19">
      <c r="A2884">
        <f t="shared" ref="A2884:A2947" si="70">A2883+1</f>
        <v>2883</v>
      </c>
      <c r="B2884" t="s">
        <v>108</v>
      </c>
      <c r="C2884">
        <v>410.93</v>
      </c>
      <c r="D2884">
        <v>445.7</v>
      </c>
      <c r="E2884">
        <v>0</v>
      </c>
      <c r="L2884">
        <v>1.8670000000000002E-3</v>
      </c>
      <c r="S2884">
        <v>1</v>
      </c>
    </row>
    <row r="2885" spans="1:19">
      <c r="A2885">
        <f t="shared" si="70"/>
        <v>2884</v>
      </c>
      <c r="B2885" t="s">
        <v>108</v>
      </c>
      <c r="C2885">
        <v>410.93</v>
      </c>
      <c r="D2885">
        <v>555.4</v>
      </c>
      <c r="E2885">
        <v>0</v>
      </c>
      <c r="L2885">
        <v>1.9010000000000001E-3</v>
      </c>
      <c r="S2885">
        <v>1</v>
      </c>
    </row>
    <row r="2886" spans="1:19">
      <c r="A2886">
        <f t="shared" si="70"/>
        <v>2885</v>
      </c>
      <c r="B2886" t="s">
        <v>108</v>
      </c>
      <c r="C2886">
        <v>410.93</v>
      </c>
      <c r="D2886">
        <v>674</v>
      </c>
      <c r="E2886">
        <v>0</v>
      </c>
      <c r="L2886">
        <v>2.0050000000000003E-3</v>
      </c>
      <c r="S2886">
        <v>1</v>
      </c>
    </row>
    <row r="2887" spans="1:19">
      <c r="A2887">
        <f t="shared" si="70"/>
        <v>2886</v>
      </c>
      <c r="B2887" t="s">
        <v>108</v>
      </c>
      <c r="C2887">
        <v>444.26</v>
      </c>
      <c r="D2887">
        <v>50.8</v>
      </c>
      <c r="E2887">
        <v>0</v>
      </c>
      <c r="L2887">
        <v>7.7000000000000007E-4</v>
      </c>
      <c r="S2887">
        <v>1</v>
      </c>
    </row>
    <row r="2888" spans="1:19">
      <c r="A2888">
        <f t="shared" si="70"/>
        <v>2887</v>
      </c>
      <c r="B2888" t="s">
        <v>108</v>
      </c>
      <c r="C2888">
        <v>444.26</v>
      </c>
      <c r="D2888">
        <v>68.400000000000006</v>
      </c>
      <c r="E2888">
        <v>0</v>
      </c>
      <c r="L2888">
        <v>1.039E-3</v>
      </c>
      <c r="S2888">
        <v>1</v>
      </c>
    </row>
    <row r="2889" spans="1:19">
      <c r="A2889">
        <f t="shared" si="70"/>
        <v>2888</v>
      </c>
      <c r="B2889" t="s">
        <v>108</v>
      </c>
      <c r="C2889">
        <v>444.26</v>
      </c>
      <c r="D2889">
        <v>94.5</v>
      </c>
      <c r="E2889">
        <v>0</v>
      </c>
      <c r="L2889">
        <v>1.3109999999999999E-3</v>
      </c>
      <c r="S2889">
        <v>1</v>
      </c>
    </row>
    <row r="2890" spans="1:19">
      <c r="A2890">
        <f t="shared" si="70"/>
        <v>2889</v>
      </c>
      <c r="B2890" t="s">
        <v>108</v>
      </c>
      <c r="C2890">
        <v>444.26</v>
      </c>
      <c r="D2890">
        <v>136.9</v>
      </c>
      <c r="E2890">
        <v>0</v>
      </c>
      <c r="L2890">
        <v>1.6710000000000002E-3</v>
      </c>
      <c r="S2890">
        <v>1</v>
      </c>
    </row>
    <row r="2891" spans="1:19">
      <c r="A2891">
        <f t="shared" si="70"/>
        <v>2890</v>
      </c>
      <c r="B2891" t="s">
        <v>108</v>
      </c>
      <c r="C2891">
        <v>444.26</v>
      </c>
      <c r="D2891">
        <v>179.60000000000002</v>
      </c>
      <c r="E2891">
        <v>0</v>
      </c>
      <c r="L2891">
        <v>1.97E-3</v>
      </c>
      <c r="S2891">
        <v>1</v>
      </c>
    </row>
    <row r="2892" spans="1:19">
      <c r="A2892">
        <f t="shared" si="70"/>
        <v>2891</v>
      </c>
      <c r="B2892" t="s">
        <v>108</v>
      </c>
      <c r="C2892">
        <v>444.26</v>
      </c>
      <c r="D2892">
        <v>251</v>
      </c>
      <c r="E2892">
        <v>0</v>
      </c>
      <c r="L2892">
        <v>2.3249999999999998E-3</v>
      </c>
      <c r="S2892">
        <v>1</v>
      </c>
    </row>
    <row r="2893" spans="1:19">
      <c r="A2893">
        <f t="shared" si="70"/>
        <v>2892</v>
      </c>
      <c r="B2893" t="s">
        <v>108</v>
      </c>
      <c r="C2893">
        <v>444.26</v>
      </c>
      <c r="D2893">
        <v>295.39999999999998</v>
      </c>
      <c r="E2893">
        <v>0</v>
      </c>
      <c r="L2893">
        <v>2.48E-3</v>
      </c>
      <c r="S2893">
        <v>1</v>
      </c>
    </row>
    <row r="2894" spans="1:19">
      <c r="A2894">
        <f t="shared" si="70"/>
        <v>2893</v>
      </c>
      <c r="B2894" t="s">
        <v>108</v>
      </c>
      <c r="C2894">
        <v>444.26</v>
      </c>
      <c r="D2894">
        <v>347.2</v>
      </c>
      <c r="E2894">
        <v>0</v>
      </c>
      <c r="L2894">
        <v>2.5149999999999999E-3</v>
      </c>
      <c r="S2894">
        <v>1</v>
      </c>
    </row>
    <row r="2895" spans="1:19">
      <c r="A2895">
        <f t="shared" si="70"/>
        <v>2894</v>
      </c>
      <c r="B2895" t="s">
        <v>108</v>
      </c>
      <c r="C2895">
        <v>444.26</v>
      </c>
      <c r="D2895">
        <v>362</v>
      </c>
      <c r="E2895">
        <v>0</v>
      </c>
      <c r="L2895">
        <v>2.6350000000000002E-3</v>
      </c>
      <c r="S2895">
        <v>1</v>
      </c>
    </row>
    <row r="2896" spans="1:19">
      <c r="A2896">
        <f t="shared" si="70"/>
        <v>2895</v>
      </c>
      <c r="B2896" t="s">
        <v>108</v>
      </c>
      <c r="C2896">
        <v>444.26</v>
      </c>
      <c r="D2896">
        <v>457.1</v>
      </c>
      <c r="E2896">
        <v>0</v>
      </c>
      <c r="L2896">
        <v>2.7899999999999999E-3</v>
      </c>
      <c r="S2896">
        <v>1</v>
      </c>
    </row>
    <row r="2897" spans="1:19">
      <c r="A2897">
        <f t="shared" si="70"/>
        <v>2896</v>
      </c>
      <c r="B2897" t="s">
        <v>108</v>
      </c>
      <c r="C2897">
        <v>444.26</v>
      </c>
      <c r="D2897">
        <v>573.6</v>
      </c>
      <c r="E2897">
        <v>0</v>
      </c>
      <c r="L2897">
        <v>3.0600000000000002E-3</v>
      </c>
      <c r="S2897">
        <v>1</v>
      </c>
    </row>
    <row r="2898" spans="1:19">
      <c r="A2898">
        <f t="shared" si="70"/>
        <v>2897</v>
      </c>
      <c r="B2898" t="s">
        <v>108</v>
      </c>
      <c r="C2898">
        <v>444.26</v>
      </c>
      <c r="D2898">
        <v>643.6</v>
      </c>
      <c r="E2898">
        <v>0</v>
      </c>
      <c r="L2898">
        <v>3.2000000000000002E-3</v>
      </c>
      <c r="S2898">
        <v>1</v>
      </c>
    </row>
    <row r="2899" spans="1:19">
      <c r="A2899">
        <f t="shared" si="70"/>
        <v>2898</v>
      </c>
      <c r="B2899" t="s">
        <v>108</v>
      </c>
      <c r="C2899">
        <v>444.26</v>
      </c>
      <c r="D2899">
        <v>678.1</v>
      </c>
      <c r="E2899">
        <v>0</v>
      </c>
      <c r="L2899">
        <v>3.3E-3</v>
      </c>
      <c r="S2899">
        <v>1</v>
      </c>
    </row>
    <row r="2900" spans="1:19">
      <c r="A2900">
        <f t="shared" si="70"/>
        <v>2899</v>
      </c>
      <c r="B2900" t="s">
        <v>109</v>
      </c>
      <c r="C2900">
        <v>473.15</v>
      </c>
      <c r="D2900">
        <v>200</v>
      </c>
      <c r="E2900">
        <v>0</v>
      </c>
      <c r="F2900">
        <v>0.12</v>
      </c>
      <c r="L2900">
        <v>5.0000000000000001E-3</v>
      </c>
      <c r="S2900">
        <v>1</v>
      </c>
    </row>
    <row r="2901" spans="1:19">
      <c r="A2901">
        <f t="shared" si="70"/>
        <v>2900</v>
      </c>
      <c r="B2901" t="s">
        <v>109</v>
      </c>
      <c r="C2901">
        <v>473.15</v>
      </c>
      <c r="D2901">
        <v>500</v>
      </c>
      <c r="E2901">
        <v>0</v>
      </c>
      <c r="F2901">
        <v>6.9999999999999951E-2</v>
      </c>
      <c r="L2901">
        <v>5.0000000000000001E-3</v>
      </c>
      <c r="S2901">
        <v>1</v>
      </c>
    </row>
    <row r="2902" spans="1:19">
      <c r="A2902">
        <f t="shared" si="70"/>
        <v>2901</v>
      </c>
      <c r="B2902" t="s">
        <v>109</v>
      </c>
      <c r="C2902">
        <v>473.15</v>
      </c>
      <c r="D2902">
        <v>1000</v>
      </c>
      <c r="E2902">
        <v>0</v>
      </c>
      <c r="F2902">
        <v>6.9999999999999951E-2</v>
      </c>
      <c r="L2902">
        <v>5.0000000000000001E-3</v>
      </c>
      <c r="S2902">
        <v>1</v>
      </c>
    </row>
    <row r="2903" spans="1:19">
      <c r="A2903">
        <f t="shared" si="70"/>
        <v>2902</v>
      </c>
      <c r="B2903" t="s">
        <v>109</v>
      </c>
      <c r="C2903">
        <v>473.15</v>
      </c>
      <c r="D2903">
        <v>1500</v>
      </c>
      <c r="E2903">
        <v>0</v>
      </c>
      <c r="F2903">
        <v>6.9999999999999951E-2</v>
      </c>
      <c r="L2903">
        <v>5.0000000000000001E-3</v>
      </c>
      <c r="S2903">
        <v>1</v>
      </c>
    </row>
    <row r="2904" spans="1:19">
      <c r="A2904">
        <f t="shared" si="70"/>
        <v>2903</v>
      </c>
      <c r="B2904" t="s">
        <v>109</v>
      </c>
      <c r="C2904">
        <v>473.15</v>
      </c>
      <c r="D2904">
        <v>2000</v>
      </c>
      <c r="E2904">
        <v>0</v>
      </c>
      <c r="F2904">
        <v>6.9999999999999951E-2</v>
      </c>
      <c r="L2904">
        <v>5.0000000000000001E-3</v>
      </c>
      <c r="S2904">
        <v>1</v>
      </c>
    </row>
    <row r="2905" spans="1:19">
      <c r="A2905">
        <f t="shared" si="70"/>
        <v>2904</v>
      </c>
      <c r="B2905" t="s">
        <v>109</v>
      </c>
      <c r="C2905">
        <v>473.15</v>
      </c>
      <c r="D2905">
        <v>2500</v>
      </c>
      <c r="E2905">
        <v>0</v>
      </c>
      <c r="F2905">
        <v>6.9999999999999951E-2</v>
      </c>
      <c r="L2905">
        <v>5.0000000000000001E-3</v>
      </c>
      <c r="S2905">
        <v>1</v>
      </c>
    </row>
    <row r="2906" spans="1:19">
      <c r="A2906">
        <f t="shared" si="70"/>
        <v>2905</v>
      </c>
      <c r="B2906" t="s">
        <v>109</v>
      </c>
      <c r="C2906">
        <v>473.15</v>
      </c>
      <c r="D2906">
        <v>3000</v>
      </c>
      <c r="E2906">
        <v>0</v>
      </c>
      <c r="F2906">
        <v>6.9999999999999951E-2</v>
      </c>
      <c r="L2906">
        <v>5.0000000000000001E-3</v>
      </c>
      <c r="S2906">
        <v>1</v>
      </c>
    </row>
    <row r="2907" spans="1:19">
      <c r="A2907">
        <f t="shared" si="70"/>
        <v>2906</v>
      </c>
      <c r="B2907" t="s">
        <v>109</v>
      </c>
      <c r="C2907">
        <v>473.15</v>
      </c>
      <c r="D2907">
        <v>3500</v>
      </c>
      <c r="E2907">
        <v>0</v>
      </c>
      <c r="F2907">
        <v>6.9999999999999951E-2</v>
      </c>
      <c r="L2907">
        <v>5.0000000000000001E-3</v>
      </c>
      <c r="S2907">
        <v>1</v>
      </c>
    </row>
    <row r="2908" spans="1:19">
      <c r="A2908">
        <f t="shared" si="70"/>
        <v>2907</v>
      </c>
      <c r="B2908" t="s">
        <v>109</v>
      </c>
      <c r="C2908">
        <v>523.15</v>
      </c>
      <c r="D2908">
        <v>200</v>
      </c>
      <c r="E2908">
        <v>0</v>
      </c>
      <c r="F2908">
        <v>0.31000000000000005</v>
      </c>
      <c r="L2908">
        <v>7.0000000000000001E-3</v>
      </c>
      <c r="S2908">
        <v>1</v>
      </c>
    </row>
    <row r="2909" spans="1:19">
      <c r="A2909">
        <f t="shared" si="70"/>
        <v>2908</v>
      </c>
      <c r="B2909" t="s">
        <v>109</v>
      </c>
      <c r="C2909">
        <v>523.15</v>
      </c>
      <c r="D2909">
        <v>500</v>
      </c>
      <c r="E2909">
        <v>0</v>
      </c>
      <c r="F2909">
        <v>0.21899999999999997</v>
      </c>
      <c r="L2909">
        <v>0.01</v>
      </c>
      <c r="S2909">
        <v>1</v>
      </c>
    </row>
    <row r="2910" spans="1:19">
      <c r="A2910">
        <f t="shared" si="70"/>
        <v>2909</v>
      </c>
      <c r="B2910" t="s">
        <v>109</v>
      </c>
      <c r="C2910">
        <v>523.15</v>
      </c>
      <c r="D2910">
        <v>1000</v>
      </c>
      <c r="E2910">
        <v>0</v>
      </c>
      <c r="F2910">
        <v>0.15000000000000002</v>
      </c>
      <c r="L2910">
        <v>1.2500000000000001E-2</v>
      </c>
      <c r="S2910">
        <v>1</v>
      </c>
    </row>
    <row r="2911" spans="1:19">
      <c r="A2911">
        <f t="shared" si="70"/>
        <v>2910</v>
      </c>
      <c r="B2911" t="s">
        <v>109</v>
      </c>
      <c r="C2911">
        <v>523.15</v>
      </c>
      <c r="D2911">
        <v>1500</v>
      </c>
      <c r="E2911">
        <v>0</v>
      </c>
      <c r="F2911">
        <v>0.11499999999999999</v>
      </c>
      <c r="L2911">
        <v>1.4999999999999999E-2</v>
      </c>
      <c r="S2911">
        <v>1</v>
      </c>
    </row>
    <row r="2912" spans="1:19">
      <c r="A2912">
        <f t="shared" si="70"/>
        <v>2911</v>
      </c>
      <c r="B2912" t="s">
        <v>109</v>
      </c>
      <c r="C2912">
        <v>523.15</v>
      </c>
      <c r="D2912">
        <v>2000</v>
      </c>
      <c r="E2912">
        <v>0</v>
      </c>
      <c r="F2912">
        <v>9.7999999999999976E-2</v>
      </c>
      <c r="L2912">
        <v>1.7500000000000002E-2</v>
      </c>
      <c r="S2912">
        <v>1</v>
      </c>
    </row>
    <row r="2913" spans="1:19">
      <c r="A2913">
        <f t="shared" si="70"/>
        <v>2912</v>
      </c>
      <c r="B2913" t="s">
        <v>109</v>
      </c>
      <c r="C2913">
        <v>523.15</v>
      </c>
      <c r="D2913">
        <v>2500</v>
      </c>
      <c r="E2913">
        <v>0</v>
      </c>
      <c r="F2913">
        <v>9.7999999999999976E-2</v>
      </c>
      <c r="L2913">
        <v>0.02</v>
      </c>
      <c r="S2913">
        <v>1</v>
      </c>
    </row>
    <row r="2914" spans="1:19">
      <c r="A2914">
        <f t="shared" si="70"/>
        <v>2913</v>
      </c>
      <c r="B2914" t="s">
        <v>109</v>
      </c>
      <c r="C2914">
        <v>523.15</v>
      </c>
      <c r="D2914">
        <v>3000</v>
      </c>
      <c r="E2914">
        <v>0</v>
      </c>
      <c r="F2914">
        <v>9.7999999999999976E-2</v>
      </c>
      <c r="L2914">
        <v>2.2499999999999999E-2</v>
      </c>
      <c r="S2914">
        <v>1</v>
      </c>
    </row>
    <row r="2915" spans="1:19">
      <c r="A2915">
        <f t="shared" si="70"/>
        <v>2914</v>
      </c>
      <c r="B2915" t="s">
        <v>109</v>
      </c>
      <c r="C2915">
        <v>523.15</v>
      </c>
      <c r="D2915">
        <v>3500</v>
      </c>
      <c r="E2915">
        <v>0</v>
      </c>
      <c r="F2915">
        <v>9.7999999999999976E-2</v>
      </c>
      <c r="L2915">
        <v>2.5000000000000001E-2</v>
      </c>
      <c r="S2915">
        <v>1</v>
      </c>
    </row>
    <row r="2916" spans="1:19">
      <c r="A2916">
        <f t="shared" si="70"/>
        <v>2915</v>
      </c>
      <c r="B2916" t="s">
        <v>109</v>
      </c>
      <c r="C2916">
        <v>573.15</v>
      </c>
      <c r="D2916">
        <v>200</v>
      </c>
      <c r="E2916">
        <v>0</v>
      </c>
      <c r="F2916">
        <v>0.54600000000000004</v>
      </c>
      <c r="L2916">
        <v>0.01</v>
      </c>
      <c r="S2916">
        <v>1</v>
      </c>
    </row>
    <row r="2917" spans="1:19">
      <c r="A2917">
        <f t="shared" si="70"/>
        <v>2916</v>
      </c>
      <c r="B2917" t="s">
        <v>109</v>
      </c>
      <c r="C2917">
        <v>573.15</v>
      </c>
      <c r="D2917">
        <v>500</v>
      </c>
      <c r="E2917">
        <v>0</v>
      </c>
      <c r="F2917">
        <v>0.41300000000000003</v>
      </c>
      <c r="L2917">
        <v>0.02</v>
      </c>
      <c r="S2917">
        <v>1</v>
      </c>
    </row>
    <row r="2918" spans="1:19">
      <c r="A2918">
        <f t="shared" si="70"/>
        <v>2917</v>
      </c>
      <c r="B2918" t="s">
        <v>109</v>
      </c>
      <c r="C2918">
        <v>573.15</v>
      </c>
      <c r="D2918">
        <v>1000</v>
      </c>
      <c r="E2918">
        <v>0</v>
      </c>
      <c r="F2918">
        <v>0.26600000000000001</v>
      </c>
      <c r="L2918">
        <v>2.4E-2</v>
      </c>
      <c r="S2918">
        <v>1</v>
      </c>
    </row>
    <row r="2919" spans="1:19">
      <c r="A2919">
        <f t="shared" si="70"/>
        <v>2918</v>
      </c>
      <c r="B2919" t="s">
        <v>109</v>
      </c>
      <c r="C2919">
        <v>573.15</v>
      </c>
      <c r="D2919">
        <v>1500</v>
      </c>
      <c r="E2919">
        <v>0</v>
      </c>
      <c r="F2919">
        <v>0.17200000000000004</v>
      </c>
      <c r="L2919">
        <v>2.8000000000000001E-2</v>
      </c>
      <c r="S2919">
        <v>1</v>
      </c>
    </row>
    <row r="2920" spans="1:19">
      <c r="A2920">
        <f t="shared" si="70"/>
        <v>2919</v>
      </c>
      <c r="B2920" t="s">
        <v>109</v>
      </c>
      <c r="C2920">
        <v>573.15</v>
      </c>
      <c r="D2920">
        <v>2000</v>
      </c>
      <c r="E2920">
        <v>0</v>
      </c>
      <c r="F2920">
        <v>0.14500000000000002</v>
      </c>
      <c r="L2920">
        <v>3.2000000000000001E-2</v>
      </c>
      <c r="S2920">
        <v>1</v>
      </c>
    </row>
    <row r="2921" spans="1:19">
      <c r="A2921">
        <f t="shared" si="70"/>
        <v>2920</v>
      </c>
      <c r="B2921" t="s">
        <v>109</v>
      </c>
      <c r="C2921">
        <v>573.15</v>
      </c>
      <c r="D2921">
        <v>2500</v>
      </c>
      <c r="E2921">
        <v>0</v>
      </c>
      <c r="F2921">
        <v>0.14500000000000002</v>
      </c>
      <c r="L2921">
        <v>3.5000000000000003E-2</v>
      </c>
      <c r="S2921">
        <v>1</v>
      </c>
    </row>
    <row r="2922" spans="1:19">
      <c r="A2922">
        <f t="shared" si="70"/>
        <v>2921</v>
      </c>
      <c r="B2922" t="s">
        <v>109</v>
      </c>
      <c r="C2922">
        <v>573.15</v>
      </c>
      <c r="D2922">
        <v>3000</v>
      </c>
      <c r="E2922">
        <v>0</v>
      </c>
      <c r="F2922">
        <v>0.14500000000000002</v>
      </c>
      <c r="L2922">
        <v>3.7999999999999999E-2</v>
      </c>
      <c r="S2922">
        <v>1</v>
      </c>
    </row>
    <row r="2923" spans="1:19">
      <c r="A2923">
        <f t="shared" si="70"/>
        <v>2922</v>
      </c>
      <c r="B2923" t="s">
        <v>109</v>
      </c>
      <c r="C2923">
        <v>573.15</v>
      </c>
      <c r="D2923">
        <v>3500</v>
      </c>
      <c r="E2923">
        <v>0</v>
      </c>
      <c r="F2923">
        <v>0.14500000000000002</v>
      </c>
      <c r="L2923">
        <v>4.1000000000000002E-2</v>
      </c>
      <c r="S2923">
        <v>1</v>
      </c>
    </row>
    <row r="2924" spans="1:19">
      <c r="A2924">
        <f t="shared" si="70"/>
        <v>2923</v>
      </c>
      <c r="B2924" t="s">
        <v>110</v>
      </c>
      <c r="C2924">
        <v>545.75</v>
      </c>
      <c r="D2924">
        <v>118</v>
      </c>
      <c r="E2924">
        <v>0</v>
      </c>
      <c r="K2924">
        <v>4.0629999999999998E-3</v>
      </c>
      <c r="R2924">
        <v>1</v>
      </c>
    </row>
    <row r="2925" spans="1:19">
      <c r="A2925">
        <f t="shared" si="70"/>
        <v>2924</v>
      </c>
      <c r="B2925" t="str">
        <f>B2924</f>
        <v>McGee 1981</v>
      </c>
      <c r="C2925">
        <v>539.75</v>
      </c>
      <c r="D2925">
        <v>102.4</v>
      </c>
      <c r="E2925">
        <v>0</v>
      </c>
      <c r="K2925">
        <v>3.3430000000000001E-3</v>
      </c>
      <c r="R2925">
        <v>1</v>
      </c>
    </row>
    <row r="2926" spans="1:19">
      <c r="A2926">
        <f t="shared" si="70"/>
        <v>2925</v>
      </c>
      <c r="B2926" t="str">
        <f t="shared" ref="B2926:B2953" si="71">B2925</f>
        <v>McGee 1981</v>
      </c>
      <c r="C2926">
        <v>541.04999999999995</v>
      </c>
      <c r="D2926">
        <v>106</v>
      </c>
      <c r="E2926">
        <v>0</v>
      </c>
      <c r="K2926">
        <v>3.3430000000000001E-3</v>
      </c>
      <c r="R2926">
        <v>1</v>
      </c>
    </row>
    <row r="2927" spans="1:19">
      <c r="A2927">
        <f t="shared" si="70"/>
        <v>2926</v>
      </c>
      <c r="B2927" t="str">
        <f t="shared" si="71"/>
        <v>McGee 1981</v>
      </c>
      <c r="C2927">
        <v>538.95000000000005</v>
      </c>
      <c r="D2927">
        <v>103</v>
      </c>
      <c r="E2927">
        <v>0</v>
      </c>
      <c r="K2927">
        <v>3.3430000000000001E-3</v>
      </c>
      <c r="R2927">
        <v>1</v>
      </c>
    </row>
    <row r="2928" spans="1:19">
      <c r="A2928">
        <f t="shared" si="70"/>
        <v>2927</v>
      </c>
      <c r="B2928" t="str">
        <f t="shared" si="71"/>
        <v>McGee 1981</v>
      </c>
      <c r="C2928">
        <v>465.75</v>
      </c>
      <c r="D2928">
        <v>123.6</v>
      </c>
      <c r="E2928">
        <v>0</v>
      </c>
      <c r="K2928">
        <v>2.6919999999999999E-3</v>
      </c>
      <c r="R2928">
        <v>1</v>
      </c>
    </row>
    <row r="2929" spans="1:18">
      <c r="A2929">
        <f t="shared" si="70"/>
        <v>2928</v>
      </c>
      <c r="B2929" t="str">
        <f t="shared" si="71"/>
        <v>McGee 1981</v>
      </c>
      <c r="C2929">
        <v>464.95</v>
      </c>
      <c r="D2929">
        <v>114.2</v>
      </c>
      <c r="E2929">
        <v>0</v>
      </c>
      <c r="K2929">
        <v>2.6919999999999999E-3</v>
      </c>
      <c r="R2929">
        <v>1</v>
      </c>
    </row>
    <row r="2930" spans="1:18">
      <c r="A2930">
        <f t="shared" si="70"/>
        <v>2929</v>
      </c>
      <c r="B2930" t="str">
        <f t="shared" si="71"/>
        <v>McGee 1981</v>
      </c>
      <c r="C2930">
        <v>464.75</v>
      </c>
      <c r="D2930">
        <v>113.5</v>
      </c>
      <c r="E2930">
        <v>0</v>
      </c>
      <c r="K2930">
        <v>2.6919999999999999E-3</v>
      </c>
      <c r="R2930">
        <v>1</v>
      </c>
    </row>
    <row r="2931" spans="1:18">
      <c r="A2931">
        <f t="shared" si="70"/>
        <v>2930</v>
      </c>
      <c r="B2931" t="str">
        <f t="shared" si="71"/>
        <v>McGee 1981</v>
      </c>
      <c r="C2931">
        <v>546.65</v>
      </c>
      <c r="D2931">
        <v>117.6</v>
      </c>
      <c r="E2931">
        <v>0.91239999999999999</v>
      </c>
      <c r="K2931">
        <v>3.0530000000000002E-3</v>
      </c>
      <c r="R2931">
        <v>1</v>
      </c>
    </row>
    <row r="2932" spans="1:18">
      <c r="A2932">
        <f t="shared" si="70"/>
        <v>2931</v>
      </c>
      <c r="B2932" t="str">
        <f t="shared" si="71"/>
        <v>McGee 1981</v>
      </c>
      <c r="C2932">
        <v>547.85</v>
      </c>
      <c r="D2932">
        <v>119.5</v>
      </c>
      <c r="E2932">
        <v>0.91239999999999999</v>
      </c>
      <c r="K2932">
        <v>3.0530000000000002E-3</v>
      </c>
      <c r="R2932">
        <v>1</v>
      </c>
    </row>
    <row r="2933" spans="1:18">
      <c r="A2933">
        <f t="shared" si="70"/>
        <v>2932</v>
      </c>
      <c r="B2933" t="str">
        <f t="shared" si="71"/>
        <v>McGee 1981</v>
      </c>
      <c r="C2933">
        <v>545.54999999999995</v>
      </c>
      <c r="D2933">
        <v>110.2</v>
      </c>
      <c r="E2933">
        <v>0.91239999999999999</v>
      </c>
      <c r="K2933">
        <v>3.0530000000000002E-3</v>
      </c>
      <c r="R2933">
        <v>1</v>
      </c>
    </row>
    <row r="2934" spans="1:18">
      <c r="A2934">
        <f t="shared" si="70"/>
        <v>2933</v>
      </c>
      <c r="B2934" t="str">
        <f t="shared" si="71"/>
        <v>McGee 1981</v>
      </c>
      <c r="C2934">
        <v>486.05</v>
      </c>
      <c r="D2934">
        <v>160.19999999999999</v>
      </c>
      <c r="E2934">
        <v>0.91239999999999999</v>
      </c>
      <c r="K2934">
        <v>2.6069999999999999E-3</v>
      </c>
      <c r="R2934">
        <v>1</v>
      </c>
    </row>
    <row r="2935" spans="1:18">
      <c r="A2935">
        <f t="shared" si="70"/>
        <v>2934</v>
      </c>
      <c r="B2935" t="str">
        <f t="shared" si="71"/>
        <v>McGee 1981</v>
      </c>
      <c r="C2935">
        <v>484.65</v>
      </c>
      <c r="D2935">
        <v>131.19999999999999</v>
      </c>
      <c r="E2935">
        <v>0.91239999999999999</v>
      </c>
      <c r="K2935">
        <v>2.6069999999999999E-3</v>
      </c>
      <c r="R2935">
        <v>1</v>
      </c>
    </row>
    <row r="2936" spans="1:18">
      <c r="A2936">
        <f t="shared" si="70"/>
        <v>2935</v>
      </c>
      <c r="B2936" t="str">
        <f t="shared" si="71"/>
        <v>McGee 1981</v>
      </c>
      <c r="C2936">
        <v>484.75</v>
      </c>
      <c r="D2936">
        <v>133.4</v>
      </c>
      <c r="E2936">
        <v>0.91239999999999999</v>
      </c>
      <c r="K2936">
        <v>2.6069999999999999E-3</v>
      </c>
      <c r="R2936">
        <v>1</v>
      </c>
    </row>
    <row r="2937" spans="1:18">
      <c r="A2937">
        <f t="shared" si="70"/>
        <v>2936</v>
      </c>
      <c r="B2937" t="str">
        <f t="shared" si="71"/>
        <v>McGee 1981</v>
      </c>
      <c r="C2937">
        <v>530.95000000000005</v>
      </c>
      <c r="D2937">
        <v>128.4</v>
      </c>
      <c r="E2937">
        <v>1.9120999999999999</v>
      </c>
      <c r="K2937">
        <v>3.068E-3</v>
      </c>
      <c r="R2937">
        <v>1</v>
      </c>
    </row>
    <row r="2938" spans="1:18">
      <c r="A2938">
        <f t="shared" si="70"/>
        <v>2937</v>
      </c>
      <c r="B2938" t="str">
        <f t="shared" si="71"/>
        <v>McGee 1981</v>
      </c>
      <c r="C2938">
        <v>558.45000000000005</v>
      </c>
      <c r="D2938">
        <v>139.69999999999999</v>
      </c>
      <c r="E2938">
        <v>1.9137999999999999</v>
      </c>
      <c r="K2938">
        <v>2.7490000000000001E-3</v>
      </c>
      <c r="R2938">
        <v>1</v>
      </c>
    </row>
    <row r="2939" spans="1:18">
      <c r="A2939">
        <f t="shared" si="70"/>
        <v>2938</v>
      </c>
      <c r="B2939" t="str">
        <f t="shared" si="71"/>
        <v>McGee 1981</v>
      </c>
      <c r="C2939">
        <v>561.25</v>
      </c>
      <c r="D2939">
        <v>142.19999999999999</v>
      </c>
      <c r="E2939">
        <v>1.9137999999999999</v>
      </c>
      <c r="K2939">
        <v>2.7490000000000001E-3</v>
      </c>
      <c r="R2939">
        <v>1</v>
      </c>
    </row>
    <row r="2940" spans="1:18">
      <c r="A2940">
        <f t="shared" si="70"/>
        <v>2939</v>
      </c>
      <c r="B2940" t="str">
        <f t="shared" si="71"/>
        <v>McGee 1981</v>
      </c>
      <c r="C2940">
        <v>565.45000000000005</v>
      </c>
      <c r="D2940">
        <v>133.4</v>
      </c>
      <c r="E2940">
        <v>1.9137999999999999</v>
      </c>
      <c r="K2940">
        <v>2.7490000000000001E-3</v>
      </c>
      <c r="R2940">
        <v>1</v>
      </c>
    </row>
    <row r="2941" spans="1:18">
      <c r="A2941">
        <f t="shared" si="70"/>
        <v>2940</v>
      </c>
      <c r="B2941" t="str">
        <f t="shared" si="71"/>
        <v>McGee 1981</v>
      </c>
      <c r="C2941">
        <v>536.75</v>
      </c>
      <c r="D2941">
        <v>139.1</v>
      </c>
      <c r="E2941">
        <v>1.9137999999999999</v>
      </c>
      <c r="K2941">
        <v>2.9359999999999998E-3</v>
      </c>
      <c r="R2941">
        <v>1</v>
      </c>
    </row>
    <row r="2942" spans="1:18">
      <c r="A2942">
        <f t="shared" si="70"/>
        <v>2941</v>
      </c>
      <c r="B2942" t="str">
        <f t="shared" si="71"/>
        <v>McGee 1981</v>
      </c>
      <c r="C2942">
        <v>538.35</v>
      </c>
      <c r="D2942">
        <v>134.9</v>
      </c>
      <c r="E2942">
        <v>1.9137999999999999</v>
      </c>
      <c r="K2942">
        <v>2.9359999999999998E-3</v>
      </c>
      <c r="R2942">
        <v>1</v>
      </c>
    </row>
    <row r="2943" spans="1:18">
      <c r="A2943">
        <f t="shared" si="70"/>
        <v>2942</v>
      </c>
      <c r="B2943" t="str">
        <f t="shared" si="71"/>
        <v>McGee 1981</v>
      </c>
      <c r="C2943">
        <v>537.25</v>
      </c>
      <c r="D2943">
        <v>132</v>
      </c>
      <c r="E2943">
        <v>1.9137999999999999</v>
      </c>
      <c r="K2943">
        <v>2.9359999999999998E-3</v>
      </c>
      <c r="R2943">
        <v>1</v>
      </c>
    </row>
    <row r="2944" spans="1:18">
      <c r="A2944">
        <f t="shared" si="70"/>
        <v>2943</v>
      </c>
      <c r="B2944" t="str">
        <f t="shared" si="71"/>
        <v>McGee 1981</v>
      </c>
      <c r="C2944">
        <v>559.04999999999995</v>
      </c>
      <c r="D2944">
        <v>155.19999999999999</v>
      </c>
      <c r="E2944">
        <v>3.0472000000000001</v>
      </c>
      <c r="K2944">
        <v>2.8019999999999998E-3</v>
      </c>
      <c r="R2944">
        <v>1</v>
      </c>
    </row>
    <row r="2945" spans="1:18">
      <c r="A2945">
        <f t="shared" si="70"/>
        <v>2944</v>
      </c>
      <c r="B2945" t="str">
        <f t="shared" si="71"/>
        <v>McGee 1981</v>
      </c>
      <c r="C2945">
        <v>515.45000000000005</v>
      </c>
      <c r="D2945">
        <v>165.5</v>
      </c>
      <c r="E2945">
        <v>3.0472000000000001</v>
      </c>
      <c r="K2945">
        <v>2.748E-3</v>
      </c>
      <c r="R2945">
        <v>1</v>
      </c>
    </row>
    <row r="2946" spans="1:18">
      <c r="A2946">
        <f t="shared" si="70"/>
        <v>2945</v>
      </c>
      <c r="B2946" t="str">
        <f t="shared" si="71"/>
        <v>McGee 1981</v>
      </c>
      <c r="C2946">
        <v>521.25</v>
      </c>
      <c r="D2946">
        <v>153.69999999999999</v>
      </c>
      <c r="E2946">
        <v>3.0472000000000001</v>
      </c>
      <c r="K2946">
        <v>2.748E-3</v>
      </c>
      <c r="R2946">
        <v>1</v>
      </c>
    </row>
    <row r="2947" spans="1:18">
      <c r="A2947">
        <f t="shared" si="70"/>
        <v>2946</v>
      </c>
      <c r="B2947" t="str">
        <f t="shared" si="71"/>
        <v>McGee 1981</v>
      </c>
      <c r="C2947">
        <v>521.45000000000005</v>
      </c>
      <c r="D2947">
        <v>152.4</v>
      </c>
      <c r="E2947">
        <v>3.0472000000000001</v>
      </c>
      <c r="K2947">
        <v>2.748E-3</v>
      </c>
      <c r="R2947">
        <v>1</v>
      </c>
    </row>
    <row r="2948" spans="1:18">
      <c r="A2948">
        <f t="shared" ref="A2948:A3011" si="72">A2947+1</f>
        <v>2947</v>
      </c>
      <c r="B2948" t="str">
        <f t="shared" si="71"/>
        <v>McGee 1981</v>
      </c>
      <c r="C2948">
        <v>556.85</v>
      </c>
      <c r="D2948">
        <v>163.80000000000001</v>
      </c>
      <c r="E2948">
        <v>4.2778999999999998</v>
      </c>
      <c r="K2948">
        <v>2.477E-3</v>
      </c>
      <c r="R2948">
        <v>1</v>
      </c>
    </row>
    <row r="2949" spans="1:18">
      <c r="A2949">
        <f t="shared" si="72"/>
        <v>2948</v>
      </c>
      <c r="B2949" t="str">
        <f t="shared" si="71"/>
        <v>McGee 1981</v>
      </c>
      <c r="C2949">
        <v>560.25</v>
      </c>
      <c r="D2949">
        <v>167.1</v>
      </c>
      <c r="E2949">
        <v>4.2778999999999998</v>
      </c>
      <c r="K2949">
        <v>2.477E-3</v>
      </c>
      <c r="R2949">
        <v>1</v>
      </c>
    </row>
    <row r="2950" spans="1:18">
      <c r="A2950">
        <f t="shared" si="72"/>
        <v>2949</v>
      </c>
      <c r="B2950" t="str">
        <f t="shared" si="71"/>
        <v>McGee 1981</v>
      </c>
      <c r="C2950">
        <v>558.75</v>
      </c>
      <c r="D2950">
        <v>167</v>
      </c>
      <c r="E2950">
        <v>4.2778999999999998</v>
      </c>
      <c r="K2950">
        <v>2.477E-3</v>
      </c>
      <c r="R2950">
        <v>1</v>
      </c>
    </row>
    <row r="2951" spans="1:18">
      <c r="A2951">
        <f t="shared" si="72"/>
        <v>2950</v>
      </c>
      <c r="B2951" t="str">
        <f t="shared" si="71"/>
        <v>McGee 1981</v>
      </c>
      <c r="C2951">
        <v>557.25</v>
      </c>
      <c r="D2951">
        <v>179.8</v>
      </c>
      <c r="E2951">
        <v>4.2778999999999998</v>
      </c>
      <c r="K2951">
        <v>2.3730000000000001E-3</v>
      </c>
      <c r="R2951">
        <v>1</v>
      </c>
    </row>
    <row r="2952" spans="1:18">
      <c r="A2952">
        <f t="shared" si="72"/>
        <v>2951</v>
      </c>
      <c r="B2952" t="str">
        <f t="shared" si="71"/>
        <v>McGee 1981</v>
      </c>
      <c r="C2952">
        <v>556.85</v>
      </c>
      <c r="D2952">
        <v>177</v>
      </c>
      <c r="E2952">
        <v>4.2778999999999998</v>
      </c>
      <c r="K2952">
        <v>2.3730000000000001E-3</v>
      </c>
      <c r="R2952">
        <v>1</v>
      </c>
    </row>
    <row r="2953" spans="1:18">
      <c r="A2953">
        <f t="shared" si="72"/>
        <v>2952</v>
      </c>
      <c r="B2953" t="str">
        <f t="shared" si="71"/>
        <v>McGee 1981</v>
      </c>
      <c r="C2953">
        <v>556.35</v>
      </c>
      <c r="D2953">
        <v>176.8</v>
      </c>
      <c r="E2953">
        <v>4.2778999999999998</v>
      </c>
      <c r="K2953">
        <v>2.3730000000000001E-3</v>
      </c>
      <c r="R2953">
        <v>1</v>
      </c>
    </row>
    <row r="2954" spans="1:18">
      <c r="A2954">
        <f t="shared" si="72"/>
        <v>2953</v>
      </c>
      <c r="B2954" t="s">
        <v>111</v>
      </c>
      <c r="C2954">
        <v>373.37</v>
      </c>
      <c r="D2954">
        <v>1542</v>
      </c>
      <c r="E2954">
        <v>0</v>
      </c>
      <c r="K2954">
        <v>6.378E-3</v>
      </c>
      <c r="R2954">
        <v>1</v>
      </c>
    </row>
    <row r="2955" spans="1:18">
      <c r="A2955">
        <f t="shared" si="72"/>
        <v>2954</v>
      </c>
      <c r="B2955" t="str">
        <f>B2954</f>
        <v>Blount 1982</v>
      </c>
      <c r="C2955">
        <v>373.37</v>
      </c>
      <c r="D2955">
        <v>1542</v>
      </c>
      <c r="E2955">
        <v>0</v>
      </c>
      <c r="K2955">
        <v>6.5079999999999999E-3</v>
      </c>
      <c r="R2955">
        <v>1</v>
      </c>
    </row>
    <row r="2956" spans="1:18">
      <c r="A2956">
        <f t="shared" si="72"/>
        <v>2955</v>
      </c>
      <c r="B2956" t="str">
        <f t="shared" ref="B2956:B3003" si="73">B2955</f>
        <v>Blount 1982</v>
      </c>
      <c r="C2956">
        <v>373.37</v>
      </c>
      <c r="D2956">
        <v>1540</v>
      </c>
      <c r="E2956">
        <v>0</v>
      </c>
      <c r="K2956">
        <v>6.8580000000000004E-3</v>
      </c>
      <c r="R2956">
        <v>1</v>
      </c>
    </row>
    <row r="2957" spans="1:18">
      <c r="A2957">
        <f t="shared" si="72"/>
        <v>2956</v>
      </c>
      <c r="B2957" t="str">
        <f t="shared" si="73"/>
        <v>Blount 1982</v>
      </c>
      <c r="C2957">
        <v>372.65</v>
      </c>
      <c r="D2957">
        <v>1317</v>
      </c>
      <c r="E2957">
        <v>0</v>
      </c>
      <c r="K2957">
        <v>6.365E-3</v>
      </c>
      <c r="R2957">
        <v>1</v>
      </c>
    </row>
    <row r="2958" spans="1:18">
      <c r="A2958">
        <f t="shared" si="72"/>
        <v>2957</v>
      </c>
      <c r="B2958" t="str">
        <f t="shared" si="73"/>
        <v>Blount 1982</v>
      </c>
      <c r="C2958">
        <v>372.65</v>
      </c>
      <c r="D2958">
        <v>1317</v>
      </c>
      <c r="E2958">
        <v>0</v>
      </c>
      <c r="K2958">
        <v>6.2350000000000001E-3</v>
      </c>
      <c r="R2958">
        <v>1</v>
      </c>
    </row>
    <row r="2959" spans="1:18">
      <c r="A2959">
        <f t="shared" si="72"/>
        <v>2958</v>
      </c>
      <c r="B2959" t="str">
        <f t="shared" si="73"/>
        <v>Blount 1982</v>
      </c>
      <c r="C2959">
        <v>372.65</v>
      </c>
      <c r="D2959">
        <v>1317</v>
      </c>
      <c r="E2959">
        <v>0</v>
      </c>
      <c r="K2959">
        <v>6.2740000000000001E-3</v>
      </c>
      <c r="R2959">
        <v>1</v>
      </c>
    </row>
    <row r="2960" spans="1:18">
      <c r="A2960">
        <f t="shared" si="72"/>
        <v>2959</v>
      </c>
      <c r="B2960" t="str">
        <f t="shared" si="73"/>
        <v>Blount 1982</v>
      </c>
      <c r="C2960">
        <v>372.65</v>
      </c>
      <c r="D2960">
        <v>1317</v>
      </c>
      <c r="E2960">
        <v>0</v>
      </c>
      <c r="K2960">
        <v>6.5079999999999999E-3</v>
      </c>
      <c r="R2960">
        <v>1</v>
      </c>
    </row>
    <row r="2961" spans="1:18">
      <c r="A2961">
        <f t="shared" si="72"/>
        <v>2960</v>
      </c>
      <c r="B2961" t="str">
        <f t="shared" si="73"/>
        <v>Blount 1982</v>
      </c>
      <c r="C2961">
        <v>372.65</v>
      </c>
      <c r="D2961">
        <v>1317</v>
      </c>
      <c r="E2961">
        <v>0</v>
      </c>
      <c r="K2961">
        <v>6.4429999999999999E-3</v>
      </c>
      <c r="R2961">
        <v>1</v>
      </c>
    </row>
    <row r="2962" spans="1:18">
      <c r="A2962">
        <f t="shared" si="72"/>
        <v>2961</v>
      </c>
      <c r="B2962" t="str">
        <f t="shared" si="73"/>
        <v>Blount 1982</v>
      </c>
      <c r="C2962">
        <v>373.37</v>
      </c>
      <c r="D2962">
        <v>1105</v>
      </c>
      <c r="E2962">
        <v>0</v>
      </c>
      <c r="K2962">
        <v>5.6759999999999996E-3</v>
      </c>
      <c r="R2962">
        <v>1</v>
      </c>
    </row>
    <row r="2963" spans="1:18">
      <c r="A2963">
        <f t="shared" si="72"/>
        <v>2962</v>
      </c>
      <c r="B2963" t="str">
        <f t="shared" si="73"/>
        <v>Blount 1982</v>
      </c>
      <c r="C2963">
        <v>373.37</v>
      </c>
      <c r="D2963">
        <v>1105</v>
      </c>
      <c r="E2963">
        <v>0</v>
      </c>
      <c r="K2963">
        <v>5.7019999999999996E-3</v>
      </c>
      <c r="R2963">
        <v>1</v>
      </c>
    </row>
    <row r="2964" spans="1:18">
      <c r="A2964">
        <f t="shared" si="72"/>
        <v>2963</v>
      </c>
      <c r="B2964" t="str">
        <f t="shared" si="73"/>
        <v>Blount 1982</v>
      </c>
      <c r="C2964">
        <v>373.37</v>
      </c>
      <c r="D2964">
        <v>1109</v>
      </c>
      <c r="E2964">
        <v>0</v>
      </c>
      <c r="K2964">
        <v>5.9490000000000003E-3</v>
      </c>
      <c r="R2964">
        <v>1</v>
      </c>
    </row>
    <row r="2965" spans="1:18">
      <c r="A2965">
        <f t="shared" si="72"/>
        <v>2964</v>
      </c>
      <c r="B2965" t="str">
        <f t="shared" si="73"/>
        <v>Blount 1982</v>
      </c>
      <c r="C2965">
        <v>373.37</v>
      </c>
      <c r="D2965">
        <v>1109</v>
      </c>
      <c r="E2965">
        <v>0</v>
      </c>
      <c r="K2965">
        <v>5.6499999999999996E-3</v>
      </c>
      <c r="R2965">
        <v>1</v>
      </c>
    </row>
    <row r="2966" spans="1:18">
      <c r="A2966">
        <f t="shared" si="72"/>
        <v>2965</v>
      </c>
      <c r="B2966" t="str">
        <f t="shared" si="73"/>
        <v>Blount 1982</v>
      </c>
      <c r="C2966">
        <v>373.15</v>
      </c>
      <c r="D2966">
        <v>1112</v>
      </c>
      <c r="E2966">
        <v>0</v>
      </c>
      <c r="K2966">
        <v>5.8060000000000004E-3</v>
      </c>
      <c r="R2966">
        <v>1</v>
      </c>
    </row>
    <row r="2967" spans="1:18">
      <c r="A2967">
        <f t="shared" si="72"/>
        <v>2966</v>
      </c>
      <c r="B2967" t="str">
        <f t="shared" si="73"/>
        <v>Blount 1982</v>
      </c>
      <c r="C2967">
        <v>373.15</v>
      </c>
      <c r="D2967">
        <v>1112</v>
      </c>
      <c r="E2967">
        <v>0</v>
      </c>
      <c r="K2967">
        <v>5.9100000000000003E-3</v>
      </c>
      <c r="R2967">
        <v>1</v>
      </c>
    </row>
    <row r="2968" spans="1:18">
      <c r="A2968">
        <f t="shared" si="72"/>
        <v>2967</v>
      </c>
      <c r="B2968" t="str">
        <f t="shared" si="73"/>
        <v>Blount 1982</v>
      </c>
      <c r="C2968">
        <v>374.15</v>
      </c>
      <c r="D2968">
        <v>908</v>
      </c>
      <c r="E2968">
        <v>0</v>
      </c>
      <c r="K2968">
        <v>5.3509999999999999E-3</v>
      </c>
      <c r="R2968">
        <v>1</v>
      </c>
    </row>
    <row r="2969" spans="1:18">
      <c r="A2969">
        <f t="shared" si="72"/>
        <v>2968</v>
      </c>
      <c r="B2969" t="str">
        <f t="shared" si="73"/>
        <v>Blount 1982</v>
      </c>
      <c r="C2969">
        <v>374.15</v>
      </c>
      <c r="D2969">
        <v>908</v>
      </c>
      <c r="E2969">
        <v>0</v>
      </c>
      <c r="K2969">
        <v>5.3639999999999998E-3</v>
      </c>
      <c r="R2969">
        <v>1</v>
      </c>
    </row>
    <row r="2970" spans="1:18">
      <c r="A2970">
        <f t="shared" si="72"/>
        <v>2969</v>
      </c>
      <c r="B2970" t="str">
        <f t="shared" si="73"/>
        <v>Blount 1982</v>
      </c>
      <c r="C2970">
        <v>373.15</v>
      </c>
      <c r="D2970">
        <v>706</v>
      </c>
      <c r="E2970">
        <v>0</v>
      </c>
      <c r="K2970">
        <v>4.6350000000000002E-3</v>
      </c>
      <c r="R2970">
        <v>1</v>
      </c>
    </row>
    <row r="2971" spans="1:18">
      <c r="A2971">
        <f t="shared" si="72"/>
        <v>2970</v>
      </c>
      <c r="B2971" t="str">
        <f t="shared" si="73"/>
        <v>Blount 1982</v>
      </c>
      <c r="C2971">
        <v>373.15</v>
      </c>
      <c r="D2971">
        <v>706</v>
      </c>
      <c r="E2971">
        <v>0</v>
      </c>
      <c r="K2971">
        <v>4.6480000000000002E-3</v>
      </c>
      <c r="R2971">
        <v>1</v>
      </c>
    </row>
    <row r="2972" spans="1:18">
      <c r="A2972">
        <f t="shared" si="72"/>
        <v>2971</v>
      </c>
      <c r="B2972" t="str">
        <f t="shared" si="73"/>
        <v>Blount 1982</v>
      </c>
      <c r="C2972">
        <v>373.37</v>
      </c>
      <c r="D2972">
        <v>490</v>
      </c>
      <c r="E2972">
        <v>0</v>
      </c>
      <c r="K2972">
        <v>3.9960000000000004E-3</v>
      </c>
      <c r="R2972">
        <v>1</v>
      </c>
    </row>
    <row r="2973" spans="1:18">
      <c r="A2973">
        <f t="shared" si="72"/>
        <v>2972</v>
      </c>
      <c r="B2973" t="str">
        <f t="shared" si="73"/>
        <v>Blount 1982</v>
      </c>
      <c r="C2973">
        <v>373.37</v>
      </c>
      <c r="D2973">
        <v>345</v>
      </c>
      <c r="E2973">
        <v>0</v>
      </c>
      <c r="K2973">
        <v>3.382E-3</v>
      </c>
      <c r="R2973">
        <v>1</v>
      </c>
    </row>
    <row r="2974" spans="1:18">
      <c r="A2974">
        <f t="shared" si="72"/>
        <v>2973</v>
      </c>
      <c r="B2974" t="str">
        <f t="shared" si="73"/>
        <v>Blount 1982</v>
      </c>
      <c r="C2974">
        <v>373.37</v>
      </c>
      <c r="D2974">
        <v>345</v>
      </c>
      <c r="E2974">
        <v>0</v>
      </c>
      <c r="K2974">
        <v>3.186E-3</v>
      </c>
      <c r="R2974">
        <v>1</v>
      </c>
    </row>
    <row r="2975" spans="1:18">
      <c r="A2975">
        <f t="shared" si="72"/>
        <v>2974</v>
      </c>
      <c r="B2975" t="str">
        <f t="shared" si="73"/>
        <v>Blount 1982</v>
      </c>
      <c r="C2975">
        <v>373.37</v>
      </c>
      <c r="D2975">
        <v>243</v>
      </c>
      <c r="E2975">
        <v>0</v>
      </c>
      <c r="K2975">
        <v>2.5850000000000001E-3</v>
      </c>
      <c r="R2975">
        <v>1</v>
      </c>
    </row>
    <row r="2976" spans="1:18">
      <c r="A2976">
        <f t="shared" si="72"/>
        <v>2975</v>
      </c>
      <c r="B2976" t="str">
        <f t="shared" si="73"/>
        <v>Blount 1982</v>
      </c>
      <c r="C2976">
        <v>373.37</v>
      </c>
      <c r="D2976">
        <v>243</v>
      </c>
      <c r="E2976">
        <v>0</v>
      </c>
      <c r="K2976">
        <v>2.454E-3</v>
      </c>
      <c r="R2976">
        <v>1</v>
      </c>
    </row>
    <row r="2977" spans="1:18">
      <c r="A2977">
        <f t="shared" si="72"/>
        <v>2976</v>
      </c>
      <c r="B2977" t="str">
        <f t="shared" si="73"/>
        <v>Blount 1982</v>
      </c>
      <c r="C2977">
        <v>373.37</v>
      </c>
      <c r="D2977">
        <v>150</v>
      </c>
      <c r="E2977">
        <v>0</v>
      </c>
      <c r="K2977">
        <v>1.9430000000000001E-3</v>
      </c>
      <c r="R2977">
        <v>1</v>
      </c>
    </row>
    <row r="2978" spans="1:18">
      <c r="A2978">
        <f t="shared" si="72"/>
        <v>2977</v>
      </c>
      <c r="B2978" t="str">
        <f t="shared" si="73"/>
        <v>Blount 1982</v>
      </c>
      <c r="C2978">
        <v>373.37</v>
      </c>
      <c r="D2978">
        <v>150</v>
      </c>
      <c r="E2978">
        <v>0</v>
      </c>
      <c r="K2978">
        <v>1.9689999999999998E-3</v>
      </c>
      <c r="R2978">
        <v>1</v>
      </c>
    </row>
    <row r="2979" spans="1:18">
      <c r="A2979">
        <f t="shared" si="72"/>
        <v>2978</v>
      </c>
      <c r="B2979" t="str">
        <f t="shared" si="73"/>
        <v>Blount 1982</v>
      </c>
      <c r="C2979">
        <v>373.93</v>
      </c>
      <c r="D2979">
        <v>1554</v>
      </c>
      <c r="E2979">
        <v>5.5100000000000003E-2</v>
      </c>
      <c r="K2979">
        <v>6.3590000000000001E-3</v>
      </c>
      <c r="R2979">
        <v>1</v>
      </c>
    </row>
    <row r="2980" spans="1:18">
      <c r="A2980">
        <f t="shared" si="72"/>
        <v>2979</v>
      </c>
      <c r="B2980" t="str">
        <f t="shared" si="73"/>
        <v>Blount 1982</v>
      </c>
      <c r="C2980">
        <v>373.93</v>
      </c>
      <c r="D2980">
        <v>1310</v>
      </c>
      <c r="E2980">
        <v>5.5100000000000003E-2</v>
      </c>
      <c r="K2980">
        <v>6.28E-3</v>
      </c>
      <c r="R2980">
        <v>1</v>
      </c>
    </row>
    <row r="2981" spans="1:18">
      <c r="A2981">
        <f t="shared" si="72"/>
        <v>2980</v>
      </c>
      <c r="B2981" t="str">
        <f t="shared" si="73"/>
        <v>Blount 1982</v>
      </c>
      <c r="C2981">
        <v>373.93</v>
      </c>
      <c r="D2981">
        <v>1310</v>
      </c>
      <c r="E2981">
        <v>5.5100000000000003E-2</v>
      </c>
      <c r="K2981">
        <v>6.0590000000000001E-3</v>
      </c>
      <c r="R2981">
        <v>1</v>
      </c>
    </row>
    <row r="2982" spans="1:18">
      <c r="A2982">
        <f t="shared" si="72"/>
        <v>2981</v>
      </c>
      <c r="B2982" t="str">
        <f t="shared" si="73"/>
        <v>Blount 1982</v>
      </c>
      <c r="C2982">
        <v>373.37</v>
      </c>
      <c r="D2982">
        <v>1107</v>
      </c>
      <c r="E2982">
        <v>5.5100000000000003E-2</v>
      </c>
      <c r="K2982">
        <v>5.5370000000000003E-3</v>
      </c>
      <c r="R2982">
        <v>1</v>
      </c>
    </row>
    <row r="2983" spans="1:18">
      <c r="A2983">
        <f t="shared" si="72"/>
        <v>2982</v>
      </c>
      <c r="B2983" t="str">
        <f t="shared" si="73"/>
        <v>Blount 1982</v>
      </c>
      <c r="C2983">
        <v>373.37</v>
      </c>
      <c r="D2983">
        <v>1107</v>
      </c>
      <c r="E2983">
        <v>5.5100000000000003E-2</v>
      </c>
      <c r="K2983">
        <v>5.6420000000000003E-3</v>
      </c>
      <c r="R2983">
        <v>1</v>
      </c>
    </row>
    <row r="2984" spans="1:18">
      <c r="A2984">
        <f t="shared" si="72"/>
        <v>2983</v>
      </c>
      <c r="B2984" t="str">
        <f t="shared" si="73"/>
        <v>Blount 1982</v>
      </c>
      <c r="C2984">
        <v>373.37</v>
      </c>
      <c r="D2984">
        <v>912</v>
      </c>
      <c r="E2984">
        <v>5.5100000000000003E-2</v>
      </c>
      <c r="K2984">
        <v>5.1330000000000004E-3</v>
      </c>
      <c r="R2984">
        <v>1</v>
      </c>
    </row>
    <row r="2985" spans="1:18">
      <c r="A2985">
        <f t="shared" si="72"/>
        <v>2984</v>
      </c>
      <c r="B2985" t="str">
        <f t="shared" si="73"/>
        <v>Blount 1982</v>
      </c>
      <c r="C2985">
        <v>373.37</v>
      </c>
      <c r="D2985">
        <v>912</v>
      </c>
      <c r="E2985">
        <v>5.5100000000000003E-2</v>
      </c>
      <c r="K2985">
        <v>5.1460000000000004E-3</v>
      </c>
      <c r="R2985">
        <v>1</v>
      </c>
    </row>
    <row r="2986" spans="1:18">
      <c r="A2986">
        <f t="shared" si="72"/>
        <v>2985</v>
      </c>
      <c r="B2986" t="str">
        <f t="shared" si="73"/>
        <v>Blount 1982</v>
      </c>
      <c r="C2986">
        <v>373.37</v>
      </c>
      <c r="D2986">
        <v>690</v>
      </c>
      <c r="E2986">
        <v>5.5100000000000003E-2</v>
      </c>
      <c r="K2986">
        <v>4.4400000000000004E-3</v>
      </c>
      <c r="R2986">
        <v>1</v>
      </c>
    </row>
    <row r="2987" spans="1:18">
      <c r="A2987">
        <f t="shared" si="72"/>
        <v>2986</v>
      </c>
      <c r="B2987" t="str">
        <f t="shared" si="73"/>
        <v>Blount 1982</v>
      </c>
      <c r="C2987">
        <v>373.37</v>
      </c>
      <c r="D2987">
        <v>690</v>
      </c>
      <c r="E2987">
        <v>5.5100000000000003E-2</v>
      </c>
      <c r="K2987">
        <v>4.2040000000000003E-3</v>
      </c>
      <c r="R2987">
        <v>1</v>
      </c>
    </row>
    <row r="2988" spans="1:18">
      <c r="A2988">
        <f t="shared" si="72"/>
        <v>2987</v>
      </c>
      <c r="B2988" t="str">
        <f t="shared" si="73"/>
        <v>Blount 1982</v>
      </c>
      <c r="C2988">
        <v>373.93</v>
      </c>
      <c r="D2988">
        <v>487</v>
      </c>
      <c r="E2988">
        <v>5.5100000000000003E-2</v>
      </c>
      <c r="K2988">
        <v>3.9950000000000003E-3</v>
      </c>
      <c r="R2988">
        <v>1</v>
      </c>
    </row>
    <row r="2989" spans="1:18">
      <c r="A2989">
        <f t="shared" si="72"/>
        <v>2988</v>
      </c>
      <c r="B2989" t="str">
        <f t="shared" si="73"/>
        <v>Blount 1982</v>
      </c>
      <c r="C2989">
        <v>373.93</v>
      </c>
      <c r="D2989">
        <v>352</v>
      </c>
      <c r="E2989">
        <v>5.5100000000000003E-2</v>
      </c>
      <c r="K2989">
        <v>3.104E-3</v>
      </c>
      <c r="R2989">
        <f>R2988</f>
        <v>1</v>
      </c>
    </row>
    <row r="2990" spans="1:18">
      <c r="A2990">
        <f t="shared" si="72"/>
        <v>2989</v>
      </c>
      <c r="B2990" t="str">
        <f t="shared" si="73"/>
        <v>Blount 1982</v>
      </c>
      <c r="C2990">
        <v>373.93</v>
      </c>
      <c r="D2990">
        <v>352</v>
      </c>
      <c r="E2990">
        <v>5.5100000000000003E-2</v>
      </c>
      <c r="K2990">
        <v>3.104E-3</v>
      </c>
      <c r="R2990">
        <f t="shared" ref="R2990:R3053" si="74">R2989</f>
        <v>1</v>
      </c>
    </row>
    <row r="2991" spans="1:18">
      <c r="A2991">
        <f t="shared" si="72"/>
        <v>2990</v>
      </c>
      <c r="B2991" t="str">
        <f t="shared" si="73"/>
        <v>Blount 1982</v>
      </c>
      <c r="C2991">
        <v>373.65</v>
      </c>
      <c r="D2991">
        <v>251</v>
      </c>
      <c r="E2991">
        <v>5.5100000000000003E-2</v>
      </c>
      <c r="K2991">
        <v>2.4880000000000002E-3</v>
      </c>
      <c r="R2991">
        <f t="shared" si="74"/>
        <v>1</v>
      </c>
    </row>
    <row r="2992" spans="1:18">
      <c r="A2992">
        <f t="shared" si="72"/>
        <v>2991</v>
      </c>
      <c r="B2992" t="str">
        <f t="shared" si="73"/>
        <v>Blount 1982</v>
      </c>
      <c r="C2992">
        <v>373.65</v>
      </c>
      <c r="D2992">
        <v>251</v>
      </c>
      <c r="E2992">
        <v>5.5100000000000003E-2</v>
      </c>
      <c r="K2992">
        <v>2.6450000000000002E-3</v>
      </c>
      <c r="R2992">
        <f t="shared" si="74"/>
        <v>1</v>
      </c>
    </row>
    <row r="2993" spans="1:18">
      <c r="A2993">
        <f t="shared" si="72"/>
        <v>2992</v>
      </c>
      <c r="B2993" t="str">
        <f t="shared" si="73"/>
        <v>Blount 1982</v>
      </c>
      <c r="C2993">
        <v>373.65</v>
      </c>
      <c r="D2993">
        <v>148</v>
      </c>
      <c r="E2993">
        <v>5.5100000000000003E-2</v>
      </c>
      <c r="K2993">
        <v>2.1849999999999999E-3</v>
      </c>
      <c r="R2993">
        <f t="shared" si="74"/>
        <v>1</v>
      </c>
    </row>
    <row r="2994" spans="1:18">
      <c r="A2994">
        <f t="shared" si="72"/>
        <v>2993</v>
      </c>
      <c r="B2994" t="str">
        <f t="shared" si="73"/>
        <v>Blount 1982</v>
      </c>
      <c r="C2994">
        <v>373.65</v>
      </c>
      <c r="D2994">
        <v>148</v>
      </c>
      <c r="E2994">
        <v>5.5100000000000003E-2</v>
      </c>
      <c r="K2994">
        <v>1.804E-3</v>
      </c>
      <c r="R2994">
        <f t="shared" si="74"/>
        <v>1</v>
      </c>
    </row>
    <row r="2995" spans="1:18">
      <c r="A2995">
        <f t="shared" si="72"/>
        <v>2994</v>
      </c>
      <c r="B2995" t="str">
        <f t="shared" si="73"/>
        <v>Blount 1982</v>
      </c>
      <c r="C2995">
        <v>373.65</v>
      </c>
      <c r="D2995">
        <v>153</v>
      </c>
      <c r="E2995">
        <v>5.5100000000000003E-2</v>
      </c>
      <c r="K2995">
        <v>1.8699999999999999E-3</v>
      </c>
      <c r="R2995">
        <f t="shared" si="74"/>
        <v>1</v>
      </c>
    </row>
    <row r="2996" spans="1:18">
      <c r="A2996">
        <f t="shared" si="72"/>
        <v>2995</v>
      </c>
      <c r="B2996" t="str">
        <f t="shared" si="73"/>
        <v>Blount 1982</v>
      </c>
      <c r="C2996">
        <v>373.65</v>
      </c>
      <c r="D2996">
        <v>153</v>
      </c>
      <c r="E2996">
        <v>5.5100000000000003E-2</v>
      </c>
      <c r="K2996">
        <v>1.9880000000000002E-3</v>
      </c>
      <c r="R2996">
        <f t="shared" si="74"/>
        <v>1</v>
      </c>
    </row>
    <row r="2997" spans="1:18">
      <c r="A2997">
        <f t="shared" si="72"/>
        <v>2996</v>
      </c>
      <c r="B2997" t="str">
        <f t="shared" si="73"/>
        <v>Blount 1982</v>
      </c>
      <c r="C2997">
        <v>373.37</v>
      </c>
      <c r="D2997">
        <v>1339</v>
      </c>
      <c r="E2997">
        <v>0.92249999999999999</v>
      </c>
      <c r="K2997">
        <v>5.2310000000000004E-3</v>
      </c>
      <c r="R2997">
        <f t="shared" si="74"/>
        <v>1</v>
      </c>
    </row>
    <row r="2998" spans="1:18">
      <c r="A2998">
        <f t="shared" si="72"/>
        <v>2997</v>
      </c>
      <c r="B2998" t="str">
        <f t="shared" si="73"/>
        <v>Blount 1982</v>
      </c>
      <c r="C2998">
        <v>373.37</v>
      </c>
      <c r="D2998">
        <v>1339</v>
      </c>
      <c r="E2998">
        <v>0.92249999999999999</v>
      </c>
      <c r="K2998">
        <v>4.8609999999999999E-3</v>
      </c>
      <c r="R2998">
        <f t="shared" si="74"/>
        <v>1</v>
      </c>
    </row>
    <row r="2999" spans="1:18">
      <c r="A2999">
        <f t="shared" si="72"/>
        <v>2998</v>
      </c>
      <c r="B2999" t="str">
        <f t="shared" si="73"/>
        <v>Blount 1982</v>
      </c>
      <c r="C2999">
        <v>373.15</v>
      </c>
      <c r="D2999">
        <v>1339</v>
      </c>
      <c r="E2999">
        <v>0.92249999999999999</v>
      </c>
      <c r="K2999">
        <v>4.9430000000000003E-3</v>
      </c>
      <c r="R2999">
        <f t="shared" si="74"/>
        <v>1</v>
      </c>
    </row>
    <row r="3000" spans="1:18">
      <c r="A3000">
        <f t="shared" si="72"/>
        <v>2999</v>
      </c>
      <c r="B3000" t="str">
        <f t="shared" si="73"/>
        <v>Blount 1982</v>
      </c>
      <c r="C3000">
        <v>373.15</v>
      </c>
      <c r="D3000">
        <v>1339</v>
      </c>
      <c r="E3000">
        <v>0.92249999999999999</v>
      </c>
      <c r="K3000">
        <v>5.176E-3</v>
      </c>
      <c r="R3000">
        <f t="shared" si="74"/>
        <v>1</v>
      </c>
    </row>
    <row r="3001" spans="1:18">
      <c r="A3001">
        <f t="shared" si="72"/>
        <v>3000</v>
      </c>
      <c r="B3001" t="str">
        <f t="shared" si="73"/>
        <v>Blount 1982</v>
      </c>
      <c r="C3001">
        <v>373.15</v>
      </c>
      <c r="D3001">
        <v>1105</v>
      </c>
      <c r="E3001">
        <v>0.92249999999999999</v>
      </c>
      <c r="K3001">
        <v>4.5999999999999999E-3</v>
      </c>
      <c r="R3001">
        <f t="shared" si="74"/>
        <v>1</v>
      </c>
    </row>
    <row r="3002" spans="1:18">
      <c r="A3002">
        <f t="shared" si="72"/>
        <v>3001</v>
      </c>
      <c r="B3002" t="str">
        <f t="shared" si="73"/>
        <v>Blount 1982</v>
      </c>
      <c r="C3002">
        <v>373.15</v>
      </c>
      <c r="D3002">
        <v>904</v>
      </c>
      <c r="E3002">
        <v>0.92249999999999999</v>
      </c>
      <c r="K3002">
        <v>4.4489999999999998E-3</v>
      </c>
      <c r="R3002">
        <f t="shared" si="74"/>
        <v>1</v>
      </c>
    </row>
    <row r="3003" spans="1:18">
      <c r="A3003">
        <f t="shared" si="72"/>
        <v>3002</v>
      </c>
      <c r="B3003" t="str">
        <f t="shared" si="73"/>
        <v>Blount 1982</v>
      </c>
      <c r="C3003">
        <v>373.15</v>
      </c>
      <c r="D3003">
        <v>904</v>
      </c>
      <c r="E3003">
        <v>0.92249999999999999</v>
      </c>
      <c r="K3003">
        <v>4.4910000000000002E-3</v>
      </c>
      <c r="R3003">
        <f t="shared" si="74"/>
        <v>1</v>
      </c>
    </row>
    <row r="3004" spans="1:18">
      <c r="A3004">
        <f t="shared" si="72"/>
        <v>3003</v>
      </c>
      <c r="B3004" t="str">
        <f t="shared" ref="B3004:B3067" si="75">B3003</f>
        <v>Blount 1982</v>
      </c>
      <c r="C3004">
        <v>373.15</v>
      </c>
      <c r="D3004">
        <v>904</v>
      </c>
      <c r="E3004">
        <v>0.92249999999999999</v>
      </c>
      <c r="K3004">
        <v>4.5319999999999996E-3</v>
      </c>
      <c r="R3004">
        <f t="shared" si="74"/>
        <v>1</v>
      </c>
    </row>
    <row r="3005" spans="1:18">
      <c r="A3005">
        <f t="shared" si="72"/>
        <v>3004</v>
      </c>
      <c r="B3005" t="str">
        <f t="shared" si="75"/>
        <v>Blount 1982</v>
      </c>
      <c r="C3005">
        <v>372.87</v>
      </c>
      <c r="D3005">
        <v>702</v>
      </c>
      <c r="E3005">
        <v>0.92249999999999999</v>
      </c>
      <c r="K3005">
        <v>3.9280000000000001E-3</v>
      </c>
      <c r="R3005">
        <f t="shared" si="74"/>
        <v>1</v>
      </c>
    </row>
    <row r="3006" spans="1:18">
      <c r="A3006">
        <f t="shared" si="72"/>
        <v>3005</v>
      </c>
      <c r="B3006" t="str">
        <f t="shared" si="75"/>
        <v>Blount 1982</v>
      </c>
      <c r="C3006">
        <v>372.87</v>
      </c>
      <c r="D3006">
        <v>702</v>
      </c>
      <c r="E3006">
        <v>0.92249999999999999</v>
      </c>
      <c r="K3006">
        <v>3.5980000000000001E-3</v>
      </c>
      <c r="R3006">
        <f t="shared" si="74"/>
        <v>1</v>
      </c>
    </row>
    <row r="3007" spans="1:18">
      <c r="A3007">
        <f t="shared" si="72"/>
        <v>3006</v>
      </c>
      <c r="B3007" t="str">
        <f t="shared" si="75"/>
        <v>Blount 1982</v>
      </c>
      <c r="C3007">
        <v>372.65</v>
      </c>
      <c r="D3007">
        <v>498</v>
      </c>
      <c r="E3007">
        <v>0.92249999999999999</v>
      </c>
      <c r="K3007">
        <v>3.2959999999999999E-3</v>
      </c>
      <c r="R3007">
        <f t="shared" si="74"/>
        <v>1</v>
      </c>
    </row>
    <row r="3008" spans="1:18">
      <c r="A3008">
        <f t="shared" si="72"/>
        <v>3007</v>
      </c>
      <c r="B3008" t="str">
        <f t="shared" si="75"/>
        <v>Blount 1982</v>
      </c>
      <c r="C3008">
        <v>372.65</v>
      </c>
      <c r="D3008">
        <v>498</v>
      </c>
      <c r="E3008">
        <v>0.92249999999999999</v>
      </c>
      <c r="K3008">
        <v>3.3240000000000001E-3</v>
      </c>
      <c r="R3008">
        <f t="shared" si="74"/>
        <v>1</v>
      </c>
    </row>
    <row r="3009" spans="1:18">
      <c r="A3009">
        <f t="shared" si="72"/>
        <v>3008</v>
      </c>
      <c r="B3009" t="str">
        <f t="shared" si="75"/>
        <v>Blount 1982</v>
      </c>
      <c r="C3009">
        <v>373.15</v>
      </c>
      <c r="D3009">
        <v>347</v>
      </c>
      <c r="E3009">
        <v>0.92249999999999999</v>
      </c>
      <c r="K3009">
        <v>2.8419999999999999E-3</v>
      </c>
      <c r="R3009">
        <f t="shared" si="74"/>
        <v>1</v>
      </c>
    </row>
    <row r="3010" spans="1:18">
      <c r="A3010">
        <f t="shared" si="72"/>
        <v>3009</v>
      </c>
      <c r="B3010" t="str">
        <f t="shared" si="75"/>
        <v>Blount 1982</v>
      </c>
      <c r="C3010">
        <v>373.15</v>
      </c>
      <c r="D3010">
        <v>347</v>
      </c>
      <c r="E3010">
        <v>0.92249999999999999</v>
      </c>
      <c r="K3010">
        <v>2.856E-3</v>
      </c>
      <c r="R3010">
        <f t="shared" si="74"/>
        <v>1</v>
      </c>
    </row>
    <row r="3011" spans="1:18">
      <c r="A3011">
        <f t="shared" si="72"/>
        <v>3010</v>
      </c>
      <c r="B3011" t="str">
        <f t="shared" si="75"/>
        <v>Blount 1982</v>
      </c>
      <c r="C3011">
        <v>373.15</v>
      </c>
      <c r="D3011">
        <v>248</v>
      </c>
      <c r="E3011">
        <v>0.92249999999999999</v>
      </c>
      <c r="K3011">
        <v>2.3470000000000001E-3</v>
      </c>
      <c r="R3011">
        <f t="shared" si="74"/>
        <v>1</v>
      </c>
    </row>
    <row r="3012" spans="1:18">
      <c r="A3012">
        <f t="shared" ref="A3012:A3075" si="76">A3011+1</f>
        <v>3011</v>
      </c>
      <c r="B3012" t="str">
        <f t="shared" si="75"/>
        <v>Blount 1982</v>
      </c>
      <c r="C3012">
        <v>373.15</v>
      </c>
      <c r="D3012">
        <v>248</v>
      </c>
      <c r="E3012">
        <v>0.92249999999999999</v>
      </c>
      <c r="K3012">
        <v>2.4020000000000001E-3</v>
      </c>
      <c r="R3012">
        <f t="shared" si="74"/>
        <v>1</v>
      </c>
    </row>
    <row r="3013" spans="1:18">
      <c r="A3013">
        <f t="shared" si="76"/>
        <v>3012</v>
      </c>
      <c r="B3013" t="str">
        <f t="shared" si="75"/>
        <v>Blount 1982</v>
      </c>
      <c r="C3013">
        <v>374.15</v>
      </c>
      <c r="D3013">
        <v>1116</v>
      </c>
      <c r="E3013">
        <v>2.0272000000000001</v>
      </c>
      <c r="K3013">
        <v>4.189E-3</v>
      </c>
      <c r="R3013">
        <f t="shared" si="74"/>
        <v>1</v>
      </c>
    </row>
    <row r="3014" spans="1:18">
      <c r="A3014">
        <f t="shared" si="76"/>
        <v>3013</v>
      </c>
      <c r="B3014" t="str">
        <f t="shared" si="75"/>
        <v>Blount 1982</v>
      </c>
      <c r="C3014">
        <v>374.15</v>
      </c>
      <c r="D3014">
        <v>911</v>
      </c>
      <c r="E3014">
        <v>2.0272000000000001</v>
      </c>
      <c r="K3014">
        <v>3.7090000000000001E-3</v>
      </c>
      <c r="R3014">
        <f t="shared" si="74"/>
        <v>1</v>
      </c>
    </row>
    <row r="3015" spans="1:18">
      <c r="A3015">
        <f t="shared" si="76"/>
        <v>3014</v>
      </c>
      <c r="B3015" t="str">
        <f t="shared" si="75"/>
        <v>Blount 1982</v>
      </c>
      <c r="C3015">
        <v>374.15</v>
      </c>
      <c r="D3015">
        <v>911</v>
      </c>
      <c r="E3015">
        <v>2.0272000000000001</v>
      </c>
      <c r="K3015">
        <v>3.7529999999999998E-3</v>
      </c>
      <c r="R3015">
        <f t="shared" si="74"/>
        <v>1</v>
      </c>
    </row>
    <row r="3016" spans="1:18">
      <c r="A3016">
        <f t="shared" si="76"/>
        <v>3015</v>
      </c>
      <c r="B3016" t="str">
        <f t="shared" si="75"/>
        <v>Blount 1982</v>
      </c>
      <c r="C3016">
        <v>373.15</v>
      </c>
      <c r="D3016">
        <v>1552</v>
      </c>
      <c r="E3016">
        <v>2.0379</v>
      </c>
      <c r="K3016">
        <v>5.0200000000000002E-3</v>
      </c>
      <c r="R3016">
        <f t="shared" si="74"/>
        <v>1</v>
      </c>
    </row>
    <row r="3017" spans="1:18">
      <c r="A3017">
        <f t="shared" si="76"/>
        <v>3016</v>
      </c>
      <c r="B3017" t="str">
        <f t="shared" si="75"/>
        <v>Blount 1982</v>
      </c>
      <c r="C3017">
        <v>373.15</v>
      </c>
      <c r="D3017">
        <v>1552</v>
      </c>
      <c r="E3017">
        <v>2.0379</v>
      </c>
      <c r="K3017">
        <v>4.9329999999999999E-3</v>
      </c>
      <c r="R3017">
        <f t="shared" si="74"/>
        <v>1</v>
      </c>
    </row>
    <row r="3018" spans="1:18">
      <c r="A3018">
        <f t="shared" si="76"/>
        <v>3017</v>
      </c>
      <c r="B3018" t="str">
        <f t="shared" si="75"/>
        <v>Blount 1982</v>
      </c>
      <c r="C3018">
        <v>373.15</v>
      </c>
      <c r="D3018">
        <v>1552</v>
      </c>
      <c r="E3018">
        <v>2.0379</v>
      </c>
      <c r="K3018">
        <v>4.9760000000000004E-3</v>
      </c>
      <c r="R3018">
        <f t="shared" si="74"/>
        <v>1</v>
      </c>
    </row>
    <row r="3019" spans="1:18">
      <c r="A3019">
        <f t="shared" si="76"/>
        <v>3018</v>
      </c>
      <c r="B3019" t="str">
        <f t="shared" si="75"/>
        <v>Blount 1982</v>
      </c>
      <c r="C3019">
        <v>373.15</v>
      </c>
      <c r="D3019">
        <v>1552</v>
      </c>
      <c r="E3019">
        <v>2.0379</v>
      </c>
      <c r="K3019">
        <v>4.9329999999999999E-3</v>
      </c>
      <c r="R3019">
        <f t="shared" si="74"/>
        <v>1</v>
      </c>
    </row>
    <row r="3020" spans="1:18">
      <c r="A3020">
        <f t="shared" si="76"/>
        <v>3019</v>
      </c>
      <c r="B3020" t="str">
        <f t="shared" si="75"/>
        <v>Blount 1982</v>
      </c>
      <c r="C3020">
        <v>373.15</v>
      </c>
      <c r="D3020">
        <v>1544</v>
      </c>
      <c r="E3020">
        <v>2.0379</v>
      </c>
      <c r="K3020">
        <v>5.0489999999999997E-3</v>
      </c>
      <c r="R3020">
        <f t="shared" si="74"/>
        <v>1</v>
      </c>
    </row>
    <row r="3021" spans="1:18">
      <c r="A3021">
        <f t="shared" si="76"/>
        <v>3020</v>
      </c>
      <c r="B3021" t="str">
        <f t="shared" si="75"/>
        <v>Blount 1982</v>
      </c>
      <c r="C3021">
        <v>373.15</v>
      </c>
      <c r="D3021">
        <v>1544</v>
      </c>
      <c r="E3021">
        <v>2.0379</v>
      </c>
      <c r="K3021">
        <v>5.0920000000000002E-3</v>
      </c>
      <c r="R3021">
        <f t="shared" si="74"/>
        <v>1</v>
      </c>
    </row>
    <row r="3022" spans="1:18">
      <c r="A3022">
        <f t="shared" si="76"/>
        <v>3021</v>
      </c>
      <c r="B3022" t="str">
        <f t="shared" si="75"/>
        <v>Blount 1982</v>
      </c>
      <c r="C3022">
        <v>373.65</v>
      </c>
      <c r="D3022">
        <v>1313</v>
      </c>
      <c r="E3022">
        <v>2.0379</v>
      </c>
      <c r="K3022">
        <v>4.6860000000000001E-3</v>
      </c>
      <c r="R3022">
        <f t="shared" si="74"/>
        <v>1</v>
      </c>
    </row>
    <row r="3023" spans="1:18">
      <c r="A3023">
        <f t="shared" si="76"/>
        <v>3022</v>
      </c>
      <c r="B3023" t="str">
        <f t="shared" si="75"/>
        <v>Blount 1982</v>
      </c>
      <c r="C3023">
        <v>373.65</v>
      </c>
      <c r="D3023">
        <v>1313</v>
      </c>
      <c r="E3023">
        <v>2.0379</v>
      </c>
      <c r="K3023">
        <v>4.6280000000000002E-3</v>
      </c>
      <c r="R3023">
        <f t="shared" si="74"/>
        <v>1</v>
      </c>
    </row>
    <row r="3024" spans="1:18">
      <c r="A3024">
        <f t="shared" si="76"/>
        <v>3023</v>
      </c>
      <c r="B3024" t="str">
        <f t="shared" si="75"/>
        <v>Blount 1982</v>
      </c>
      <c r="C3024">
        <v>373.37</v>
      </c>
      <c r="D3024">
        <v>1059</v>
      </c>
      <c r="E3024">
        <v>2.0379</v>
      </c>
      <c r="K3024">
        <v>4.2789999999999998E-3</v>
      </c>
      <c r="R3024">
        <f t="shared" si="74"/>
        <v>1</v>
      </c>
    </row>
    <row r="3025" spans="1:18">
      <c r="A3025">
        <f t="shared" si="76"/>
        <v>3024</v>
      </c>
      <c r="B3025" t="str">
        <f t="shared" si="75"/>
        <v>Blount 1982</v>
      </c>
      <c r="C3025">
        <v>373.37</v>
      </c>
      <c r="D3025">
        <v>1059</v>
      </c>
      <c r="E3025">
        <v>2.0379</v>
      </c>
      <c r="K3025">
        <v>4.3800000000000002E-3</v>
      </c>
      <c r="R3025">
        <f t="shared" si="74"/>
        <v>1</v>
      </c>
    </row>
    <row r="3026" spans="1:18">
      <c r="A3026">
        <f t="shared" si="76"/>
        <v>3025</v>
      </c>
      <c r="B3026" t="str">
        <f t="shared" si="75"/>
        <v>Blount 1982</v>
      </c>
      <c r="C3026">
        <v>373.65</v>
      </c>
      <c r="D3026">
        <v>1053</v>
      </c>
      <c r="E3026">
        <v>2.0379</v>
      </c>
      <c r="K3026">
        <v>4.1770000000000002E-3</v>
      </c>
      <c r="R3026">
        <f t="shared" si="74"/>
        <v>1</v>
      </c>
    </row>
    <row r="3027" spans="1:18">
      <c r="A3027">
        <f t="shared" si="76"/>
        <v>3026</v>
      </c>
      <c r="B3027" t="str">
        <f t="shared" si="75"/>
        <v>Blount 1982</v>
      </c>
      <c r="C3027">
        <v>373.65</v>
      </c>
      <c r="D3027">
        <v>1053</v>
      </c>
      <c r="E3027">
        <v>2.0379</v>
      </c>
      <c r="K3027">
        <v>4.2929999999999999E-3</v>
      </c>
      <c r="R3027">
        <f t="shared" si="74"/>
        <v>1</v>
      </c>
    </row>
    <row r="3028" spans="1:18">
      <c r="A3028">
        <f t="shared" si="76"/>
        <v>3027</v>
      </c>
      <c r="B3028" t="str">
        <f t="shared" si="75"/>
        <v>Blount 1982</v>
      </c>
      <c r="C3028">
        <v>373.65</v>
      </c>
      <c r="D3028">
        <v>913</v>
      </c>
      <c r="E3028">
        <v>2.0379</v>
      </c>
      <c r="K3028">
        <v>3.7699999999999999E-3</v>
      </c>
      <c r="R3028">
        <f t="shared" si="74"/>
        <v>1</v>
      </c>
    </row>
    <row r="3029" spans="1:18">
      <c r="A3029">
        <f t="shared" si="76"/>
        <v>3028</v>
      </c>
      <c r="B3029" t="str">
        <f t="shared" si="75"/>
        <v>Blount 1982</v>
      </c>
      <c r="C3029">
        <v>373.65</v>
      </c>
      <c r="D3029">
        <v>913</v>
      </c>
      <c r="E3029">
        <v>2.0379</v>
      </c>
      <c r="K3029">
        <v>3.813E-3</v>
      </c>
      <c r="R3029">
        <f t="shared" si="74"/>
        <v>1</v>
      </c>
    </row>
    <row r="3030" spans="1:18">
      <c r="A3030">
        <f t="shared" si="76"/>
        <v>3029</v>
      </c>
      <c r="B3030" t="str">
        <f t="shared" si="75"/>
        <v>Blount 1982</v>
      </c>
      <c r="C3030">
        <v>373.65</v>
      </c>
      <c r="D3030">
        <v>890</v>
      </c>
      <c r="E3030">
        <v>2.0379</v>
      </c>
      <c r="K3030">
        <v>3.8419999999999999E-3</v>
      </c>
      <c r="R3030">
        <f t="shared" si="74"/>
        <v>1</v>
      </c>
    </row>
    <row r="3031" spans="1:18">
      <c r="A3031">
        <f t="shared" si="76"/>
        <v>3030</v>
      </c>
      <c r="B3031" t="str">
        <f t="shared" si="75"/>
        <v>Blount 1982</v>
      </c>
      <c r="C3031">
        <v>373.65</v>
      </c>
      <c r="D3031">
        <v>890</v>
      </c>
      <c r="E3031">
        <v>2.0379</v>
      </c>
      <c r="K3031">
        <v>3.9589999999999998E-3</v>
      </c>
      <c r="R3031">
        <f t="shared" si="74"/>
        <v>1</v>
      </c>
    </row>
    <row r="3032" spans="1:18">
      <c r="A3032">
        <f t="shared" si="76"/>
        <v>3031</v>
      </c>
      <c r="B3032" t="str">
        <f t="shared" si="75"/>
        <v>Blount 1982</v>
      </c>
      <c r="C3032">
        <v>373.15</v>
      </c>
      <c r="D3032">
        <v>702</v>
      </c>
      <c r="E3032">
        <v>2.0379</v>
      </c>
      <c r="K3032">
        <v>3.522E-3</v>
      </c>
      <c r="R3032">
        <f t="shared" si="74"/>
        <v>1</v>
      </c>
    </row>
    <row r="3033" spans="1:18">
      <c r="A3033">
        <f t="shared" si="76"/>
        <v>3032</v>
      </c>
      <c r="B3033" t="str">
        <f t="shared" si="75"/>
        <v>Blount 1982</v>
      </c>
      <c r="C3033">
        <v>373.15</v>
      </c>
      <c r="D3033">
        <v>702</v>
      </c>
      <c r="E3033">
        <v>2.0379</v>
      </c>
      <c r="K3033">
        <v>3.4640000000000001E-3</v>
      </c>
      <c r="R3033">
        <f t="shared" si="74"/>
        <v>1</v>
      </c>
    </row>
    <row r="3034" spans="1:18">
      <c r="A3034">
        <f t="shared" si="76"/>
        <v>3033</v>
      </c>
      <c r="B3034" t="str">
        <f t="shared" si="75"/>
        <v>Blount 1982</v>
      </c>
      <c r="C3034">
        <v>373.15</v>
      </c>
      <c r="D3034">
        <v>696</v>
      </c>
      <c r="E3034">
        <v>2.0379</v>
      </c>
      <c r="K3034">
        <v>3.1870000000000002E-3</v>
      </c>
      <c r="R3034">
        <f t="shared" si="74"/>
        <v>1</v>
      </c>
    </row>
    <row r="3035" spans="1:18">
      <c r="A3035">
        <f t="shared" si="76"/>
        <v>3034</v>
      </c>
      <c r="B3035" t="str">
        <f t="shared" si="75"/>
        <v>Blount 1982</v>
      </c>
      <c r="C3035">
        <v>373.15</v>
      </c>
      <c r="D3035">
        <v>696</v>
      </c>
      <c r="E3035">
        <v>2.0379</v>
      </c>
      <c r="K3035">
        <v>3.3180000000000002E-3</v>
      </c>
      <c r="R3035">
        <f t="shared" si="74"/>
        <v>1</v>
      </c>
    </row>
    <row r="3036" spans="1:18">
      <c r="A3036">
        <f t="shared" si="76"/>
        <v>3035</v>
      </c>
      <c r="B3036" t="str">
        <f t="shared" si="75"/>
        <v>Blount 1982</v>
      </c>
      <c r="C3036">
        <v>373.65</v>
      </c>
      <c r="D3036">
        <v>494</v>
      </c>
      <c r="E3036">
        <v>2.0379</v>
      </c>
      <c r="K3036">
        <v>3.0119999999999999E-3</v>
      </c>
      <c r="R3036">
        <f t="shared" si="74"/>
        <v>1</v>
      </c>
    </row>
    <row r="3037" spans="1:18">
      <c r="A3037">
        <f t="shared" si="76"/>
        <v>3036</v>
      </c>
      <c r="B3037" t="str">
        <f t="shared" si="75"/>
        <v>Blount 1982</v>
      </c>
      <c r="C3037">
        <v>373.65</v>
      </c>
      <c r="D3037">
        <v>494</v>
      </c>
      <c r="E3037">
        <v>2.0379</v>
      </c>
      <c r="K3037">
        <v>2.7499999999999998E-3</v>
      </c>
      <c r="R3037">
        <f t="shared" si="74"/>
        <v>1</v>
      </c>
    </row>
    <row r="3038" spans="1:18">
      <c r="A3038">
        <f t="shared" si="76"/>
        <v>3037</v>
      </c>
      <c r="B3038" t="str">
        <f t="shared" si="75"/>
        <v>Blount 1982</v>
      </c>
      <c r="C3038">
        <v>373.65</v>
      </c>
      <c r="D3038">
        <v>488</v>
      </c>
      <c r="E3038">
        <v>2.0379</v>
      </c>
      <c r="K3038">
        <v>2.8660000000000001E-3</v>
      </c>
      <c r="R3038">
        <f t="shared" si="74"/>
        <v>1</v>
      </c>
    </row>
    <row r="3039" spans="1:18">
      <c r="A3039">
        <f t="shared" si="76"/>
        <v>3038</v>
      </c>
      <c r="B3039" t="str">
        <f t="shared" si="75"/>
        <v>Blount 1982</v>
      </c>
      <c r="C3039">
        <v>373.65</v>
      </c>
      <c r="D3039">
        <v>488</v>
      </c>
      <c r="E3039">
        <v>2.0379</v>
      </c>
      <c r="K3039">
        <v>2.9099999999999998E-3</v>
      </c>
      <c r="R3039">
        <f t="shared" si="74"/>
        <v>1</v>
      </c>
    </row>
    <row r="3040" spans="1:18">
      <c r="A3040">
        <f t="shared" si="76"/>
        <v>3039</v>
      </c>
      <c r="B3040" t="str">
        <f t="shared" si="75"/>
        <v>Blount 1982</v>
      </c>
      <c r="C3040">
        <v>373.37</v>
      </c>
      <c r="D3040">
        <v>356</v>
      </c>
      <c r="E3040">
        <v>1.9846999999999999</v>
      </c>
      <c r="K3040">
        <v>2.6549999999999998E-3</v>
      </c>
      <c r="R3040">
        <f t="shared" si="74"/>
        <v>1</v>
      </c>
    </row>
    <row r="3041" spans="1:18">
      <c r="A3041">
        <f t="shared" si="76"/>
        <v>3040</v>
      </c>
      <c r="B3041" t="str">
        <f t="shared" si="75"/>
        <v>Blount 1982</v>
      </c>
      <c r="C3041">
        <v>373.37</v>
      </c>
      <c r="D3041">
        <v>356</v>
      </c>
      <c r="E3041">
        <v>1.9846999999999999</v>
      </c>
      <c r="K3041">
        <v>2.5530000000000001E-3</v>
      </c>
      <c r="R3041">
        <f t="shared" si="74"/>
        <v>1</v>
      </c>
    </row>
    <row r="3042" spans="1:18">
      <c r="A3042">
        <f t="shared" si="76"/>
        <v>3041</v>
      </c>
      <c r="B3042" t="str">
        <f t="shared" si="75"/>
        <v>Blount 1982</v>
      </c>
      <c r="C3042">
        <v>373.37</v>
      </c>
      <c r="D3042">
        <v>353</v>
      </c>
      <c r="E3042">
        <v>2.0059</v>
      </c>
      <c r="K3042">
        <v>2.3080000000000002E-3</v>
      </c>
      <c r="R3042">
        <f t="shared" si="74"/>
        <v>1</v>
      </c>
    </row>
    <row r="3043" spans="1:18">
      <c r="A3043">
        <f t="shared" si="76"/>
        <v>3042</v>
      </c>
      <c r="B3043" t="str">
        <f t="shared" si="75"/>
        <v>Blount 1982</v>
      </c>
      <c r="C3043">
        <v>373.37</v>
      </c>
      <c r="D3043">
        <v>353</v>
      </c>
      <c r="E3043">
        <v>2.0059</v>
      </c>
      <c r="K3043">
        <v>2.6289999999999998E-3</v>
      </c>
      <c r="R3043">
        <f t="shared" si="74"/>
        <v>1</v>
      </c>
    </row>
    <row r="3044" spans="1:18">
      <c r="A3044">
        <f t="shared" si="76"/>
        <v>3043</v>
      </c>
      <c r="B3044" t="str">
        <f t="shared" si="75"/>
        <v>Blount 1982</v>
      </c>
      <c r="C3044">
        <v>373.65</v>
      </c>
      <c r="D3044">
        <v>253</v>
      </c>
      <c r="E3044">
        <v>2.0059</v>
      </c>
      <c r="K3044">
        <v>2.0019999999999999E-3</v>
      </c>
      <c r="R3044">
        <f t="shared" si="74"/>
        <v>1</v>
      </c>
    </row>
    <row r="3045" spans="1:18">
      <c r="A3045">
        <f t="shared" si="76"/>
        <v>3044</v>
      </c>
      <c r="B3045" t="str">
        <f t="shared" si="75"/>
        <v>Blount 1982</v>
      </c>
      <c r="C3045">
        <v>373.15</v>
      </c>
      <c r="D3045">
        <v>255</v>
      </c>
      <c r="E3045">
        <v>2.0059</v>
      </c>
      <c r="K3045">
        <v>2.0890000000000001E-3</v>
      </c>
      <c r="R3045">
        <f t="shared" si="74"/>
        <v>1</v>
      </c>
    </row>
    <row r="3046" spans="1:18">
      <c r="A3046">
        <f t="shared" si="76"/>
        <v>3045</v>
      </c>
      <c r="B3046" t="str">
        <f t="shared" si="75"/>
        <v>Blount 1982</v>
      </c>
      <c r="C3046">
        <v>373.37</v>
      </c>
      <c r="D3046">
        <v>251</v>
      </c>
      <c r="E3046">
        <v>2.0059</v>
      </c>
      <c r="K3046">
        <v>1.9580000000000001E-3</v>
      </c>
      <c r="R3046">
        <f t="shared" si="74"/>
        <v>1</v>
      </c>
    </row>
    <row r="3047" spans="1:18">
      <c r="A3047">
        <f t="shared" si="76"/>
        <v>3046</v>
      </c>
      <c r="B3047" t="str">
        <f t="shared" si="75"/>
        <v>Blount 1982</v>
      </c>
      <c r="C3047">
        <v>373.37</v>
      </c>
      <c r="D3047">
        <v>251</v>
      </c>
      <c r="E3047">
        <v>2.0059</v>
      </c>
      <c r="K3047">
        <v>1.9E-3</v>
      </c>
      <c r="R3047">
        <f t="shared" si="74"/>
        <v>1</v>
      </c>
    </row>
    <row r="3048" spans="1:18">
      <c r="A3048">
        <f t="shared" si="76"/>
        <v>3047</v>
      </c>
      <c r="B3048" t="str">
        <f t="shared" si="75"/>
        <v>Blount 1982</v>
      </c>
      <c r="C3048">
        <v>373.15</v>
      </c>
      <c r="D3048">
        <v>142</v>
      </c>
      <c r="E3048">
        <v>2.0059</v>
      </c>
      <c r="K3048">
        <v>1.418E-3</v>
      </c>
      <c r="R3048">
        <f t="shared" si="74"/>
        <v>1</v>
      </c>
    </row>
    <row r="3049" spans="1:18">
      <c r="A3049">
        <f t="shared" si="76"/>
        <v>3048</v>
      </c>
      <c r="B3049" t="str">
        <f t="shared" si="75"/>
        <v>Blount 1982</v>
      </c>
      <c r="C3049">
        <v>373.15</v>
      </c>
      <c r="D3049">
        <v>142</v>
      </c>
      <c r="E3049">
        <v>2.0059</v>
      </c>
      <c r="K3049">
        <v>1.3309999999999999E-3</v>
      </c>
      <c r="R3049">
        <f t="shared" si="74"/>
        <v>1</v>
      </c>
    </row>
    <row r="3050" spans="1:18">
      <c r="A3050">
        <f t="shared" si="76"/>
        <v>3049</v>
      </c>
      <c r="B3050" t="str">
        <f t="shared" si="75"/>
        <v>Blount 1982</v>
      </c>
      <c r="C3050">
        <v>372.87</v>
      </c>
      <c r="D3050">
        <v>1506</v>
      </c>
      <c r="E3050">
        <v>3.4028999999999998</v>
      </c>
      <c r="K3050">
        <v>4.1850000000000004E-3</v>
      </c>
      <c r="R3050">
        <f t="shared" si="74"/>
        <v>1</v>
      </c>
    </row>
    <row r="3051" spans="1:18">
      <c r="A3051">
        <f t="shared" si="76"/>
        <v>3050</v>
      </c>
      <c r="B3051" t="str">
        <f t="shared" si="75"/>
        <v>Blount 1982</v>
      </c>
      <c r="C3051">
        <v>372.87</v>
      </c>
      <c r="D3051">
        <v>1506</v>
      </c>
      <c r="E3051">
        <v>3.4028999999999998</v>
      </c>
      <c r="K3051">
        <v>4.0769999999999999E-3</v>
      </c>
      <c r="R3051">
        <f t="shared" si="74"/>
        <v>1</v>
      </c>
    </row>
    <row r="3052" spans="1:18">
      <c r="A3052">
        <f t="shared" si="76"/>
        <v>3051</v>
      </c>
      <c r="B3052" t="str">
        <f t="shared" si="75"/>
        <v>Blount 1982</v>
      </c>
      <c r="C3052">
        <v>372.65</v>
      </c>
      <c r="D3052">
        <v>1524</v>
      </c>
      <c r="E3052">
        <v>3.4028999999999998</v>
      </c>
      <c r="K3052">
        <v>4.2630000000000003E-3</v>
      </c>
      <c r="R3052">
        <f t="shared" si="74"/>
        <v>1</v>
      </c>
    </row>
    <row r="3053" spans="1:18">
      <c r="A3053">
        <f t="shared" si="76"/>
        <v>3052</v>
      </c>
      <c r="B3053" t="str">
        <f t="shared" si="75"/>
        <v>Blount 1982</v>
      </c>
      <c r="C3053">
        <v>372.65</v>
      </c>
      <c r="D3053">
        <v>1316</v>
      </c>
      <c r="E3053">
        <v>3.4028999999999998</v>
      </c>
      <c r="K3053">
        <v>3.8279999999999998E-3</v>
      </c>
      <c r="R3053">
        <f t="shared" si="74"/>
        <v>1</v>
      </c>
    </row>
    <row r="3054" spans="1:18">
      <c r="A3054">
        <f t="shared" si="76"/>
        <v>3053</v>
      </c>
      <c r="B3054" t="str">
        <f t="shared" si="75"/>
        <v>Blount 1982</v>
      </c>
      <c r="C3054">
        <v>372.65</v>
      </c>
      <c r="D3054">
        <v>1316</v>
      </c>
      <c r="E3054">
        <v>3.4028999999999998</v>
      </c>
      <c r="K3054">
        <v>3.8119999999999999E-3</v>
      </c>
      <c r="R3054">
        <f t="shared" ref="R3054:R3117" si="77">R3053</f>
        <v>1</v>
      </c>
    </row>
    <row r="3055" spans="1:18">
      <c r="A3055">
        <f t="shared" si="76"/>
        <v>3054</v>
      </c>
      <c r="B3055" t="str">
        <f t="shared" si="75"/>
        <v>Blount 1982</v>
      </c>
      <c r="C3055">
        <v>372.37</v>
      </c>
      <c r="D3055">
        <v>1114</v>
      </c>
      <c r="E3055">
        <v>3.4028999999999998</v>
      </c>
      <c r="K3055">
        <v>3.6099999999999999E-3</v>
      </c>
      <c r="R3055">
        <f t="shared" si="77"/>
        <v>1</v>
      </c>
    </row>
    <row r="3056" spans="1:18">
      <c r="A3056">
        <f t="shared" si="76"/>
        <v>3055</v>
      </c>
      <c r="B3056" t="str">
        <f t="shared" si="75"/>
        <v>Blount 1982</v>
      </c>
      <c r="C3056">
        <v>372.87</v>
      </c>
      <c r="D3056">
        <v>918</v>
      </c>
      <c r="E3056">
        <v>3.4028999999999998</v>
      </c>
      <c r="K3056">
        <v>3.1740000000000002E-3</v>
      </c>
      <c r="R3056">
        <f t="shared" si="77"/>
        <v>1</v>
      </c>
    </row>
    <row r="3057" spans="1:18">
      <c r="A3057">
        <f t="shared" si="76"/>
        <v>3056</v>
      </c>
      <c r="B3057" t="str">
        <f t="shared" si="75"/>
        <v>Blount 1982</v>
      </c>
      <c r="C3057">
        <v>372.87</v>
      </c>
      <c r="D3057">
        <v>918</v>
      </c>
      <c r="E3057">
        <v>3.4028999999999998</v>
      </c>
      <c r="K3057">
        <v>3.2360000000000002E-3</v>
      </c>
      <c r="R3057">
        <f t="shared" si="77"/>
        <v>1</v>
      </c>
    </row>
    <row r="3058" spans="1:18">
      <c r="A3058">
        <f t="shared" si="76"/>
        <v>3057</v>
      </c>
      <c r="B3058" t="str">
        <f t="shared" si="75"/>
        <v>Blount 1982</v>
      </c>
      <c r="C3058">
        <v>372.87</v>
      </c>
      <c r="D3058">
        <v>910</v>
      </c>
      <c r="E3058">
        <v>3.3348</v>
      </c>
      <c r="K3058">
        <v>3.5200000000000001E-3</v>
      </c>
      <c r="R3058">
        <f t="shared" si="77"/>
        <v>1</v>
      </c>
    </row>
    <row r="3059" spans="1:18">
      <c r="A3059">
        <f t="shared" si="76"/>
        <v>3058</v>
      </c>
      <c r="B3059" t="str">
        <f t="shared" si="75"/>
        <v>Blount 1982</v>
      </c>
      <c r="C3059">
        <v>372.87</v>
      </c>
      <c r="D3059">
        <v>910</v>
      </c>
      <c r="E3059">
        <v>3.3348</v>
      </c>
      <c r="K3059">
        <v>3.1939999999999998E-3</v>
      </c>
      <c r="R3059">
        <f t="shared" si="77"/>
        <v>1</v>
      </c>
    </row>
    <row r="3060" spans="1:18">
      <c r="A3060">
        <f t="shared" si="76"/>
        <v>3059</v>
      </c>
      <c r="B3060" t="str">
        <f t="shared" si="75"/>
        <v>Blount 1982</v>
      </c>
      <c r="C3060">
        <v>372.87</v>
      </c>
      <c r="D3060">
        <v>922</v>
      </c>
      <c r="E3060">
        <v>3.3348</v>
      </c>
      <c r="K3060">
        <v>3.5200000000000001E-3</v>
      </c>
      <c r="R3060">
        <f t="shared" si="77"/>
        <v>1</v>
      </c>
    </row>
    <row r="3061" spans="1:18">
      <c r="A3061">
        <f t="shared" si="76"/>
        <v>3060</v>
      </c>
      <c r="B3061" t="str">
        <f t="shared" si="75"/>
        <v>Blount 1982</v>
      </c>
      <c r="C3061">
        <v>372.87</v>
      </c>
      <c r="D3061">
        <v>922</v>
      </c>
      <c r="E3061">
        <v>3.3348</v>
      </c>
      <c r="K3061">
        <v>3.3189999999999999E-3</v>
      </c>
      <c r="R3061">
        <f t="shared" si="77"/>
        <v>1</v>
      </c>
    </row>
    <row r="3062" spans="1:18">
      <c r="A3062">
        <f t="shared" si="76"/>
        <v>3061</v>
      </c>
      <c r="B3062" t="str">
        <f t="shared" si="75"/>
        <v>Blount 1982</v>
      </c>
      <c r="C3062">
        <v>372.37</v>
      </c>
      <c r="D3062">
        <v>689</v>
      </c>
      <c r="E3062">
        <v>3.3614999999999999</v>
      </c>
      <c r="K3062">
        <v>2.7469999999999999E-3</v>
      </c>
      <c r="R3062">
        <f t="shared" si="77"/>
        <v>1</v>
      </c>
    </row>
    <row r="3063" spans="1:18">
      <c r="A3063">
        <f t="shared" si="76"/>
        <v>3062</v>
      </c>
      <c r="B3063" t="str">
        <f t="shared" si="75"/>
        <v>Blount 1982</v>
      </c>
      <c r="C3063">
        <v>372.37</v>
      </c>
      <c r="D3063">
        <v>689</v>
      </c>
      <c r="E3063">
        <v>3.3614999999999999</v>
      </c>
      <c r="K3063">
        <v>2.8249999999999998E-3</v>
      </c>
      <c r="R3063">
        <f t="shared" si="77"/>
        <v>1</v>
      </c>
    </row>
    <row r="3064" spans="1:18">
      <c r="A3064">
        <f t="shared" si="76"/>
        <v>3063</v>
      </c>
      <c r="B3064" t="str">
        <f t="shared" si="75"/>
        <v>Blount 1982</v>
      </c>
      <c r="C3064">
        <v>373.15</v>
      </c>
      <c r="D3064">
        <v>678</v>
      </c>
      <c r="E3064">
        <v>3.3348</v>
      </c>
      <c r="K3064">
        <v>3.1939999999999998E-3</v>
      </c>
      <c r="R3064">
        <f t="shared" si="77"/>
        <v>1</v>
      </c>
    </row>
    <row r="3065" spans="1:18">
      <c r="A3065">
        <f t="shared" si="76"/>
        <v>3064</v>
      </c>
      <c r="B3065" t="str">
        <f t="shared" si="75"/>
        <v>Blount 1982</v>
      </c>
      <c r="C3065">
        <v>373.15</v>
      </c>
      <c r="D3065">
        <v>678</v>
      </c>
      <c r="E3065">
        <v>3.3348</v>
      </c>
      <c r="K3065">
        <v>2.7439999999999999E-3</v>
      </c>
      <c r="R3065">
        <f t="shared" si="77"/>
        <v>1</v>
      </c>
    </row>
    <row r="3066" spans="1:18">
      <c r="A3066">
        <f t="shared" si="76"/>
        <v>3065</v>
      </c>
      <c r="B3066" t="str">
        <f t="shared" si="75"/>
        <v>Blount 1982</v>
      </c>
      <c r="C3066">
        <v>373.37</v>
      </c>
      <c r="D3066">
        <v>685</v>
      </c>
      <c r="E3066">
        <v>3.3348</v>
      </c>
      <c r="K3066">
        <v>2.728E-3</v>
      </c>
      <c r="R3066">
        <f t="shared" si="77"/>
        <v>1</v>
      </c>
    </row>
    <row r="3067" spans="1:18">
      <c r="A3067">
        <f t="shared" si="76"/>
        <v>3066</v>
      </c>
      <c r="B3067" t="str">
        <f t="shared" si="75"/>
        <v>Blount 1982</v>
      </c>
      <c r="C3067">
        <v>373.37</v>
      </c>
      <c r="D3067">
        <v>685</v>
      </c>
      <c r="E3067">
        <v>3.3348</v>
      </c>
      <c r="K3067">
        <v>3.0860000000000002E-3</v>
      </c>
      <c r="R3067">
        <f t="shared" si="77"/>
        <v>1</v>
      </c>
    </row>
    <row r="3068" spans="1:18">
      <c r="A3068">
        <f t="shared" si="76"/>
        <v>3067</v>
      </c>
      <c r="B3068" t="str">
        <f t="shared" ref="B3068:B3131" si="78">B3067</f>
        <v>Blount 1982</v>
      </c>
      <c r="C3068">
        <v>372.54</v>
      </c>
      <c r="D3068">
        <v>497</v>
      </c>
      <c r="E3068">
        <v>3.3614999999999999</v>
      </c>
      <c r="K3068">
        <v>2.405E-3</v>
      </c>
      <c r="R3068">
        <f t="shared" si="77"/>
        <v>1</v>
      </c>
    </row>
    <row r="3069" spans="1:18">
      <c r="A3069">
        <f t="shared" si="76"/>
        <v>3068</v>
      </c>
      <c r="B3069" t="str">
        <f t="shared" si="78"/>
        <v>Blount 1982</v>
      </c>
      <c r="C3069">
        <v>371.93</v>
      </c>
      <c r="D3069">
        <v>490</v>
      </c>
      <c r="E3069">
        <v>3.3348</v>
      </c>
      <c r="K3069">
        <v>2.6970000000000002E-3</v>
      </c>
      <c r="R3069">
        <f t="shared" si="77"/>
        <v>1</v>
      </c>
    </row>
    <row r="3070" spans="1:18">
      <c r="A3070">
        <f t="shared" si="76"/>
        <v>3069</v>
      </c>
      <c r="B3070" t="str">
        <f t="shared" si="78"/>
        <v>Blount 1982</v>
      </c>
      <c r="C3070">
        <v>371.93</v>
      </c>
      <c r="D3070">
        <v>490</v>
      </c>
      <c r="E3070">
        <v>3.3348</v>
      </c>
      <c r="K3070">
        <v>2.588E-3</v>
      </c>
      <c r="R3070">
        <f t="shared" si="77"/>
        <v>1</v>
      </c>
    </row>
    <row r="3071" spans="1:18">
      <c r="A3071">
        <f t="shared" si="76"/>
        <v>3070</v>
      </c>
      <c r="B3071" t="str">
        <f t="shared" si="78"/>
        <v>Blount 1982</v>
      </c>
      <c r="C3071">
        <v>371.93</v>
      </c>
      <c r="D3071">
        <v>490</v>
      </c>
      <c r="E3071">
        <v>3.3348</v>
      </c>
      <c r="K3071">
        <v>2.65E-3</v>
      </c>
      <c r="R3071">
        <f t="shared" si="77"/>
        <v>1</v>
      </c>
    </row>
    <row r="3072" spans="1:18">
      <c r="A3072">
        <f t="shared" si="76"/>
        <v>3071</v>
      </c>
      <c r="B3072" t="str">
        <f t="shared" si="78"/>
        <v>Blount 1982</v>
      </c>
      <c r="C3072">
        <v>371.93</v>
      </c>
      <c r="D3072">
        <v>490</v>
      </c>
      <c r="E3072">
        <v>3.3348</v>
      </c>
      <c r="K3072">
        <v>2.65E-3</v>
      </c>
      <c r="R3072">
        <f t="shared" si="77"/>
        <v>1</v>
      </c>
    </row>
    <row r="3073" spans="1:18">
      <c r="A3073">
        <f t="shared" si="76"/>
        <v>3072</v>
      </c>
      <c r="B3073" t="str">
        <f t="shared" si="78"/>
        <v>Blount 1982</v>
      </c>
      <c r="C3073">
        <v>372.87</v>
      </c>
      <c r="D3073">
        <v>485</v>
      </c>
      <c r="E3073">
        <v>3.3348</v>
      </c>
      <c r="K3073">
        <v>2.5569999999999998E-3</v>
      </c>
      <c r="R3073">
        <f t="shared" si="77"/>
        <v>1</v>
      </c>
    </row>
    <row r="3074" spans="1:18">
      <c r="A3074">
        <f t="shared" si="76"/>
        <v>3073</v>
      </c>
      <c r="B3074" t="str">
        <f t="shared" si="78"/>
        <v>Blount 1982</v>
      </c>
      <c r="C3074">
        <v>372.87</v>
      </c>
      <c r="D3074">
        <v>485</v>
      </c>
      <c r="E3074">
        <v>3.3348</v>
      </c>
      <c r="K3074">
        <v>2.4949999999999998E-3</v>
      </c>
      <c r="R3074">
        <f t="shared" si="77"/>
        <v>1</v>
      </c>
    </row>
    <row r="3075" spans="1:18">
      <c r="A3075">
        <f t="shared" si="76"/>
        <v>3074</v>
      </c>
      <c r="B3075" t="str">
        <f t="shared" si="78"/>
        <v>Blount 1982</v>
      </c>
      <c r="C3075">
        <v>372.87</v>
      </c>
      <c r="D3075">
        <v>346</v>
      </c>
      <c r="E3075">
        <v>3.3348</v>
      </c>
      <c r="K3075">
        <v>2.2620000000000001E-3</v>
      </c>
      <c r="R3075">
        <f t="shared" si="77"/>
        <v>1</v>
      </c>
    </row>
    <row r="3076" spans="1:18">
      <c r="A3076">
        <f t="shared" ref="A3076:A3139" si="79">A3075+1</f>
        <v>3075</v>
      </c>
      <c r="B3076" t="str">
        <f t="shared" si="78"/>
        <v>Blount 1982</v>
      </c>
      <c r="C3076">
        <v>372.87</v>
      </c>
      <c r="D3076">
        <v>346</v>
      </c>
      <c r="E3076">
        <v>3.3348</v>
      </c>
      <c r="K3076">
        <v>2.2620000000000001E-3</v>
      </c>
      <c r="R3076">
        <f t="shared" si="77"/>
        <v>1</v>
      </c>
    </row>
    <row r="3077" spans="1:18">
      <c r="A3077">
        <f t="shared" si="79"/>
        <v>3076</v>
      </c>
      <c r="B3077" t="str">
        <f t="shared" si="78"/>
        <v>Blount 1982</v>
      </c>
      <c r="C3077">
        <v>372.54</v>
      </c>
      <c r="D3077">
        <v>221</v>
      </c>
      <c r="E3077">
        <v>3.3348</v>
      </c>
      <c r="K3077">
        <v>1.5299999999999999E-3</v>
      </c>
      <c r="R3077">
        <f t="shared" si="77"/>
        <v>1</v>
      </c>
    </row>
    <row r="3078" spans="1:18">
      <c r="A3078">
        <f t="shared" si="79"/>
        <v>3077</v>
      </c>
      <c r="B3078" t="str">
        <f t="shared" si="78"/>
        <v>Blount 1982</v>
      </c>
      <c r="C3078">
        <v>372.54</v>
      </c>
      <c r="D3078">
        <v>221</v>
      </c>
      <c r="E3078">
        <v>3.3348</v>
      </c>
      <c r="K3078">
        <v>1.5139999999999999E-3</v>
      </c>
      <c r="R3078">
        <f t="shared" si="77"/>
        <v>1</v>
      </c>
    </row>
    <row r="3079" spans="1:18">
      <c r="A3079">
        <f t="shared" si="79"/>
        <v>3078</v>
      </c>
      <c r="B3079" t="str">
        <f t="shared" si="78"/>
        <v>Blount 1982</v>
      </c>
      <c r="C3079">
        <v>372.65</v>
      </c>
      <c r="D3079">
        <v>132</v>
      </c>
      <c r="E3079">
        <v>3.3348</v>
      </c>
      <c r="K3079">
        <v>1.343E-3</v>
      </c>
      <c r="R3079">
        <f t="shared" si="77"/>
        <v>1</v>
      </c>
    </row>
    <row r="3080" spans="1:18">
      <c r="A3080">
        <f t="shared" si="79"/>
        <v>3079</v>
      </c>
      <c r="B3080" t="str">
        <f t="shared" si="78"/>
        <v>Blount 1982</v>
      </c>
      <c r="C3080">
        <v>372.65</v>
      </c>
      <c r="D3080">
        <v>132</v>
      </c>
      <c r="E3080">
        <v>3.3348</v>
      </c>
      <c r="K3080">
        <v>1.3270000000000001E-3</v>
      </c>
      <c r="R3080">
        <f t="shared" si="77"/>
        <v>1</v>
      </c>
    </row>
    <row r="3081" spans="1:18">
      <c r="A3081">
        <f t="shared" si="79"/>
        <v>3080</v>
      </c>
      <c r="B3081" t="str">
        <f t="shared" si="78"/>
        <v>Blount 1982</v>
      </c>
      <c r="C3081">
        <v>372.65</v>
      </c>
      <c r="D3081">
        <v>136</v>
      </c>
      <c r="E3081">
        <v>3.3348</v>
      </c>
      <c r="K3081">
        <v>1.343E-3</v>
      </c>
      <c r="R3081">
        <f t="shared" si="77"/>
        <v>1</v>
      </c>
    </row>
    <row r="3082" spans="1:18">
      <c r="A3082">
        <f t="shared" si="79"/>
        <v>3081</v>
      </c>
      <c r="B3082" t="str">
        <f t="shared" si="78"/>
        <v>Blount 1982</v>
      </c>
      <c r="C3082">
        <v>372.65</v>
      </c>
      <c r="D3082">
        <v>136</v>
      </c>
      <c r="E3082">
        <v>3.3348</v>
      </c>
      <c r="K3082">
        <v>1.343E-3</v>
      </c>
      <c r="R3082">
        <f t="shared" si="77"/>
        <v>1</v>
      </c>
    </row>
    <row r="3083" spans="1:18">
      <c r="A3083">
        <f t="shared" si="79"/>
        <v>3082</v>
      </c>
      <c r="B3083" t="str">
        <f t="shared" si="78"/>
        <v>Blount 1982</v>
      </c>
      <c r="C3083">
        <v>372.87</v>
      </c>
      <c r="D3083">
        <v>1549</v>
      </c>
      <c r="E3083">
        <v>5.0148999999999999</v>
      </c>
      <c r="K3083">
        <v>3.0140000000000002E-3</v>
      </c>
      <c r="R3083">
        <f t="shared" si="77"/>
        <v>1</v>
      </c>
    </row>
    <row r="3084" spans="1:18">
      <c r="A3084">
        <f t="shared" si="79"/>
        <v>3083</v>
      </c>
      <c r="B3084" t="str">
        <f t="shared" si="78"/>
        <v>Blount 1982</v>
      </c>
      <c r="C3084">
        <v>372.87</v>
      </c>
      <c r="D3084">
        <v>1549</v>
      </c>
      <c r="E3084">
        <v>5.0148999999999999</v>
      </c>
      <c r="K3084">
        <v>3.1310000000000001E-3</v>
      </c>
      <c r="R3084">
        <f t="shared" si="77"/>
        <v>1</v>
      </c>
    </row>
    <row r="3085" spans="1:18">
      <c r="A3085">
        <f t="shared" si="79"/>
        <v>3084</v>
      </c>
      <c r="B3085" t="str">
        <f t="shared" si="78"/>
        <v>Blount 1982</v>
      </c>
      <c r="C3085">
        <v>372.87</v>
      </c>
      <c r="D3085">
        <v>1549</v>
      </c>
      <c r="E3085">
        <v>5.0148999999999999</v>
      </c>
      <c r="K3085">
        <v>3.5170000000000002E-3</v>
      </c>
      <c r="R3085">
        <f t="shared" si="77"/>
        <v>1</v>
      </c>
    </row>
    <row r="3086" spans="1:18">
      <c r="A3086">
        <f t="shared" si="79"/>
        <v>3085</v>
      </c>
      <c r="B3086" t="str">
        <f t="shared" si="78"/>
        <v>Blount 1982</v>
      </c>
      <c r="C3086">
        <v>372.87</v>
      </c>
      <c r="D3086">
        <v>1549</v>
      </c>
      <c r="E3086">
        <v>5.0148999999999999</v>
      </c>
      <c r="K3086">
        <v>3.2989999999999998E-3</v>
      </c>
      <c r="R3086">
        <f t="shared" si="77"/>
        <v>1</v>
      </c>
    </row>
    <row r="3087" spans="1:18">
      <c r="A3087">
        <f t="shared" si="79"/>
        <v>3086</v>
      </c>
      <c r="B3087" t="str">
        <f t="shared" si="78"/>
        <v>Blount 1982</v>
      </c>
      <c r="C3087">
        <v>372.87</v>
      </c>
      <c r="D3087">
        <v>1547</v>
      </c>
      <c r="E3087">
        <v>5.0148999999999999</v>
      </c>
      <c r="K3087">
        <v>3.4840000000000001E-3</v>
      </c>
      <c r="R3087">
        <f t="shared" si="77"/>
        <v>1</v>
      </c>
    </row>
    <row r="3088" spans="1:18">
      <c r="A3088">
        <f t="shared" si="79"/>
        <v>3087</v>
      </c>
      <c r="B3088" t="str">
        <f t="shared" si="78"/>
        <v>Blount 1982</v>
      </c>
      <c r="C3088">
        <v>372.87</v>
      </c>
      <c r="D3088">
        <v>1547</v>
      </c>
      <c r="E3088">
        <v>5.0148999999999999</v>
      </c>
      <c r="K3088">
        <v>3.2650000000000001E-3</v>
      </c>
      <c r="R3088">
        <f t="shared" si="77"/>
        <v>1</v>
      </c>
    </row>
    <row r="3089" spans="1:18">
      <c r="A3089">
        <f t="shared" si="79"/>
        <v>3088</v>
      </c>
      <c r="B3089" t="str">
        <f t="shared" si="78"/>
        <v>Blount 1982</v>
      </c>
      <c r="C3089">
        <v>372.87</v>
      </c>
      <c r="D3089">
        <v>1204</v>
      </c>
      <c r="E3089">
        <v>5.0148999999999999</v>
      </c>
      <c r="K3089">
        <v>3.0639999999999999E-3</v>
      </c>
      <c r="R3089">
        <f t="shared" si="77"/>
        <v>1</v>
      </c>
    </row>
    <row r="3090" spans="1:18">
      <c r="A3090">
        <f t="shared" si="79"/>
        <v>3089</v>
      </c>
      <c r="B3090" t="str">
        <f t="shared" si="78"/>
        <v>Blount 1982</v>
      </c>
      <c r="C3090">
        <v>372.87</v>
      </c>
      <c r="D3090">
        <v>1204</v>
      </c>
      <c r="E3090">
        <v>5.0148999999999999</v>
      </c>
      <c r="K3090">
        <v>3.0469999999999998E-3</v>
      </c>
      <c r="R3090">
        <f t="shared" si="77"/>
        <v>1</v>
      </c>
    </row>
    <row r="3091" spans="1:18">
      <c r="A3091">
        <f t="shared" si="79"/>
        <v>3090</v>
      </c>
      <c r="B3091" t="str">
        <f t="shared" si="78"/>
        <v>Blount 1982</v>
      </c>
      <c r="C3091">
        <v>372.87</v>
      </c>
      <c r="D3091">
        <v>1058</v>
      </c>
      <c r="E3091">
        <v>5.0148999999999999</v>
      </c>
      <c r="K3091" s="3">
        <v>2.98E-3</v>
      </c>
      <c r="R3091">
        <f t="shared" si="77"/>
        <v>1</v>
      </c>
    </row>
    <row r="3092" spans="1:18">
      <c r="A3092">
        <f t="shared" si="79"/>
        <v>3091</v>
      </c>
      <c r="B3092" t="str">
        <f t="shared" si="78"/>
        <v>Blount 1982</v>
      </c>
      <c r="C3092">
        <v>372.37</v>
      </c>
      <c r="D3092">
        <v>1070</v>
      </c>
      <c r="E3092">
        <v>5.0148999999999999</v>
      </c>
      <c r="K3092">
        <v>3.0980000000000001E-3</v>
      </c>
      <c r="R3092">
        <f t="shared" si="77"/>
        <v>1</v>
      </c>
    </row>
    <row r="3093" spans="1:18">
      <c r="A3093">
        <f t="shared" si="79"/>
        <v>3092</v>
      </c>
      <c r="B3093" t="str">
        <f t="shared" si="78"/>
        <v>Blount 1982</v>
      </c>
      <c r="C3093">
        <v>372.37</v>
      </c>
      <c r="D3093">
        <v>1070</v>
      </c>
      <c r="E3093">
        <v>5.0148999999999999</v>
      </c>
      <c r="K3093">
        <v>3.215E-3</v>
      </c>
      <c r="R3093">
        <f t="shared" si="77"/>
        <v>1</v>
      </c>
    </row>
    <row r="3094" spans="1:18">
      <c r="A3094">
        <f t="shared" si="79"/>
        <v>3093</v>
      </c>
      <c r="B3094" t="str">
        <f t="shared" si="78"/>
        <v>Blount 1982</v>
      </c>
      <c r="C3094">
        <v>372.65</v>
      </c>
      <c r="D3094">
        <v>1124</v>
      </c>
      <c r="E3094">
        <v>5.0148999999999999</v>
      </c>
      <c r="K3094">
        <v>2.846E-3</v>
      </c>
      <c r="R3094">
        <f t="shared" si="77"/>
        <v>1</v>
      </c>
    </row>
    <row r="3095" spans="1:18">
      <c r="A3095">
        <f t="shared" si="79"/>
        <v>3094</v>
      </c>
      <c r="B3095" t="str">
        <f t="shared" si="78"/>
        <v>Blount 1982</v>
      </c>
      <c r="C3095">
        <v>372.37</v>
      </c>
      <c r="D3095">
        <v>1128</v>
      </c>
      <c r="E3095">
        <v>5.0148999999999999</v>
      </c>
      <c r="K3095">
        <v>2.6949999999999999E-3</v>
      </c>
      <c r="R3095">
        <f t="shared" si="77"/>
        <v>1</v>
      </c>
    </row>
    <row r="3096" spans="1:18">
      <c r="A3096">
        <f t="shared" si="79"/>
        <v>3095</v>
      </c>
      <c r="B3096" t="str">
        <f t="shared" si="78"/>
        <v>Blount 1982</v>
      </c>
      <c r="C3096">
        <v>372.37</v>
      </c>
      <c r="D3096">
        <v>1128</v>
      </c>
      <c r="E3096">
        <v>5.0148999999999999</v>
      </c>
      <c r="K3096">
        <v>2.8289999999999999E-3</v>
      </c>
      <c r="R3096">
        <f t="shared" si="77"/>
        <v>1</v>
      </c>
    </row>
    <row r="3097" spans="1:18">
      <c r="A3097">
        <f t="shared" si="79"/>
        <v>3096</v>
      </c>
      <c r="B3097" t="str">
        <f t="shared" si="78"/>
        <v>Blount 1982</v>
      </c>
      <c r="C3097">
        <v>372.37</v>
      </c>
      <c r="D3097">
        <v>916</v>
      </c>
      <c r="E3097">
        <v>5.0148999999999999</v>
      </c>
      <c r="K3097">
        <v>2.4759999999999999E-3</v>
      </c>
      <c r="R3097">
        <f t="shared" si="77"/>
        <v>1</v>
      </c>
    </row>
    <row r="3098" spans="1:18">
      <c r="A3098">
        <f t="shared" si="79"/>
        <v>3097</v>
      </c>
      <c r="B3098" t="str">
        <f t="shared" si="78"/>
        <v>Blount 1982</v>
      </c>
      <c r="C3098">
        <v>372.37</v>
      </c>
      <c r="D3098">
        <v>932</v>
      </c>
      <c r="E3098">
        <v>5.0148999999999999</v>
      </c>
      <c r="K3098">
        <v>2.3749999999999999E-3</v>
      </c>
      <c r="R3098">
        <f t="shared" si="77"/>
        <v>1</v>
      </c>
    </row>
    <row r="3099" spans="1:18">
      <c r="A3099">
        <f t="shared" si="79"/>
        <v>3098</v>
      </c>
      <c r="B3099" t="str">
        <f t="shared" si="78"/>
        <v>Blount 1982</v>
      </c>
      <c r="C3099">
        <v>372.37</v>
      </c>
      <c r="D3099">
        <v>932</v>
      </c>
      <c r="E3099">
        <v>5.0148999999999999</v>
      </c>
      <c r="K3099">
        <v>2.611E-3</v>
      </c>
      <c r="R3099">
        <f t="shared" si="77"/>
        <v>1</v>
      </c>
    </row>
    <row r="3100" spans="1:18">
      <c r="A3100">
        <f t="shared" si="79"/>
        <v>3099</v>
      </c>
      <c r="B3100" t="str">
        <f t="shared" si="78"/>
        <v>Blount 1982</v>
      </c>
      <c r="C3100">
        <v>372.15</v>
      </c>
      <c r="D3100">
        <v>672</v>
      </c>
      <c r="E3100">
        <v>5.0148999999999999</v>
      </c>
      <c r="K3100">
        <v>2.1909999999999998E-3</v>
      </c>
      <c r="R3100">
        <f t="shared" si="77"/>
        <v>1</v>
      </c>
    </row>
    <row r="3101" spans="1:18">
      <c r="A3101">
        <f t="shared" si="79"/>
        <v>3100</v>
      </c>
      <c r="B3101" t="str">
        <f t="shared" si="78"/>
        <v>Blount 1982</v>
      </c>
      <c r="C3101">
        <v>372.37</v>
      </c>
      <c r="D3101">
        <v>702</v>
      </c>
      <c r="E3101">
        <v>5.0148999999999999</v>
      </c>
      <c r="K3101">
        <v>2.0560000000000001E-3</v>
      </c>
      <c r="R3101">
        <f t="shared" si="77"/>
        <v>1</v>
      </c>
    </row>
    <row r="3102" spans="1:18">
      <c r="A3102">
        <f t="shared" si="79"/>
        <v>3101</v>
      </c>
      <c r="B3102" t="str">
        <f t="shared" si="78"/>
        <v>Blount 1982</v>
      </c>
      <c r="C3102">
        <v>372.37</v>
      </c>
      <c r="D3102">
        <v>702</v>
      </c>
      <c r="E3102">
        <v>5.0148999999999999</v>
      </c>
      <c r="K3102">
        <v>2.3080000000000002E-3</v>
      </c>
      <c r="R3102">
        <f t="shared" si="77"/>
        <v>1</v>
      </c>
    </row>
    <row r="3103" spans="1:18">
      <c r="A3103">
        <f t="shared" si="79"/>
        <v>3102</v>
      </c>
      <c r="B3103" t="str">
        <f t="shared" si="78"/>
        <v>Blount 1982</v>
      </c>
      <c r="C3103">
        <v>372.15</v>
      </c>
      <c r="D3103">
        <v>502</v>
      </c>
      <c r="E3103">
        <v>4.9443000000000001</v>
      </c>
      <c r="K3103">
        <v>1.915E-3</v>
      </c>
      <c r="R3103">
        <f t="shared" si="77"/>
        <v>1</v>
      </c>
    </row>
    <row r="3104" spans="1:18">
      <c r="A3104">
        <f t="shared" si="79"/>
        <v>3103</v>
      </c>
      <c r="B3104" t="str">
        <f t="shared" si="78"/>
        <v>Blount 1982</v>
      </c>
      <c r="C3104">
        <v>372.15</v>
      </c>
      <c r="D3104">
        <v>502</v>
      </c>
      <c r="E3104">
        <v>4.9443000000000001</v>
      </c>
      <c r="K3104">
        <v>1.9989999999999999E-3</v>
      </c>
      <c r="R3104">
        <f t="shared" si="77"/>
        <v>1</v>
      </c>
    </row>
    <row r="3105" spans="1:18">
      <c r="A3105">
        <f t="shared" si="79"/>
        <v>3104</v>
      </c>
      <c r="B3105" t="str">
        <f t="shared" si="78"/>
        <v>Blount 1982</v>
      </c>
      <c r="C3105">
        <v>372.37</v>
      </c>
      <c r="D3105">
        <v>348</v>
      </c>
      <c r="E3105">
        <v>4.9443000000000001</v>
      </c>
      <c r="K3105">
        <v>2.016E-3</v>
      </c>
      <c r="R3105">
        <f t="shared" si="77"/>
        <v>1</v>
      </c>
    </row>
    <row r="3106" spans="1:18">
      <c r="A3106">
        <f t="shared" si="79"/>
        <v>3105</v>
      </c>
      <c r="B3106" t="str">
        <f t="shared" si="78"/>
        <v>Blount 1982</v>
      </c>
      <c r="C3106">
        <v>372.15</v>
      </c>
      <c r="D3106">
        <v>370</v>
      </c>
      <c r="E3106">
        <v>4.9050000000000002</v>
      </c>
      <c r="K3106">
        <v>1.678E-3</v>
      </c>
      <c r="R3106">
        <f t="shared" si="77"/>
        <v>1</v>
      </c>
    </row>
    <row r="3107" spans="1:18">
      <c r="A3107">
        <f t="shared" si="79"/>
        <v>3106</v>
      </c>
      <c r="B3107" t="str">
        <f t="shared" si="78"/>
        <v>Blount 1982</v>
      </c>
      <c r="C3107">
        <v>372.37</v>
      </c>
      <c r="D3107">
        <v>372</v>
      </c>
      <c r="E3107">
        <v>4.9050000000000002</v>
      </c>
      <c r="K3107">
        <v>1.4430000000000001E-3</v>
      </c>
      <c r="R3107">
        <f t="shared" si="77"/>
        <v>1</v>
      </c>
    </row>
    <row r="3108" spans="1:18">
      <c r="A3108">
        <f t="shared" si="79"/>
        <v>3107</v>
      </c>
      <c r="B3108" t="str">
        <f t="shared" si="78"/>
        <v>Blount 1982</v>
      </c>
      <c r="C3108">
        <v>372.37</v>
      </c>
      <c r="D3108">
        <v>372</v>
      </c>
      <c r="E3108">
        <v>4.9050000000000002</v>
      </c>
      <c r="K3108">
        <v>1.5939999999999999E-3</v>
      </c>
      <c r="R3108">
        <f t="shared" si="77"/>
        <v>1</v>
      </c>
    </row>
    <row r="3109" spans="1:18">
      <c r="A3109">
        <f t="shared" si="79"/>
        <v>3108</v>
      </c>
      <c r="B3109" t="str">
        <f t="shared" si="78"/>
        <v>Blount 1982</v>
      </c>
      <c r="C3109">
        <v>372.37</v>
      </c>
      <c r="D3109">
        <v>248</v>
      </c>
      <c r="E3109">
        <v>4.9050000000000002</v>
      </c>
      <c r="K3109">
        <v>1.359E-3</v>
      </c>
      <c r="R3109">
        <f t="shared" si="77"/>
        <v>1</v>
      </c>
    </row>
    <row r="3110" spans="1:18">
      <c r="A3110">
        <f t="shared" si="79"/>
        <v>3109</v>
      </c>
      <c r="B3110" t="str">
        <f t="shared" si="78"/>
        <v>Blount 1982</v>
      </c>
      <c r="C3110">
        <v>372.37</v>
      </c>
      <c r="D3110">
        <v>248</v>
      </c>
      <c r="E3110">
        <v>4.9050000000000002</v>
      </c>
      <c r="K3110">
        <v>1.41E-3</v>
      </c>
      <c r="R3110">
        <f t="shared" si="77"/>
        <v>1</v>
      </c>
    </row>
    <row r="3111" spans="1:18">
      <c r="A3111">
        <f t="shared" si="79"/>
        <v>3110</v>
      </c>
      <c r="B3111" t="str">
        <f t="shared" si="78"/>
        <v>Blount 1982</v>
      </c>
      <c r="C3111">
        <v>372.37</v>
      </c>
      <c r="D3111">
        <v>248</v>
      </c>
      <c r="E3111">
        <v>4.9050000000000002</v>
      </c>
      <c r="K3111">
        <v>1.761E-3</v>
      </c>
      <c r="R3111">
        <f t="shared" si="77"/>
        <v>1</v>
      </c>
    </row>
    <row r="3112" spans="1:18">
      <c r="A3112">
        <f t="shared" si="79"/>
        <v>3111</v>
      </c>
      <c r="B3112" t="str">
        <f t="shared" si="78"/>
        <v>Blount 1982</v>
      </c>
      <c r="C3112">
        <v>372.37</v>
      </c>
      <c r="D3112">
        <v>246</v>
      </c>
      <c r="E3112">
        <v>4.9050000000000002</v>
      </c>
      <c r="K3112">
        <v>1.359E-3</v>
      </c>
      <c r="R3112">
        <f t="shared" si="77"/>
        <v>1</v>
      </c>
    </row>
    <row r="3113" spans="1:18">
      <c r="A3113">
        <f t="shared" si="79"/>
        <v>3112</v>
      </c>
      <c r="B3113" t="str">
        <f t="shared" si="78"/>
        <v>Blount 1982</v>
      </c>
      <c r="C3113">
        <v>372.15</v>
      </c>
      <c r="D3113">
        <v>146</v>
      </c>
      <c r="E3113">
        <v>4.9050000000000002</v>
      </c>
      <c r="K3113">
        <v>1.091E-3</v>
      </c>
      <c r="R3113">
        <f t="shared" si="77"/>
        <v>1</v>
      </c>
    </row>
    <row r="3114" spans="1:18">
      <c r="A3114">
        <f t="shared" si="79"/>
        <v>3113</v>
      </c>
      <c r="B3114" t="str">
        <f t="shared" si="78"/>
        <v>Blount 1982</v>
      </c>
      <c r="C3114">
        <v>372.15</v>
      </c>
      <c r="D3114">
        <v>146</v>
      </c>
      <c r="E3114">
        <v>4.9050000000000002</v>
      </c>
      <c r="K3114">
        <v>1.041E-3</v>
      </c>
      <c r="R3114">
        <f t="shared" si="77"/>
        <v>1</v>
      </c>
    </row>
    <row r="3115" spans="1:18">
      <c r="A3115">
        <f t="shared" si="79"/>
        <v>3114</v>
      </c>
      <c r="B3115" t="str">
        <f t="shared" si="78"/>
        <v>Blount 1982</v>
      </c>
      <c r="C3115">
        <v>373.93</v>
      </c>
      <c r="D3115">
        <v>1532</v>
      </c>
      <c r="E3115">
        <v>7.0505000000000004</v>
      </c>
      <c r="K3115">
        <v>2.2780000000000001E-3</v>
      </c>
      <c r="R3115">
        <f t="shared" si="77"/>
        <v>1</v>
      </c>
    </row>
    <row r="3116" spans="1:18">
      <c r="A3116">
        <f t="shared" si="79"/>
        <v>3115</v>
      </c>
      <c r="B3116" t="str">
        <f t="shared" si="78"/>
        <v>Blount 1982</v>
      </c>
      <c r="C3116">
        <v>373.65</v>
      </c>
      <c r="D3116">
        <v>1310</v>
      </c>
      <c r="E3116">
        <v>7.0505000000000004</v>
      </c>
      <c r="K3116">
        <v>2.516E-3</v>
      </c>
      <c r="R3116">
        <f t="shared" si="77"/>
        <v>1</v>
      </c>
    </row>
    <row r="3117" spans="1:18">
      <c r="A3117">
        <f t="shared" si="79"/>
        <v>3116</v>
      </c>
      <c r="B3117" t="str">
        <f t="shared" si="78"/>
        <v>Blount 1982</v>
      </c>
      <c r="C3117">
        <v>373.65</v>
      </c>
      <c r="D3117">
        <v>1310</v>
      </c>
      <c r="E3117">
        <v>7.0505000000000004</v>
      </c>
      <c r="K3117">
        <v>2.6259999999999999E-3</v>
      </c>
      <c r="R3117">
        <f t="shared" si="77"/>
        <v>1</v>
      </c>
    </row>
    <row r="3118" spans="1:18">
      <c r="A3118">
        <f t="shared" si="79"/>
        <v>3117</v>
      </c>
      <c r="B3118" t="str">
        <f t="shared" si="78"/>
        <v>Blount 1982</v>
      </c>
      <c r="C3118">
        <v>373.65</v>
      </c>
      <c r="D3118">
        <v>1310</v>
      </c>
      <c r="E3118">
        <v>7.0505000000000004</v>
      </c>
      <c r="K3118">
        <v>2.5709999999999999E-3</v>
      </c>
      <c r="R3118">
        <f t="shared" ref="R3118:R3181" si="80">R3117</f>
        <v>1</v>
      </c>
    </row>
    <row r="3119" spans="1:18">
      <c r="A3119">
        <f t="shared" si="79"/>
        <v>3118</v>
      </c>
      <c r="B3119" t="str">
        <f t="shared" si="78"/>
        <v>Blount 1982</v>
      </c>
      <c r="C3119">
        <v>373.65</v>
      </c>
      <c r="D3119">
        <v>1310</v>
      </c>
      <c r="E3119">
        <v>7.0505000000000004</v>
      </c>
      <c r="K3119">
        <v>2.5530000000000001E-3</v>
      </c>
      <c r="R3119">
        <f t="shared" si="80"/>
        <v>1</v>
      </c>
    </row>
    <row r="3120" spans="1:18">
      <c r="A3120">
        <f t="shared" si="79"/>
        <v>3119</v>
      </c>
      <c r="B3120" t="str">
        <f t="shared" si="78"/>
        <v>Blount 1982</v>
      </c>
      <c r="C3120">
        <v>373.65</v>
      </c>
      <c r="D3120">
        <v>1310</v>
      </c>
      <c r="E3120">
        <v>7.0505000000000004</v>
      </c>
      <c r="K3120">
        <v>2.699E-3</v>
      </c>
      <c r="R3120">
        <f t="shared" si="80"/>
        <v>1</v>
      </c>
    </row>
    <row r="3121" spans="1:18">
      <c r="A3121">
        <f t="shared" si="79"/>
        <v>3120</v>
      </c>
      <c r="B3121" t="str">
        <f t="shared" si="78"/>
        <v>Blount 1982</v>
      </c>
      <c r="C3121">
        <v>373.65</v>
      </c>
      <c r="D3121">
        <v>1103</v>
      </c>
      <c r="E3121">
        <v>7.0505000000000004</v>
      </c>
      <c r="K3121">
        <v>1.9109999999999999E-3</v>
      </c>
      <c r="R3121">
        <f t="shared" si="80"/>
        <v>1</v>
      </c>
    </row>
    <row r="3122" spans="1:18">
      <c r="A3122">
        <f t="shared" si="79"/>
        <v>3121</v>
      </c>
      <c r="B3122" t="str">
        <f t="shared" si="78"/>
        <v>Blount 1982</v>
      </c>
      <c r="C3122">
        <v>373.65</v>
      </c>
      <c r="D3122">
        <v>1103</v>
      </c>
      <c r="E3122">
        <v>7.0505000000000004</v>
      </c>
      <c r="K3122">
        <v>2.4239999999999999E-3</v>
      </c>
      <c r="R3122">
        <f t="shared" si="80"/>
        <v>1</v>
      </c>
    </row>
    <row r="3123" spans="1:18">
      <c r="A3123">
        <f t="shared" si="79"/>
        <v>3122</v>
      </c>
      <c r="B3123" t="str">
        <f t="shared" si="78"/>
        <v>Blount 1982</v>
      </c>
      <c r="C3123">
        <v>373.65</v>
      </c>
      <c r="D3123">
        <v>901</v>
      </c>
      <c r="E3123">
        <v>7.0505000000000004</v>
      </c>
      <c r="K3123">
        <v>2.0400000000000001E-3</v>
      </c>
      <c r="R3123">
        <f t="shared" si="80"/>
        <v>1</v>
      </c>
    </row>
    <row r="3124" spans="1:18">
      <c r="A3124">
        <f t="shared" si="79"/>
        <v>3123</v>
      </c>
      <c r="B3124" t="str">
        <f t="shared" si="78"/>
        <v>Blount 1982</v>
      </c>
      <c r="C3124">
        <v>373.65</v>
      </c>
      <c r="D3124">
        <v>901</v>
      </c>
      <c r="E3124">
        <v>7.0505000000000004</v>
      </c>
      <c r="K3124">
        <v>2.2409999999999999E-3</v>
      </c>
      <c r="R3124">
        <f t="shared" si="80"/>
        <v>1</v>
      </c>
    </row>
    <row r="3125" spans="1:18">
      <c r="A3125">
        <f t="shared" si="79"/>
        <v>3124</v>
      </c>
      <c r="B3125" t="str">
        <f t="shared" si="78"/>
        <v>Blount 1982</v>
      </c>
      <c r="C3125">
        <v>374.37</v>
      </c>
      <c r="D3125">
        <v>908</v>
      </c>
      <c r="E3125">
        <v>7.0876999999999999</v>
      </c>
      <c r="K3125">
        <v>1.9689999999999998E-3</v>
      </c>
      <c r="R3125">
        <f t="shared" si="80"/>
        <v>1</v>
      </c>
    </row>
    <row r="3126" spans="1:18">
      <c r="A3126">
        <f t="shared" si="79"/>
        <v>3125</v>
      </c>
      <c r="B3126" t="str">
        <f t="shared" si="78"/>
        <v>Blount 1982</v>
      </c>
      <c r="C3126">
        <v>374.37</v>
      </c>
      <c r="D3126">
        <v>908</v>
      </c>
      <c r="E3126">
        <v>7.0876999999999999</v>
      </c>
      <c r="K3126">
        <v>2.098E-3</v>
      </c>
      <c r="R3126">
        <f t="shared" si="80"/>
        <v>1</v>
      </c>
    </row>
    <row r="3127" spans="1:18">
      <c r="A3127">
        <f t="shared" si="79"/>
        <v>3126</v>
      </c>
      <c r="B3127" t="str">
        <f t="shared" si="78"/>
        <v>Blount 1982</v>
      </c>
      <c r="C3127">
        <v>373.93</v>
      </c>
      <c r="D3127">
        <v>904</v>
      </c>
      <c r="E3127">
        <v>7.0876999999999999</v>
      </c>
      <c r="K3127">
        <v>2.1710000000000002E-3</v>
      </c>
      <c r="R3127">
        <f t="shared" si="80"/>
        <v>1</v>
      </c>
    </row>
    <row r="3128" spans="1:18">
      <c r="A3128">
        <f t="shared" si="79"/>
        <v>3127</v>
      </c>
      <c r="B3128" t="str">
        <f t="shared" si="78"/>
        <v>Blount 1982</v>
      </c>
      <c r="C3128">
        <v>373.93</v>
      </c>
      <c r="D3128">
        <v>904</v>
      </c>
      <c r="E3128">
        <v>7.0876999999999999</v>
      </c>
      <c r="K3128">
        <v>2.3E-3</v>
      </c>
      <c r="R3128">
        <f t="shared" si="80"/>
        <v>1</v>
      </c>
    </row>
    <row r="3129" spans="1:18">
      <c r="A3129">
        <f t="shared" si="79"/>
        <v>3128</v>
      </c>
      <c r="B3129" t="str">
        <f t="shared" si="78"/>
        <v>Blount 1982</v>
      </c>
      <c r="C3129">
        <v>374.15</v>
      </c>
      <c r="D3129">
        <v>706</v>
      </c>
      <c r="E3129">
        <v>7.0876999999999999</v>
      </c>
      <c r="K3129">
        <v>2.0609999999999999E-3</v>
      </c>
      <c r="R3129">
        <f t="shared" si="80"/>
        <v>1</v>
      </c>
    </row>
    <row r="3130" spans="1:18">
      <c r="A3130">
        <f t="shared" si="79"/>
        <v>3129</v>
      </c>
      <c r="B3130" t="str">
        <f t="shared" si="78"/>
        <v>Blount 1982</v>
      </c>
      <c r="C3130">
        <v>374.15</v>
      </c>
      <c r="D3130">
        <v>706</v>
      </c>
      <c r="E3130">
        <v>7.0876999999999999</v>
      </c>
      <c r="K3130">
        <v>2.006E-3</v>
      </c>
      <c r="R3130">
        <f t="shared" si="80"/>
        <v>1</v>
      </c>
    </row>
    <row r="3131" spans="1:18">
      <c r="A3131">
        <f t="shared" si="79"/>
        <v>3130</v>
      </c>
      <c r="B3131" t="str">
        <f t="shared" si="78"/>
        <v>Blount 1982</v>
      </c>
      <c r="C3131">
        <v>373.93</v>
      </c>
      <c r="D3131">
        <v>496</v>
      </c>
      <c r="E3131">
        <v>7.0876999999999999</v>
      </c>
      <c r="K3131">
        <v>1.6019999999999999E-3</v>
      </c>
      <c r="R3131">
        <f t="shared" si="80"/>
        <v>1</v>
      </c>
    </row>
    <row r="3132" spans="1:18">
      <c r="A3132">
        <f t="shared" si="79"/>
        <v>3131</v>
      </c>
      <c r="B3132" t="str">
        <f t="shared" ref="B3132:B3195" si="81">B3131</f>
        <v>Blount 1982</v>
      </c>
      <c r="C3132">
        <v>373.93</v>
      </c>
      <c r="D3132">
        <v>496</v>
      </c>
      <c r="E3132">
        <v>7.0876999999999999</v>
      </c>
      <c r="K3132">
        <v>1.6750000000000001E-3</v>
      </c>
      <c r="R3132">
        <f t="shared" si="80"/>
        <v>1</v>
      </c>
    </row>
    <row r="3133" spans="1:18">
      <c r="A3133">
        <f t="shared" si="79"/>
        <v>3132</v>
      </c>
      <c r="B3133" t="str">
        <f t="shared" si="81"/>
        <v>Blount 1982</v>
      </c>
      <c r="C3133">
        <v>374.15</v>
      </c>
      <c r="D3133">
        <v>357</v>
      </c>
      <c r="E3133">
        <v>7.0876999999999999</v>
      </c>
      <c r="K3133">
        <v>1.418E-3</v>
      </c>
      <c r="R3133">
        <f t="shared" si="80"/>
        <v>1</v>
      </c>
    </row>
    <row r="3134" spans="1:18">
      <c r="A3134">
        <f t="shared" si="79"/>
        <v>3133</v>
      </c>
      <c r="B3134" t="str">
        <f t="shared" si="81"/>
        <v>Blount 1982</v>
      </c>
      <c r="C3134">
        <v>374.15</v>
      </c>
      <c r="D3134">
        <v>357</v>
      </c>
      <c r="E3134">
        <v>7.0876999999999999</v>
      </c>
      <c r="K3134">
        <v>1.3439999999999999E-3</v>
      </c>
      <c r="R3134">
        <f t="shared" si="80"/>
        <v>1</v>
      </c>
    </row>
    <row r="3135" spans="1:18">
      <c r="A3135">
        <f t="shared" si="79"/>
        <v>3134</v>
      </c>
      <c r="B3135" t="str">
        <f t="shared" si="81"/>
        <v>Blount 1982</v>
      </c>
      <c r="C3135">
        <v>374.37</v>
      </c>
      <c r="D3135">
        <v>250</v>
      </c>
      <c r="E3135">
        <v>7.0876999999999999</v>
      </c>
      <c r="K3135">
        <v>1.0870000000000001E-3</v>
      </c>
      <c r="R3135">
        <f t="shared" si="80"/>
        <v>1</v>
      </c>
    </row>
    <row r="3136" spans="1:18">
      <c r="A3136">
        <f t="shared" si="79"/>
        <v>3135</v>
      </c>
      <c r="B3136" t="str">
        <f t="shared" si="81"/>
        <v>Blount 1982</v>
      </c>
      <c r="C3136">
        <v>374.37</v>
      </c>
      <c r="D3136">
        <v>250</v>
      </c>
      <c r="E3136">
        <v>7.0876999999999999</v>
      </c>
      <c r="K3136">
        <v>1.2340000000000001E-3</v>
      </c>
      <c r="R3136">
        <f t="shared" si="80"/>
        <v>1</v>
      </c>
    </row>
    <row r="3137" spans="1:18">
      <c r="A3137">
        <f t="shared" si="79"/>
        <v>3136</v>
      </c>
      <c r="B3137" t="str">
        <f t="shared" si="81"/>
        <v>Blount 1982</v>
      </c>
      <c r="C3137">
        <v>373.93</v>
      </c>
      <c r="D3137">
        <v>141</v>
      </c>
      <c r="E3137">
        <v>7.0876999999999999</v>
      </c>
      <c r="K3137">
        <v>9.3999999999999997E-4</v>
      </c>
      <c r="R3137">
        <f t="shared" si="80"/>
        <v>1</v>
      </c>
    </row>
    <row r="3138" spans="1:18">
      <c r="A3138">
        <f t="shared" si="79"/>
        <v>3137</v>
      </c>
      <c r="B3138" t="str">
        <f t="shared" si="81"/>
        <v>Blount 1982</v>
      </c>
      <c r="C3138">
        <v>373.93</v>
      </c>
      <c r="D3138">
        <v>141</v>
      </c>
      <c r="E3138">
        <v>7.0876999999999999</v>
      </c>
      <c r="K3138">
        <v>9.0300000000000005E-4</v>
      </c>
      <c r="R3138">
        <f t="shared" si="80"/>
        <v>1</v>
      </c>
    </row>
    <row r="3139" spans="1:18">
      <c r="A3139">
        <f t="shared" si="79"/>
        <v>3138</v>
      </c>
      <c r="B3139" t="str">
        <f t="shared" si="81"/>
        <v>Blount 1982</v>
      </c>
      <c r="C3139">
        <v>373.93</v>
      </c>
      <c r="D3139">
        <v>141</v>
      </c>
      <c r="E3139">
        <v>7.0876999999999999</v>
      </c>
      <c r="K3139">
        <v>8.2899999999999998E-4</v>
      </c>
      <c r="R3139">
        <f t="shared" si="80"/>
        <v>1</v>
      </c>
    </row>
    <row r="3140" spans="1:18">
      <c r="A3140">
        <f t="shared" ref="A3140:A3203" si="82">A3139+1</f>
        <v>3139</v>
      </c>
      <c r="B3140" t="str">
        <f t="shared" si="81"/>
        <v>Blount 1982</v>
      </c>
      <c r="C3140">
        <v>373.93</v>
      </c>
      <c r="D3140">
        <v>141</v>
      </c>
      <c r="E3140">
        <v>7.0876999999999999</v>
      </c>
      <c r="K3140">
        <v>9.0300000000000005E-4</v>
      </c>
      <c r="R3140">
        <f t="shared" si="80"/>
        <v>1</v>
      </c>
    </row>
    <row r="3141" spans="1:18">
      <c r="A3141">
        <f t="shared" si="82"/>
        <v>3140</v>
      </c>
      <c r="B3141" t="str">
        <f t="shared" si="81"/>
        <v>Blount 1982</v>
      </c>
      <c r="C3141">
        <v>406.93</v>
      </c>
      <c r="D3141">
        <v>1551</v>
      </c>
      <c r="E3141">
        <v>5.5100000000000003E-2</v>
      </c>
      <c r="K3141">
        <v>7.9319999999999998E-3</v>
      </c>
      <c r="R3141">
        <f t="shared" si="80"/>
        <v>1</v>
      </c>
    </row>
    <row r="3142" spans="1:18">
      <c r="A3142">
        <f t="shared" si="82"/>
        <v>3141</v>
      </c>
      <c r="B3142" t="str">
        <f t="shared" si="81"/>
        <v>Blount 1982</v>
      </c>
      <c r="C3142">
        <v>406.93</v>
      </c>
      <c r="D3142">
        <v>1551</v>
      </c>
      <c r="E3142">
        <v>5.5100000000000003E-2</v>
      </c>
      <c r="K3142">
        <v>7.9059999999999998E-3</v>
      </c>
      <c r="R3142">
        <f t="shared" si="80"/>
        <v>1</v>
      </c>
    </row>
    <row r="3143" spans="1:18">
      <c r="A3143">
        <f t="shared" si="82"/>
        <v>3142</v>
      </c>
      <c r="B3143" t="str">
        <f t="shared" si="81"/>
        <v>Blount 1982</v>
      </c>
      <c r="C3143">
        <v>406.93</v>
      </c>
      <c r="D3143">
        <v>1324</v>
      </c>
      <c r="E3143">
        <v>5.5100000000000003E-2</v>
      </c>
      <c r="K3143">
        <v>7.8289999999999992E-3</v>
      </c>
      <c r="R3143">
        <f t="shared" si="80"/>
        <v>1</v>
      </c>
    </row>
    <row r="3144" spans="1:18">
      <c r="A3144">
        <f t="shared" si="82"/>
        <v>3143</v>
      </c>
      <c r="B3144" t="str">
        <f t="shared" si="81"/>
        <v>Blount 1982</v>
      </c>
      <c r="C3144">
        <v>406.93</v>
      </c>
      <c r="D3144">
        <v>1324</v>
      </c>
      <c r="E3144">
        <v>5.5100000000000003E-2</v>
      </c>
      <c r="K3144">
        <v>6.9839999999999998E-3</v>
      </c>
      <c r="R3144">
        <f t="shared" si="80"/>
        <v>1</v>
      </c>
    </row>
    <row r="3145" spans="1:18">
      <c r="A3145">
        <f t="shared" si="82"/>
        <v>3144</v>
      </c>
      <c r="B3145" t="str">
        <f t="shared" si="81"/>
        <v>Blount 1982</v>
      </c>
      <c r="C3145">
        <v>407.15</v>
      </c>
      <c r="D3145">
        <v>1325</v>
      </c>
      <c r="E3145">
        <v>5.5100000000000003E-2</v>
      </c>
      <c r="K3145">
        <v>7.3870000000000003E-3</v>
      </c>
      <c r="R3145">
        <f t="shared" si="80"/>
        <v>1</v>
      </c>
    </row>
    <row r="3146" spans="1:18">
      <c r="A3146">
        <f t="shared" si="82"/>
        <v>3145</v>
      </c>
      <c r="B3146" t="str">
        <f t="shared" si="81"/>
        <v>Blount 1982</v>
      </c>
      <c r="C3146">
        <v>407.15</v>
      </c>
      <c r="D3146">
        <v>1325</v>
      </c>
      <c r="E3146">
        <v>5.5100000000000003E-2</v>
      </c>
      <c r="K3146">
        <v>7.3870000000000003E-3</v>
      </c>
      <c r="R3146">
        <f t="shared" si="80"/>
        <v>1</v>
      </c>
    </row>
    <row r="3147" spans="1:18">
      <c r="A3147">
        <f t="shared" si="82"/>
        <v>3146</v>
      </c>
      <c r="B3147" t="str">
        <f t="shared" si="81"/>
        <v>Blount 1982</v>
      </c>
      <c r="C3147">
        <v>406.93</v>
      </c>
      <c r="D3147">
        <v>1116</v>
      </c>
      <c r="E3147">
        <v>5.5100000000000003E-2</v>
      </c>
      <c r="K3147">
        <v>7.0229999999999997E-3</v>
      </c>
      <c r="R3147">
        <f t="shared" si="80"/>
        <v>1</v>
      </c>
    </row>
    <row r="3148" spans="1:18">
      <c r="A3148">
        <f t="shared" si="82"/>
        <v>3147</v>
      </c>
      <c r="B3148" t="str">
        <f t="shared" si="81"/>
        <v>Blount 1982</v>
      </c>
      <c r="C3148">
        <v>406.93</v>
      </c>
      <c r="D3148">
        <v>1116</v>
      </c>
      <c r="E3148">
        <v>5.5100000000000003E-2</v>
      </c>
      <c r="K3148">
        <v>6.424E-3</v>
      </c>
      <c r="R3148">
        <f t="shared" si="80"/>
        <v>1</v>
      </c>
    </row>
    <row r="3149" spans="1:18">
      <c r="A3149">
        <f t="shared" si="82"/>
        <v>3148</v>
      </c>
      <c r="B3149" t="str">
        <f t="shared" si="81"/>
        <v>Blount 1982</v>
      </c>
      <c r="C3149">
        <v>407.15</v>
      </c>
      <c r="D3149">
        <v>908</v>
      </c>
      <c r="E3149">
        <v>5.5100000000000003E-2</v>
      </c>
      <c r="K3149">
        <v>6.228E-3</v>
      </c>
      <c r="R3149">
        <f t="shared" si="80"/>
        <v>1</v>
      </c>
    </row>
    <row r="3150" spans="1:18">
      <c r="A3150">
        <f t="shared" si="82"/>
        <v>3149</v>
      </c>
      <c r="B3150" t="str">
        <f t="shared" si="81"/>
        <v>Blount 1982</v>
      </c>
      <c r="C3150">
        <v>407.15</v>
      </c>
      <c r="D3150">
        <v>908</v>
      </c>
      <c r="E3150">
        <v>5.5100000000000003E-2</v>
      </c>
      <c r="K3150">
        <v>6.463E-3</v>
      </c>
      <c r="R3150">
        <f t="shared" si="80"/>
        <v>1</v>
      </c>
    </row>
    <row r="3151" spans="1:18">
      <c r="A3151">
        <f t="shared" si="82"/>
        <v>3150</v>
      </c>
      <c r="B3151" t="str">
        <f t="shared" si="81"/>
        <v>Blount 1982</v>
      </c>
      <c r="C3151">
        <v>407.15</v>
      </c>
      <c r="D3151">
        <v>717</v>
      </c>
      <c r="E3151">
        <v>5.5100000000000003E-2</v>
      </c>
      <c r="K3151">
        <v>5.8760000000000001E-3</v>
      </c>
      <c r="R3151">
        <f t="shared" si="80"/>
        <v>1</v>
      </c>
    </row>
    <row r="3152" spans="1:18">
      <c r="A3152">
        <f t="shared" si="82"/>
        <v>3151</v>
      </c>
      <c r="B3152" t="str">
        <f t="shared" si="81"/>
        <v>Blount 1982</v>
      </c>
      <c r="C3152">
        <v>407.15</v>
      </c>
      <c r="D3152">
        <v>717</v>
      </c>
      <c r="E3152">
        <v>5.5100000000000003E-2</v>
      </c>
      <c r="K3152">
        <v>5.3280000000000003E-3</v>
      </c>
      <c r="R3152">
        <f t="shared" si="80"/>
        <v>1</v>
      </c>
    </row>
    <row r="3153" spans="1:18">
      <c r="A3153">
        <f t="shared" si="82"/>
        <v>3152</v>
      </c>
      <c r="B3153" t="str">
        <f t="shared" si="81"/>
        <v>Blount 1982</v>
      </c>
      <c r="C3153">
        <v>406.65</v>
      </c>
      <c r="D3153">
        <v>716</v>
      </c>
      <c r="E3153">
        <v>5.5100000000000003E-2</v>
      </c>
      <c r="K3153">
        <v>5.6680000000000003E-3</v>
      </c>
      <c r="R3153">
        <f t="shared" si="80"/>
        <v>1</v>
      </c>
    </row>
    <row r="3154" spans="1:18">
      <c r="A3154">
        <f t="shared" si="82"/>
        <v>3153</v>
      </c>
      <c r="B3154" t="str">
        <f t="shared" si="81"/>
        <v>Blount 1982</v>
      </c>
      <c r="C3154">
        <v>406.65</v>
      </c>
      <c r="D3154">
        <v>716</v>
      </c>
      <c r="E3154">
        <v>5.5100000000000003E-2</v>
      </c>
      <c r="K3154">
        <v>5.3280000000000003E-3</v>
      </c>
      <c r="R3154">
        <f t="shared" si="80"/>
        <v>1</v>
      </c>
    </row>
    <row r="3155" spans="1:18">
      <c r="A3155">
        <f t="shared" si="82"/>
        <v>3154</v>
      </c>
      <c r="B3155" t="str">
        <f t="shared" si="81"/>
        <v>Blount 1982</v>
      </c>
      <c r="C3155">
        <v>407.43</v>
      </c>
      <c r="D3155">
        <v>498</v>
      </c>
      <c r="E3155">
        <v>5.5100000000000003E-2</v>
      </c>
      <c r="K3155">
        <v>4.4530000000000004E-3</v>
      </c>
      <c r="R3155">
        <f t="shared" si="80"/>
        <v>1</v>
      </c>
    </row>
    <row r="3156" spans="1:18">
      <c r="A3156">
        <f t="shared" si="82"/>
        <v>3155</v>
      </c>
      <c r="B3156" t="str">
        <f t="shared" si="81"/>
        <v>Blount 1982</v>
      </c>
      <c r="C3156">
        <v>406.93</v>
      </c>
      <c r="D3156">
        <v>501</v>
      </c>
      <c r="E3156">
        <v>5.5100000000000003E-2</v>
      </c>
      <c r="K3156">
        <v>4.3350000000000003E-3</v>
      </c>
      <c r="R3156">
        <f t="shared" si="80"/>
        <v>1</v>
      </c>
    </row>
    <row r="3157" spans="1:18">
      <c r="A3157">
        <f t="shared" si="82"/>
        <v>3156</v>
      </c>
      <c r="B3157" t="str">
        <f t="shared" si="81"/>
        <v>Blount 1982</v>
      </c>
      <c r="C3157">
        <v>406.93</v>
      </c>
      <c r="D3157">
        <v>501</v>
      </c>
      <c r="E3157">
        <v>5.5100000000000003E-2</v>
      </c>
      <c r="K3157">
        <v>4.6360000000000004E-3</v>
      </c>
      <c r="R3157">
        <f t="shared" si="80"/>
        <v>1</v>
      </c>
    </row>
    <row r="3158" spans="1:18">
      <c r="A3158">
        <f t="shared" si="82"/>
        <v>3157</v>
      </c>
      <c r="B3158" t="str">
        <f t="shared" si="81"/>
        <v>Blount 1982</v>
      </c>
      <c r="C3158">
        <v>407.15</v>
      </c>
      <c r="D3158">
        <v>526</v>
      </c>
      <c r="E3158">
        <v>5.5100000000000003E-2</v>
      </c>
      <c r="K3158">
        <v>4.7010000000000003E-3</v>
      </c>
      <c r="R3158">
        <f t="shared" si="80"/>
        <v>1</v>
      </c>
    </row>
    <row r="3159" spans="1:18">
      <c r="A3159">
        <f t="shared" si="82"/>
        <v>3158</v>
      </c>
      <c r="B3159" t="str">
        <f t="shared" si="81"/>
        <v>Blount 1982</v>
      </c>
      <c r="C3159">
        <v>407.15</v>
      </c>
      <c r="D3159">
        <v>526</v>
      </c>
      <c r="E3159">
        <v>5.5100000000000003E-2</v>
      </c>
      <c r="K3159">
        <v>4.5710000000000004E-3</v>
      </c>
      <c r="R3159">
        <f t="shared" si="80"/>
        <v>1</v>
      </c>
    </row>
    <row r="3160" spans="1:18">
      <c r="A3160">
        <f t="shared" si="82"/>
        <v>3159</v>
      </c>
      <c r="B3160" t="str">
        <f t="shared" si="81"/>
        <v>Blount 1982</v>
      </c>
      <c r="C3160">
        <v>407.65</v>
      </c>
      <c r="D3160">
        <v>355</v>
      </c>
      <c r="E3160">
        <v>5.5100000000000003E-2</v>
      </c>
      <c r="K3160">
        <v>4.0210000000000003E-3</v>
      </c>
      <c r="R3160">
        <f t="shared" si="80"/>
        <v>1</v>
      </c>
    </row>
    <row r="3161" spans="1:18">
      <c r="A3161">
        <f t="shared" si="82"/>
        <v>3160</v>
      </c>
      <c r="B3161" t="str">
        <f t="shared" si="81"/>
        <v>Blount 1982</v>
      </c>
      <c r="C3161">
        <v>407.15</v>
      </c>
      <c r="D3161">
        <v>356</v>
      </c>
      <c r="E3161">
        <v>5.5100000000000003E-2</v>
      </c>
      <c r="K3161">
        <v>3.7069999999999998E-3</v>
      </c>
      <c r="R3161">
        <f t="shared" si="80"/>
        <v>1</v>
      </c>
    </row>
    <row r="3162" spans="1:18">
      <c r="A3162">
        <f t="shared" si="82"/>
        <v>3161</v>
      </c>
      <c r="B3162" t="str">
        <f t="shared" si="81"/>
        <v>Blount 1982</v>
      </c>
      <c r="C3162">
        <v>407.43</v>
      </c>
      <c r="D3162">
        <v>354</v>
      </c>
      <c r="E3162">
        <v>5.5100000000000003E-2</v>
      </c>
      <c r="K3162">
        <v>3.7590000000000002E-3</v>
      </c>
      <c r="R3162">
        <f t="shared" si="80"/>
        <v>1</v>
      </c>
    </row>
    <row r="3163" spans="1:18">
      <c r="A3163">
        <f t="shared" si="82"/>
        <v>3162</v>
      </c>
      <c r="B3163" t="str">
        <f t="shared" si="81"/>
        <v>Blount 1982</v>
      </c>
      <c r="C3163">
        <v>407.43</v>
      </c>
      <c r="D3163">
        <v>354</v>
      </c>
      <c r="E3163">
        <v>5.5100000000000003E-2</v>
      </c>
      <c r="K3163">
        <v>4.0870000000000004E-3</v>
      </c>
      <c r="R3163">
        <f t="shared" si="80"/>
        <v>1</v>
      </c>
    </row>
    <row r="3164" spans="1:18">
      <c r="A3164">
        <f t="shared" si="82"/>
        <v>3163</v>
      </c>
      <c r="B3164" t="str">
        <f t="shared" si="81"/>
        <v>Blount 1982</v>
      </c>
      <c r="C3164">
        <v>407.15</v>
      </c>
      <c r="D3164">
        <v>250</v>
      </c>
      <c r="E3164">
        <v>5.5100000000000003E-2</v>
      </c>
      <c r="K3164">
        <v>3.091E-3</v>
      </c>
      <c r="R3164">
        <f t="shared" si="80"/>
        <v>1</v>
      </c>
    </row>
    <row r="3165" spans="1:18">
      <c r="A3165">
        <f t="shared" si="82"/>
        <v>3164</v>
      </c>
      <c r="B3165" t="str">
        <f t="shared" si="81"/>
        <v>Blount 1982</v>
      </c>
      <c r="C3165">
        <v>407.15</v>
      </c>
      <c r="D3165">
        <v>250</v>
      </c>
      <c r="E3165">
        <v>5.5100000000000003E-2</v>
      </c>
      <c r="K3165">
        <v>3.3140000000000001E-3</v>
      </c>
      <c r="R3165">
        <f t="shared" si="80"/>
        <v>1</v>
      </c>
    </row>
    <row r="3166" spans="1:18">
      <c r="A3166">
        <f t="shared" si="82"/>
        <v>3165</v>
      </c>
      <c r="B3166" t="str">
        <f t="shared" si="81"/>
        <v>Blount 1982</v>
      </c>
      <c r="C3166">
        <v>407.65</v>
      </c>
      <c r="D3166">
        <v>155</v>
      </c>
      <c r="E3166">
        <v>5.5100000000000003E-2</v>
      </c>
      <c r="K3166">
        <v>2.4220000000000001E-3</v>
      </c>
      <c r="R3166">
        <f t="shared" si="80"/>
        <v>1</v>
      </c>
    </row>
    <row r="3167" spans="1:18">
      <c r="A3167">
        <f t="shared" si="82"/>
        <v>3166</v>
      </c>
      <c r="B3167" t="str">
        <f t="shared" si="81"/>
        <v>Blount 1982</v>
      </c>
      <c r="C3167">
        <v>407.65</v>
      </c>
      <c r="D3167">
        <v>155</v>
      </c>
      <c r="E3167">
        <v>5.5100000000000003E-2</v>
      </c>
      <c r="K3167">
        <v>2.7109999999999999E-3</v>
      </c>
      <c r="R3167">
        <f t="shared" si="80"/>
        <v>1</v>
      </c>
    </row>
    <row r="3168" spans="1:18">
      <c r="A3168">
        <f t="shared" si="82"/>
        <v>3167</v>
      </c>
      <c r="B3168" t="str">
        <f t="shared" si="81"/>
        <v>Blount 1982</v>
      </c>
      <c r="C3168">
        <v>408.15</v>
      </c>
      <c r="D3168">
        <v>1112</v>
      </c>
      <c r="E3168">
        <v>0.92249999999999999</v>
      </c>
      <c r="K3168">
        <v>6.7210000000000004E-3</v>
      </c>
      <c r="R3168">
        <f t="shared" si="80"/>
        <v>1</v>
      </c>
    </row>
    <row r="3169" spans="1:18">
      <c r="A3169">
        <f t="shared" si="82"/>
        <v>3168</v>
      </c>
      <c r="B3169" t="str">
        <f t="shared" si="81"/>
        <v>Blount 1982</v>
      </c>
      <c r="C3169">
        <v>407.87</v>
      </c>
      <c r="D3169">
        <v>1116</v>
      </c>
      <c r="E3169">
        <v>0.92249999999999999</v>
      </c>
      <c r="K3169">
        <v>6.2839999999999997E-3</v>
      </c>
      <c r="R3169">
        <f t="shared" si="80"/>
        <v>1</v>
      </c>
    </row>
    <row r="3170" spans="1:18">
      <c r="A3170">
        <f t="shared" si="82"/>
        <v>3169</v>
      </c>
      <c r="B3170" t="str">
        <f t="shared" si="81"/>
        <v>Blount 1982</v>
      </c>
      <c r="C3170">
        <v>407.87</v>
      </c>
      <c r="D3170">
        <v>1116</v>
      </c>
      <c r="E3170">
        <v>0.92249999999999999</v>
      </c>
      <c r="K3170">
        <v>6.6249999999999998E-3</v>
      </c>
      <c r="R3170">
        <f t="shared" si="80"/>
        <v>1</v>
      </c>
    </row>
    <row r="3171" spans="1:18">
      <c r="A3171">
        <f t="shared" si="82"/>
        <v>3170</v>
      </c>
      <c r="B3171" t="str">
        <f t="shared" si="81"/>
        <v>Blount 1982</v>
      </c>
      <c r="C3171">
        <v>408.15</v>
      </c>
      <c r="D3171">
        <v>907</v>
      </c>
      <c r="E3171">
        <v>0.92249999999999999</v>
      </c>
      <c r="K3171">
        <v>5.5449999999999996E-3</v>
      </c>
      <c r="R3171">
        <f t="shared" si="80"/>
        <v>1</v>
      </c>
    </row>
    <row r="3172" spans="1:18">
      <c r="A3172">
        <f t="shared" si="82"/>
        <v>3171</v>
      </c>
      <c r="B3172" t="str">
        <f t="shared" si="81"/>
        <v>Blount 1982</v>
      </c>
      <c r="C3172">
        <v>408.15</v>
      </c>
      <c r="D3172">
        <v>913</v>
      </c>
      <c r="E3172">
        <v>0.92249999999999999</v>
      </c>
      <c r="K3172">
        <v>5.6820000000000004E-3</v>
      </c>
      <c r="R3172">
        <f t="shared" si="80"/>
        <v>1</v>
      </c>
    </row>
    <row r="3173" spans="1:18">
      <c r="A3173">
        <f t="shared" si="82"/>
        <v>3172</v>
      </c>
      <c r="B3173" t="str">
        <f t="shared" si="81"/>
        <v>Blount 1982</v>
      </c>
      <c r="C3173">
        <v>408.15</v>
      </c>
      <c r="D3173">
        <v>913</v>
      </c>
      <c r="E3173">
        <v>0.92249999999999999</v>
      </c>
      <c r="K3173">
        <v>5.3400000000000001E-3</v>
      </c>
      <c r="R3173">
        <f t="shared" si="80"/>
        <v>1</v>
      </c>
    </row>
    <row r="3174" spans="1:18">
      <c r="A3174">
        <f t="shared" si="82"/>
        <v>3173</v>
      </c>
      <c r="B3174" t="str">
        <f t="shared" si="81"/>
        <v>Blount 1982</v>
      </c>
      <c r="C3174">
        <v>407.87</v>
      </c>
      <c r="D3174">
        <v>712</v>
      </c>
      <c r="E3174">
        <v>0.92249999999999999</v>
      </c>
      <c r="K3174">
        <v>5.0800000000000003E-3</v>
      </c>
      <c r="R3174">
        <f t="shared" si="80"/>
        <v>1</v>
      </c>
    </row>
    <row r="3175" spans="1:18">
      <c r="A3175">
        <f t="shared" si="82"/>
        <v>3174</v>
      </c>
      <c r="B3175" t="str">
        <f t="shared" si="81"/>
        <v>Blount 1982</v>
      </c>
      <c r="C3175">
        <v>407.87</v>
      </c>
      <c r="D3175">
        <v>712</v>
      </c>
      <c r="E3175">
        <v>0.92249999999999999</v>
      </c>
      <c r="K3175">
        <v>5.2989999999999999E-3</v>
      </c>
      <c r="R3175">
        <f t="shared" si="80"/>
        <v>1</v>
      </c>
    </row>
    <row r="3176" spans="1:18">
      <c r="A3176">
        <f t="shared" si="82"/>
        <v>3175</v>
      </c>
      <c r="B3176" t="str">
        <f t="shared" si="81"/>
        <v>Blount 1982</v>
      </c>
      <c r="C3176">
        <v>406.93</v>
      </c>
      <c r="D3176">
        <v>485</v>
      </c>
      <c r="E3176">
        <v>0.92249999999999999</v>
      </c>
      <c r="K3176">
        <v>4.052E-3</v>
      </c>
      <c r="R3176">
        <f t="shared" si="80"/>
        <v>1</v>
      </c>
    </row>
    <row r="3177" spans="1:18">
      <c r="A3177">
        <f t="shared" si="82"/>
        <v>3176</v>
      </c>
      <c r="B3177" t="str">
        <f t="shared" si="81"/>
        <v>Blount 1982</v>
      </c>
      <c r="C3177">
        <v>406.93</v>
      </c>
      <c r="D3177">
        <v>485</v>
      </c>
      <c r="E3177">
        <v>0.92249999999999999</v>
      </c>
      <c r="K3177">
        <v>3.8730000000000001E-3</v>
      </c>
      <c r="R3177">
        <f t="shared" si="80"/>
        <v>1</v>
      </c>
    </row>
    <row r="3178" spans="1:18">
      <c r="A3178">
        <f t="shared" si="82"/>
        <v>3177</v>
      </c>
      <c r="B3178" t="str">
        <f t="shared" si="81"/>
        <v>Blount 1982</v>
      </c>
      <c r="C3178">
        <v>406.48</v>
      </c>
      <c r="D3178">
        <v>485</v>
      </c>
      <c r="E3178">
        <v>0.92249999999999999</v>
      </c>
      <c r="K3178">
        <v>3.9690000000000003E-3</v>
      </c>
      <c r="R3178">
        <f t="shared" si="80"/>
        <v>1</v>
      </c>
    </row>
    <row r="3179" spans="1:18">
      <c r="A3179">
        <f t="shared" si="82"/>
        <v>3178</v>
      </c>
      <c r="B3179" t="str">
        <f t="shared" si="81"/>
        <v>Blount 1982</v>
      </c>
      <c r="C3179">
        <v>406.48</v>
      </c>
      <c r="D3179">
        <v>485</v>
      </c>
      <c r="E3179">
        <v>0.92249999999999999</v>
      </c>
      <c r="K3179">
        <v>4.1060000000000003E-3</v>
      </c>
      <c r="R3179">
        <f t="shared" si="80"/>
        <v>1</v>
      </c>
    </row>
    <row r="3180" spans="1:18">
      <c r="A3180">
        <f t="shared" si="82"/>
        <v>3179</v>
      </c>
      <c r="B3180" t="str">
        <f t="shared" si="81"/>
        <v>Blount 1982</v>
      </c>
      <c r="C3180">
        <v>406.93</v>
      </c>
      <c r="D3180">
        <v>349</v>
      </c>
      <c r="E3180">
        <v>0.92249999999999999</v>
      </c>
      <c r="K3180">
        <v>3.2820000000000002E-3</v>
      </c>
      <c r="R3180">
        <f t="shared" si="80"/>
        <v>1</v>
      </c>
    </row>
    <row r="3181" spans="1:18">
      <c r="A3181">
        <f t="shared" si="82"/>
        <v>3180</v>
      </c>
      <c r="B3181" t="str">
        <f t="shared" si="81"/>
        <v>Blount 1982</v>
      </c>
      <c r="C3181">
        <v>406.93</v>
      </c>
      <c r="D3181">
        <v>349</v>
      </c>
      <c r="E3181">
        <v>0.92249999999999999</v>
      </c>
      <c r="K3181">
        <v>3.2959999999999999E-3</v>
      </c>
      <c r="R3181">
        <f t="shared" si="80"/>
        <v>1</v>
      </c>
    </row>
    <row r="3182" spans="1:18">
      <c r="A3182">
        <f t="shared" si="82"/>
        <v>3181</v>
      </c>
      <c r="B3182" t="str">
        <f t="shared" si="81"/>
        <v>Blount 1982</v>
      </c>
      <c r="C3182">
        <v>406.93</v>
      </c>
      <c r="D3182">
        <v>246</v>
      </c>
      <c r="E3182">
        <v>0.92249999999999999</v>
      </c>
      <c r="K3182">
        <v>2.7599999999999999E-3</v>
      </c>
      <c r="R3182">
        <f t="shared" ref="R3182:R3245" si="83">R3181</f>
        <v>1</v>
      </c>
    </row>
    <row r="3183" spans="1:18">
      <c r="A3183">
        <f t="shared" si="82"/>
        <v>3182</v>
      </c>
      <c r="B3183" t="str">
        <f t="shared" si="81"/>
        <v>Blount 1982</v>
      </c>
      <c r="C3183">
        <v>406.93</v>
      </c>
      <c r="D3183">
        <v>246</v>
      </c>
      <c r="E3183">
        <v>0.92249999999999999</v>
      </c>
      <c r="K3183">
        <v>2.774E-3</v>
      </c>
      <c r="R3183">
        <f t="shared" si="83"/>
        <v>1</v>
      </c>
    </row>
    <row r="3184" spans="1:18">
      <c r="A3184">
        <f t="shared" si="82"/>
        <v>3183</v>
      </c>
      <c r="B3184" t="str">
        <f t="shared" si="81"/>
        <v>Blount 1982</v>
      </c>
      <c r="C3184">
        <v>406.65</v>
      </c>
      <c r="D3184">
        <v>139</v>
      </c>
      <c r="E3184">
        <v>0.92249999999999999</v>
      </c>
      <c r="K3184">
        <v>1.823E-3</v>
      </c>
      <c r="R3184">
        <f t="shared" si="83"/>
        <v>1</v>
      </c>
    </row>
    <row r="3185" spans="1:18">
      <c r="A3185">
        <f t="shared" si="82"/>
        <v>3184</v>
      </c>
      <c r="B3185" t="str">
        <f t="shared" si="81"/>
        <v>Blount 1982</v>
      </c>
      <c r="C3185">
        <v>406.65</v>
      </c>
      <c r="D3185">
        <v>139</v>
      </c>
      <c r="E3185">
        <v>0.92249999999999999</v>
      </c>
      <c r="K3185">
        <v>1.7539999999999999E-3</v>
      </c>
      <c r="R3185">
        <f t="shared" si="83"/>
        <v>1</v>
      </c>
    </row>
    <row r="3186" spans="1:18">
      <c r="A3186">
        <f t="shared" si="82"/>
        <v>3185</v>
      </c>
      <c r="B3186" t="str">
        <f t="shared" si="81"/>
        <v>Blount 1982</v>
      </c>
      <c r="C3186">
        <v>408.15</v>
      </c>
      <c r="D3186">
        <v>1311</v>
      </c>
      <c r="E3186">
        <v>2.0272000000000001</v>
      </c>
      <c r="K3186">
        <v>5.3220000000000003E-3</v>
      </c>
      <c r="R3186">
        <f t="shared" si="83"/>
        <v>1</v>
      </c>
    </row>
    <row r="3187" spans="1:18">
      <c r="A3187">
        <f t="shared" si="82"/>
        <v>3186</v>
      </c>
      <c r="B3187" t="str">
        <f t="shared" si="81"/>
        <v>Blount 1982</v>
      </c>
      <c r="C3187">
        <v>408.15</v>
      </c>
      <c r="D3187">
        <v>1311</v>
      </c>
      <c r="E3187">
        <v>2.0272000000000001</v>
      </c>
      <c r="K3187">
        <v>5.365E-3</v>
      </c>
      <c r="R3187">
        <f t="shared" si="83"/>
        <v>1</v>
      </c>
    </row>
    <row r="3188" spans="1:18">
      <c r="A3188">
        <f t="shared" si="82"/>
        <v>3187</v>
      </c>
      <c r="B3188" t="str">
        <f t="shared" si="81"/>
        <v>Blount 1982</v>
      </c>
      <c r="C3188">
        <v>408.15</v>
      </c>
      <c r="D3188">
        <v>1122</v>
      </c>
      <c r="E3188">
        <v>2.0272000000000001</v>
      </c>
      <c r="K3188">
        <v>4.7270000000000003E-3</v>
      </c>
      <c r="R3188">
        <f t="shared" si="83"/>
        <v>1</v>
      </c>
    </row>
    <row r="3189" spans="1:18">
      <c r="A3189">
        <f t="shared" si="82"/>
        <v>3188</v>
      </c>
      <c r="B3189" t="str">
        <f t="shared" si="81"/>
        <v>Blount 1982</v>
      </c>
      <c r="C3189">
        <v>408.15</v>
      </c>
      <c r="D3189">
        <v>1122</v>
      </c>
      <c r="E3189">
        <v>2.0272000000000001</v>
      </c>
      <c r="K3189">
        <v>4.6540000000000002E-3</v>
      </c>
      <c r="R3189">
        <f t="shared" si="83"/>
        <v>1</v>
      </c>
    </row>
    <row r="3190" spans="1:18">
      <c r="A3190">
        <f t="shared" si="82"/>
        <v>3189</v>
      </c>
      <c r="B3190" t="str">
        <f t="shared" si="81"/>
        <v>Blount 1982</v>
      </c>
      <c r="C3190">
        <v>408.15</v>
      </c>
      <c r="D3190">
        <v>1114</v>
      </c>
      <c r="E3190">
        <v>2.0272000000000001</v>
      </c>
      <c r="K3190">
        <v>4.973E-3</v>
      </c>
      <c r="R3190">
        <f t="shared" si="83"/>
        <v>1</v>
      </c>
    </row>
    <row r="3191" spans="1:18">
      <c r="A3191">
        <f t="shared" si="82"/>
        <v>3190</v>
      </c>
      <c r="B3191" t="str">
        <f t="shared" si="81"/>
        <v>Blount 1982</v>
      </c>
      <c r="C3191">
        <v>408.15</v>
      </c>
      <c r="D3191">
        <v>1114</v>
      </c>
      <c r="E3191">
        <v>2.0272000000000001</v>
      </c>
      <c r="K3191">
        <v>5.4229999999999999E-3</v>
      </c>
      <c r="R3191">
        <f t="shared" si="83"/>
        <v>1</v>
      </c>
    </row>
    <row r="3192" spans="1:18">
      <c r="A3192">
        <f t="shared" si="82"/>
        <v>3191</v>
      </c>
      <c r="B3192" t="str">
        <f t="shared" si="81"/>
        <v>Blount 1982</v>
      </c>
      <c r="C3192">
        <v>408.15</v>
      </c>
      <c r="D3192">
        <v>1112</v>
      </c>
      <c r="E3192">
        <v>2.0272000000000001</v>
      </c>
      <c r="K3192">
        <v>5.5970000000000004E-3</v>
      </c>
      <c r="R3192">
        <f t="shared" si="83"/>
        <v>1</v>
      </c>
    </row>
    <row r="3193" spans="1:18">
      <c r="A3193">
        <f t="shared" si="82"/>
        <v>3192</v>
      </c>
      <c r="B3193" t="str">
        <f t="shared" si="81"/>
        <v>Blount 1982</v>
      </c>
      <c r="C3193">
        <v>408.15</v>
      </c>
      <c r="D3193">
        <v>1112</v>
      </c>
      <c r="E3193">
        <v>2.0272000000000001</v>
      </c>
      <c r="K3193">
        <v>5.5250000000000004E-3</v>
      </c>
      <c r="R3193">
        <f t="shared" si="83"/>
        <v>1</v>
      </c>
    </row>
    <row r="3194" spans="1:18">
      <c r="A3194">
        <f t="shared" si="82"/>
        <v>3193</v>
      </c>
      <c r="B3194" t="str">
        <f t="shared" si="81"/>
        <v>Blount 1982</v>
      </c>
      <c r="C3194">
        <v>408.43</v>
      </c>
      <c r="D3194">
        <v>908</v>
      </c>
      <c r="E3194">
        <v>2.0272000000000001</v>
      </c>
      <c r="K3194">
        <v>4.6109999999999996E-3</v>
      </c>
      <c r="R3194">
        <f t="shared" si="83"/>
        <v>1</v>
      </c>
    </row>
    <row r="3195" spans="1:18">
      <c r="A3195">
        <f t="shared" si="82"/>
        <v>3194</v>
      </c>
      <c r="B3195" t="str">
        <f t="shared" si="81"/>
        <v>Blount 1982</v>
      </c>
      <c r="C3195">
        <v>407.15</v>
      </c>
      <c r="D3195">
        <v>922</v>
      </c>
      <c r="E3195">
        <v>2.0272000000000001</v>
      </c>
      <c r="K3195">
        <v>4.3200000000000001E-3</v>
      </c>
      <c r="R3195">
        <f t="shared" si="83"/>
        <v>1</v>
      </c>
    </row>
    <row r="3196" spans="1:18">
      <c r="A3196">
        <f t="shared" si="82"/>
        <v>3195</v>
      </c>
      <c r="B3196" t="str">
        <f t="shared" ref="B3196:B3259" si="84">B3195</f>
        <v>Blount 1982</v>
      </c>
      <c r="C3196">
        <v>407.15</v>
      </c>
      <c r="D3196">
        <v>922</v>
      </c>
      <c r="E3196">
        <v>2.0272000000000001</v>
      </c>
      <c r="K3196">
        <v>4.4650000000000002E-3</v>
      </c>
      <c r="R3196">
        <f t="shared" si="83"/>
        <v>1</v>
      </c>
    </row>
    <row r="3197" spans="1:18">
      <c r="A3197">
        <f t="shared" si="82"/>
        <v>3196</v>
      </c>
      <c r="B3197" t="str">
        <f t="shared" si="84"/>
        <v>Blount 1982</v>
      </c>
      <c r="C3197">
        <v>407.87</v>
      </c>
      <c r="D3197">
        <v>903</v>
      </c>
      <c r="E3197">
        <v>2.0272000000000001</v>
      </c>
      <c r="K3197">
        <v>4.3639999999999998E-3</v>
      </c>
      <c r="R3197">
        <f t="shared" si="83"/>
        <v>1</v>
      </c>
    </row>
    <row r="3198" spans="1:18">
      <c r="A3198">
        <f t="shared" si="82"/>
        <v>3197</v>
      </c>
      <c r="B3198" t="str">
        <f t="shared" si="84"/>
        <v>Blount 1982</v>
      </c>
      <c r="C3198">
        <v>407.87</v>
      </c>
      <c r="D3198">
        <v>903</v>
      </c>
      <c r="E3198">
        <v>2.0272000000000001</v>
      </c>
      <c r="K3198">
        <v>4.3350000000000003E-3</v>
      </c>
      <c r="R3198">
        <f t="shared" si="83"/>
        <v>1</v>
      </c>
    </row>
    <row r="3199" spans="1:18">
      <c r="A3199">
        <f t="shared" si="82"/>
        <v>3198</v>
      </c>
      <c r="B3199" t="str">
        <f t="shared" si="84"/>
        <v>Blount 1982</v>
      </c>
      <c r="C3199">
        <v>407.87</v>
      </c>
      <c r="D3199">
        <v>914</v>
      </c>
      <c r="E3199">
        <v>2.0272000000000001</v>
      </c>
      <c r="K3199">
        <v>4.6979999999999999E-3</v>
      </c>
      <c r="R3199">
        <f t="shared" si="83"/>
        <v>1</v>
      </c>
    </row>
    <row r="3200" spans="1:18">
      <c r="A3200">
        <f t="shared" si="82"/>
        <v>3199</v>
      </c>
      <c r="B3200" t="str">
        <f t="shared" si="84"/>
        <v>Blount 1982</v>
      </c>
      <c r="C3200">
        <v>409.15</v>
      </c>
      <c r="D3200">
        <v>902</v>
      </c>
      <c r="E3200">
        <v>2.0272000000000001</v>
      </c>
      <c r="K3200">
        <v>4.5669999999999999E-3</v>
      </c>
      <c r="R3200">
        <f t="shared" si="83"/>
        <v>1</v>
      </c>
    </row>
    <row r="3201" spans="1:18">
      <c r="A3201">
        <f t="shared" si="82"/>
        <v>3200</v>
      </c>
      <c r="B3201" t="str">
        <f t="shared" si="84"/>
        <v>Blount 1982</v>
      </c>
      <c r="C3201">
        <v>409.15</v>
      </c>
      <c r="D3201">
        <v>902</v>
      </c>
      <c r="E3201">
        <v>2.0272000000000001</v>
      </c>
      <c r="K3201">
        <v>4.6540000000000002E-3</v>
      </c>
      <c r="R3201">
        <f t="shared" si="83"/>
        <v>1</v>
      </c>
    </row>
    <row r="3202" spans="1:18">
      <c r="A3202">
        <f t="shared" si="82"/>
        <v>3201</v>
      </c>
      <c r="B3202" t="str">
        <f t="shared" si="84"/>
        <v>Blount 1982</v>
      </c>
      <c r="C3202">
        <v>409.15</v>
      </c>
      <c r="D3202">
        <v>711</v>
      </c>
      <c r="E3202">
        <v>2.0272000000000001</v>
      </c>
      <c r="K3202">
        <v>4.4799999999999996E-3</v>
      </c>
      <c r="R3202">
        <f t="shared" si="83"/>
        <v>1</v>
      </c>
    </row>
    <row r="3203" spans="1:18">
      <c r="A3203">
        <f t="shared" si="82"/>
        <v>3202</v>
      </c>
      <c r="B3203" t="str">
        <f t="shared" si="84"/>
        <v>Blount 1982</v>
      </c>
      <c r="C3203">
        <v>409.15</v>
      </c>
      <c r="D3203">
        <v>711</v>
      </c>
      <c r="E3203">
        <v>2.0272000000000001</v>
      </c>
      <c r="K3203">
        <v>4.4070000000000003E-3</v>
      </c>
      <c r="R3203">
        <f t="shared" si="83"/>
        <v>1</v>
      </c>
    </row>
    <row r="3204" spans="1:18">
      <c r="A3204">
        <f t="shared" ref="A3204:A3267" si="85">A3203+1</f>
        <v>3203</v>
      </c>
      <c r="B3204" t="str">
        <f t="shared" si="84"/>
        <v>Blount 1982</v>
      </c>
      <c r="C3204">
        <v>407.65</v>
      </c>
      <c r="D3204">
        <v>498</v>
      </c>
      <c r="E3204">
        <v>2.0272000000000001</v>
      </c>
      <c r="K3204">
        <v>3.6800000000000001E-3</v>
      </c>
      <c r="R3204">
        <f t="shared" si="83"/>
        <v>1</v>
      </c>
    </row>
    <row r="3205" spans="1:18">
      <c r="A3205">
        <f t="shared" si="85"/>
        <v>3204</v>
      </c>
      <c r="B3205" t="str">
        <f t="shared" si="84"/>
        <v>Blount 1982</v>
      </c>
      <c r="C3205">
        <v>407.65</v>
      </c>
      <c r="D3205">
        <v>498</v>
      </c>
      <c r="E3205">
        <v>2.0272000000000001</v>
      </c>
      <c r="K3205">
        <v>3.6510000000000002E-3</v>
      </c>
      <c r="R3205">
        <f t="shared" si="83"/>
        <v>1</v>
      </c>
    </row>
    <row r="3206" spans="1:18">
      <c r="A3206">
        <f t="shared" si="85"/>
        <v>3205</v>
      </c>
      <c r="B3206" t="str">
        <f t="shared" si="84"/>
        <v>Blount 1982</v>
      </c>
      <c r="C3206">
        <v>407.87</v>
      </c>
      <c r="D3206">
        <v>512</v>
      </c>
      <c r="E3206">
        <v>2.0272000000000001</v>
      </c>
      <c r="K3206">
        <v>3.7820000000000002E-3</v>
      </c>
      <c r="R3206">
        <f t="shared" si="83"/>
        <v>1</v>
      </c>
    </row>
    <row r="3207" spans="1:18">
      <c r="A3207">
        <f t="shared" si="85"/>
        <v>3206</v>
      </c>
      <c r="B3207" t="str">
        <f t="shared" si="84"/>
        <v>Blount 1982</v>
      </c>
      <c r="C3207">
        <v>407.87</v>
      </c>
      <c r="D3207">
        <v>512</v>
      </c>
      <c r="E3207">
        <v>2.0272000000000001</v>
      </c>
      <c r="K3207">
        <v>3.898E-3</v>
      </c>
      <c r="R3207">
        <f t="shared" si="83"/>
        <v>1</v>
      </c>
    </row>
    <row r="3208" spans="1:18">
      <c r="A3208">
        <f t="shared" si="85"/>
        <v>3207</v>
      </c>
      <c r="B3208" t="str">
        <f t="shared" si="84"/>
        <v>Blount 1982</v>
      </c>
      <c r="C3208">
        <v>407.87</v>
      </c>
      <c r="D3208">
        <v>364</v>
      </c>
      <c r="E3208">
        <v>2.0272000000000001</v>
      </c>
      <c r="K3208">
        <v>2.777E-3</v>
      </c>
      <c r="R3208">
        <f t="shared" si="83"/>
        <v>1</v>
      </c>
    </row>
    <row r="3209" spans="1:18">
      <c r="A3209">
        <f t="shared" si="85"/>
        <v>3208</v>
      </c>
      <c r="B3209" t="str">
        <f t="shared" si="84"/>
        <v>Blount 1982</v>
      </c>
      <c r="C3209">
        <v>407.65</v>
      </c>
      <c r="D3209">
        <v>248</v>
      </c>
      <c r="E3209">
        <v>2.0272000000000001</v>
      </c>
      <c r="K3209">
        <v>2.4420000000000002E-3</v>
      </c>
      <c r="R3209">
        <f t="shared" si="83"/>
        <v>1</v>
      </c>
    </row>
    <row r="3210" spans="1:18">
      <c r="A3210">
        <f t="shared" si="85"/>
        <v>3209</v>
      </c>
      <c r="B3210" t="str">
        <f t="shared" si="84"/>
        <v>Blount 1982</v>
      </c>
      <c r="C3210">
        <v>407.65</v>
      </c>
      <c r="D3210">
        <v>248</v>
      </c>
      <c r="E3210">
        <v>2.0272000000000001</v>
      </c>
      <c r="K3210">
        <v>2.2520000000000001E-3</v>
      </c>
      <c r="R3210">
        <f t="shared" si="83"/>
        <v>1</v>
      </c>
    </row>
    <row r="3211" spans="1:18">
      <c r="A3211">
        <f t="shared" si="85"/>
        <v>3210</v>
      </c>
      <c r="B3211" t="str">
        <f t="shared" si="84"/>
        <v>Blount 1982</v>
      </c>
      <c r="C3211">
        <v>407.65</v>
      </c>
      <c r="D3211">
        <v>250</v>
      </c>
      <c r="E3211">
        <v>2.0272000000000001</v>
      </c>
      <c r="K3211">
        <v>2.5000000000000001E-3</v>
      </c>
      <c r="R3211">
        <f t="shared" si="83"/>
        <v>1</v>
      </c>
    </row>
    <row r="3212" spans="1:18">
      <c r="A3212">
        <f t="shared" si="85"/>
        <v>3211</v>
      </c>
      <c r="B3212" t="str">
        <f t="shared" si="84"/>
        <v>Blount 1982</v>
      </c>
      <c r="C3212">
        <v>407.65</v>
      </c>
      <c r="D3212">
        <v>250</v>
      </c>
      <c r="E3212">
        <v>2.0272000000000001</v>
      </c>
      <c r="K3212">
        <v>2.3400000000000001E-3</v>
      </c>
      <c r="R3212">
        <f t="shared" si="83"/>
        <v>1</v>
      </c>
    </row>
    <row r="3213" spans="1:18">
      <c r="A3213">
        <f t="shared" si="85"/>
        <v>3212</v>
      </c>
      <c r="B3213" t="str">
        <f t="shared" si="84"/>
        <v>Blount 1982</v>
      </c>
      <c r="C3213">
        <v>408.65</v>
      </c>
      <c r="D3213">
        <v>1313</v>
      </c>
      <c r="E3213">
        <v>2.0059</v>
      </c>
      <c r="K3213">
        <v>5.3449999999999999E-3</v>
      </c>
      <c r="R3213">
        <f t="shared" si="83"/>
        <v>1</v>
      </c>
    </row>
    <row r="3214" spans="1:18">
      <c r="A3214">
        <f t="shared" si="85"/>
        <v>3213</v>
      </c>
      <c r="B3214" t="str">
        <f t="shared" si="84"/>
        <v>Blount 1982</v>
      </c>
      <c r="C3214">
        <v>408.93</v>
      </c>
      <c r="D3214">
        <v>1319</v>
      </c>
      <c r="E3214">
        <v>2.0059</v>
      </c>
      <c r="K3214">
        <v>5.4169999999999999E-3</v>
      </c>
      <c r="R3214">
        <f t="shared" si="83"/>
        <v>1</v>
      </c>
    </row>
    <row r="3215" spans="1:18">
      <c r="A3215">
        <f t="shared" si="85"/>
        <v>3214</v>
      </c>
      <c r="B3215" t="str">
        <f t="shared" si="84"/>
        <v>Blount 1982</v>
      </c>
      <c r="C3215">
        <v>408.93</v>
      </c>
      <c r="D3215">
        <v>1319</v>
      </c>
      <c r="E3215">
        <v>2.0059</v>
      </c>
      <c r="K3215">
        <v>5.3449999999999999E-3</v>
      </c>
      <c r="R3215">
        <f t="shared" si="83"/>
        <v>1</v>
      </c>
    </row>
    <row r="3216" spans="1:18">
      <c r="A3216">
        <f t="shared" si="85"/>
        <v>3215</v>
      </c>
      <c r="B3216" t="str">
        <f t="shared" si="84"/>
        <v>Blount 1982</v>
      </c>
      <c r="C3216">
        <v>409.15</v>
      </c>
      <c r="D3216">
        <v>1099</v>
      </c>
      <c r="E3216">
        <v>2.0059</v>
      </c>
      <c r="K3216">
        <v>4.9389999999999998E-3</v>
      </c>
      <c r="R3216">
        <f t="shared" si="83"/>
        <v>1</v>
      </c>
    </row>
    <row r="3217" spans="1:18">
      <c r="A3217">
        <f t="shared" si="85"/>
        <v>3216</v>
      </c>
      <c r="B3217" t="str">
        <f t="shared" si="84"/>
        <v>Blount 1982</v>
      </c>
      <c r="C3217">
        <v>409.15</v>
      </c>
      <c r="D3217">
        <v>1099</v>
      </c>
      <c r="E3217">
        <v>2.0059</v>
      </c>
      <c r="K3217">
        <v>5.1130000000000004E-3</v>
      </c>
      <c r="R3217">
        <f t="shared" si="83"/>
        <v>1</v>
      </c>
    </row>
    <row r="3218" spans="1:18">
      <c r="A3218">
        <f t="shared" si="85"/>
        <v>3217</v>
      </c>
      <c r="B3218" t="str">
        <f t="shared" si="84"/>
        <v>Blount 1982</v>
      </c>
      <c r="C3218">
        <v>409.26</v>
      </c>
      <c r="D3218">
        <v>898</v>
      </c>
      <c r="E3218">
        <v>2.0059</v>
      </c>
      <c r="K3218">
        <v>4.3010000000000001E-3</v>
      </c>
      <c r="R3218">
        <f t="shared" si="83"/>
        <v>1</v>
      </c>
    </row>
    <row r="3219" spans="1:18">
      <c r="A3219">
        <f t="shared" si="85"/>
        <v>3218</v>
      </c>
      <c r="B3219" t="str">
        <f t="shared" si="84"/>
        <v>Blount 1982</v>
      </c>
      <c r="C3219">
        <v>409.26</v>
      </c>
      <c r="D3219">
        <v>898</v>
      </c>
      <c r="E3219">
        <v>2.0059</v>
      </c>
      <c r="K3219">
        <v>4.3299999999999996E-3</v>
      </c>
      <c r="R3219">
        <f t="shared" si="83"/>
        <v>1</v>
      </c>
    </row>
    <row r="3220" spans="1:18">
      <c r="A3220">
        <f t="shared" si="85"/>
        <v>3219</v>
      </c>
      <c r="B3220" t="str">
        <f t="shared" si="84"/>
        <v>Blount 1982</v>
      </c>
      <c r="C3220">
        <v>409.37</v>
      </c>
      <c r="D3220">
        <v>907</v>
      </c>
      <c r="E3220">
        <v>2.0059</v>
      </c>
      <c r="K3220">
        <v>4.4169999999999999E-3</v>
      </c>
      <c r="R3220">
        <f t="shared" si="83"/>
        <v>1</v>
      </c>
    </row>
    <row r="3221" spans="1:18">
      <c r="A3221">
        <f t="shared" si="85"/>
        <v>3220</v>
      </c>
      <c r="B3221" t="str">
        <f t="shared" si="84"/>
        <v>Blount 1982</v>
      </c>
      <c r="C3221">
        <v>409.37</v>
      </c>
      <c r="D3221">
        <v>907</v>
      </c>
      <c r="E3221">
        <v>2.0059</v>
      </c>
      <c r="K3221">
        <v>4.3010000000000001E-3</v>
      </c>
      <c r="R3221">
        <f t="shared" si="83"/>
        <v>1</v>
      </c>
    </row>
    <row r="3222" spans="1:18">
      <c r="A3222">
        <f t="shared" si="85"/>
        <v>3221</v>
      </c>
      <c r="B3222" t="str">
        <f t="shared" si="84"/>
        <v>Blount 1982</v>
      </c>
      <c r="C3222">
        <v>409.15</v>
      </c>
      <c r="D3222">
        <v>905</v>
      </c>
      <c r="E3222">
        <v>2.0059</v>
      </c>
      <c r="K3222">
        <v>4.3880000000000004E-3</v>
      </c>
      <c r="R3222">
        <f t="shared" si="83"/>
        <v>1</v>
      </c>
    </row>
    <row r="3223" spans="1:18">
      <c r="A3223">
        <f t="shared" si="85"/>
        <v>3222</v>
      </c>
      <c r="B3223" t="str">
        <f t="shared" si="84"/>
        <v>Blount 1982</v>
      </c>
      <c r="C3223">
        <v>409.37</v>
      </c>
      <c r="D3223">
        <v>484</v>
      </c>
      <c r="E3223">
        <v>2.0486</v>
      </c>
      <c r="K3223">
        <v>3.32E-3</v>
      </c>
      <c r="R3223">
        <f t="shared" si="83"/>
        <v>1</v>
      </c>
    </row>
    <row r="3224" spans="1:18">
      <c r="A3224">
        <f t="shared" si="85"/>
        <v>3223</v>
      </c>
      <c r="B3224" t="str">
        <f t="shared" si="84"/>
        <v>Blount 1982</v>
      </c>
      <c r="C3224">
        <v>409.37</v>
      </c>
      <c r="D3224">
        <v>487</v>
      </c>
      <c r="E3224">
        <v>2.0486</v>
      </c>
      <c r="K3224">
        <v>3.568E-3</v>
      </c>
      <c r="R3224">
        <f t="shared" si="83"/>
        <v>1</v>
      </c>
    </row>
    <row r="3225" spans="1:18">
      <c r="A3225">
        <f t="shared" si="85"/>
        <v>3224</v>
      </c>
      <c r="B3225" t="str">
        <f t="shared" si="84"/>
        <v>Blount 1982</v>
      </c>
      <c r="C3225">
        <v>409.37</v>
      </c>
      <c r="D3225">
        <v>487</v>
      </c>
      <c r="E3225">
        <v>2.0486</v>
      </c>
      <c r="K3225">
        <v>3.3340000000000002E-3</v>
      </c>
      <c r="R3225">
        <f t="shared" si="83"/>
        <v>1</v>
      </c>
    </row>
    <row r="3226" spans="1:18">
      <c r="A3226">
        <f t="shared" si="85"/>
        <v>3225</v>
      </c>
      <c r="B3226" t="str">
        <f t="shared" si="84"/>
        <v>Blount 1982</v>
      </c>
      <c r="C3226">
        <v>409.37</v>
      </c>
      <c r="D3226">
        <v>346</v>
      </c>
      <c r="E3226">
        <v>2.0486</v>
      </c>
      <c r="K3226">
        <v>2.8389999999999999E-3</v>
      </c>
      <c r="R3226">
        <f t="shared" si="83"/>
        <v>1</v>
      </c>
    </row>
    <row r="3227" spans="1:18">
      <c r="A3227">
        <f t="shared" si="85"/>
        <v>3226</v>
      </c>
      <c r="B3227" t="str">
        <f t="shared" si="84"/>
        <v>Blount 1982</v>
      </c>
      <c r="C3227">
        <v>409.37</v>
      </c>
      <c r="D3227">
        <v>346</v>
      </c>
      <c r="E3227">
        <v>2.0486</v>
      </c>
      <c r="K3227">
        <v>2.882E-3</v>
      </c>
      <c r="R3227">
        <f t="shared" si="83"/>
        <v>1</v>
      </c>
    </row>
    <row r="3228" spans="1:18">
      <c r="A3228">
        <f t="shared" si="85"/>
        <v>3227</v>
      </c>
      <c r="B3228" t="str">
        <f t="shared" si="84"/>
        <v>Blount 1982</v>
      </c>
      <c r="C3228">
        <v>409.15</v>
      </c>
      <c r="D3228">
        <v>355</v>
      </c>
      <c r="E3228">
        <v>2.0486</v>
      </c>
      <c r="K3228">
        <v>3.0430000000000001E-3</v>
      </c>
      <c r="R3228">
        <f t="shared" si="83"/>
        <v>1</v>
      </c>
    </row>
    <row r="3229" spans="1:18">
      <c r="A3229">
        <f t="shared" si="85"/>
        <v>3228</v>
      </c>
      <c r="B3229" t="str">
        <f t="shared" si="84"/>
        <v>Blount 1982</v>
      </c>
      <c r="C3229">
        <v>409.15</v>
      </c>
      <c r="D3229">
        <v>355</v>
      </c>
      <c r="E3229">
        <v>2.0486</v>
      </c>
      <c r="K3229">
        <v>3.0279999999999999E-3</v>
      </c>
      <c r="R3229">
        <f t="shared" si="83"/>
        <v>1</v>
      </c>
    </row>
    <row r="3230" spans="1:18">
      <c r="A3230">
        <f t="shared" si="85"/>
        <v>3229</v>
      </c>
      <c r="B3230" t="str">
        <f t="shared" si="84"/>
        <v>Blount 1982</v>
      </c>
      <c r="C3230">
        <v>409.15</v>
      </c>
      <c r="D3230">
        <v>355</v>
      </c>
      <c r="E3230">
        <v>2.0486</v>
      </c>
      <c r="K3230">
        <v>3.0279999999999999E-3</v>
      </c>
      <c r="R3230">
        <f t="shared" si="83"/>
        <v>1</v>
      </c>
    </row>
    <row r="3231" spans="1:18">
      <c r="A3231">
        <f t="shared" si="85"/>
        <v>3230</v>
      </c>
      <c r="B3231" t="str">
        <f t="shared" si="84"/>
        <v>Blount 1982</v>
      </c>
      <c r="C3231">
        <v>409.15</v>
      </c>
      <c r="D3231">
        <v>254</v>
      </c>
      <c r="E3231">
        <v>2.0486</v>
      </c>
      <c r="K3231">
        <v>2.2690000000000002E-3</v>
      </c>
      <c r="R3231">
        <f t="shared" si="83"/>
        <v>1</v>
      </c>
    </row>
    <row r="3232" spans="1:18">
      <c r="A3232">
        <f t="shared" si="85"/>
        <v>3231</v>
      </c>
      <c r="B3232" t="str">
        <f t="shared" si="84"/>
        <v>Blount 1982</v>
      </c>
      <c r="C3232">
        <v>409.26</v>
      </c>
      <c r="D3232">
        <v>232</v>
      </c>
      <c r="E3232">
        <v>2.0486</v>
      </c>
      <c r="K3232">
        <v>2.313E-3</v>
      </c>
      <c r="R3232">
        <f t="shared" si="83"/>
        <v>1</v>
      </c>
    </row>
    <row r="3233" spans="1:18">
      <c r="A3233">
        <f t="shared" si="85"/>
        <v>3232</v>
      </c>
      <c r="B3233" t="str">
        <f t="shared" si="84"/>
        <v>Blount 1982</v>
      </c>
      <c r="C3233">
        <v>409.26</v>
      </c>
      <c r="D3233">
        <v>232</v>
      </c>
      <c r="E3233">
        <v>2.0486</v>
      </c>
      <c r="K3233">
        <v>2.3570000000000002E-3</v>
      </c>
      <c r="R3233">
        <f t="shared" si="83"/>
        <v>1</v>
      </c>
    </row>
    <row r="3234" spans="1:18">
      <c r="A3234">
        <f t="shared" si="85"/>
        <v>3233</v>
      </c>
      <c r="B3234" t="str">
        <f t="shared" si="84"/>
        <v>Blount 1982</v>
      </c>
      <c r="C3234">
        <v>409.26</v>
      </c>
      <c r="D3234">
        <v>139</v>
      </c>
      <c r="E3234">
        <v>2.0442999999999998</v>
      </c>
      <c r="K3234">
        <v>1.64E-3</v>
      </c>
      <c r="R3234">
        <f t="shared" si="83"/>
        <v>1</v>
      </c>
    </row>
    <row r="3235" spans="1:18">
      <c r="A3235">
        <f t="shared" si="85"/>
        <v>3234</v>
      </c>
      <c r="B3235" t="str">
        <f t="shared" si="84"/>
        <v>Blount 1982</v>
      </c>
      <c r="C3235">
        <v>409.26</v>
      </c>
      <c r="D3235">
        <v>139</v>
      </c>
      <c r="E3235">
        <v>2.0442999999999998</v>
      </c>
      <c r="K3235">
        <v>1.64E-3</v>
      </c>
      <c r="R3235">
        <f t="shared" si="83"/>
        <v>1</v>
      </c>
    </row>
    <row r="3236" spans="1:18">
      <c r="A3236">
        <f t="shared" si="85"/>
        <v>3235</v>
      </c>
      <c r="B3236" t="str">
        <f t="shared" si="84"/>
        <v>Blount 1982</v>
      </c>
      <c r="C3236">
        <v>405.93</v>
      </c>
      <c r="D3236">
        <v>139</v>
      </c>
      <c r="E3236">
        <v>2.0442999999999998</v>
      </c>
      <c r="K3236">
        <v>1.567E-3</v>
      </c>
      <c r="R3236">
        <f t="shared" si="83"/>
        <v>1</v>
      </c>
    </row>
    <row r="3237" spans="1:18">
      <c r="A3237">
        <f t="shared" si="85"/>
        <v>3236</v>
      </c>
      <c r="B3237" t="str">
        <f t="shared" si="84"/>
        <v>Blount 1982</v>
      </c>
      <c r="C3237">
        <v>405.93</v>
      </c>
      <c r="D3237">
        <v>139</v>
      </c>
      <c r="E3237">
        <v>2.0442999999999998</v>
      </c>
      <c r="K3237">
        <v>1.4940000000000001E-3</v>
      </c>
      <c r="R3237">
        <f t="shared" si="83"/>
        <v>1</v>
      </c>
    </row>
    <row r="3238" spans="1:18">
      <c r="A3238">
        <f t="shared" si="85"/>
        <v>3237</v>
      </c>
      <c r="B3238" t="str">
        <f t="shared" si="84"/>
        <v>Blount 1982</v>
      </c>
      <c r="C3238">
        <v>408.15</v>
      </c>
      <c r="D3238">
        <v>1554</v>
      </c>
      <c r="E3238">
        <v>3.3348</v>
      </c>
      <c r="K3238">
        <v>5.5500000000000002E-3</v>
      </c>
      <c r="R3238">
        <f t="shared" si="83"/>
        <v>1</v>
      </c>
    </row>
    <row r="3239" spans="1:18">
      <c r="A3239">
        <f t="shared" si="85"/>
        <v>3238</v>
      </c>
      <c r="B3239" t="str">
        <f t="shared" si="84"/>
        <v>Blount 1982</v>
      </c>
      <c r="C3239">
        <v>408.15</v>
      </c>
      <c r="D3239">
        <v>1554</v>
      </c>
      <c r="E3239">
        <v>3.3348</v>
      </c>
      <c r="K3239">
        <v>5.411E-3</v>
      </c>
      <c r="R3239">
        <f t="shared" si="83"/>
        <v>1</v>
      </c>
    </row>
    <row r="3240" spans="1:18">
      <c r="A3240">
        <f t="shared" si="85"/>
        <v>3239</v>
      </c>
      <c r="B3240" t="str">
        <f t="shared" si="84"/>
        <v>Blount 1982</v>
      </c>
      <c r="C3240">
        <v>408.15</v>
      </c>
      <c r="D3240">
        <v>1536</v>
      </c>
      <c r="E3240">
        <v>3.2911999999999999</v>
      </c>
      <c r="K3240">
        <v>5.2760000000000003E-3</v>
      </c>
      <c r="R3240">
        <f t="shared" si="83"/>
        <v>1</v>
      </c>
    </row>
    <row r="3241" spans="1:18">
      <c r="A3241">
        <f t="shared" si="85"/>
        <v>3240</v>
      </c>
      <c r="B3241" t="str">
        <f t="shared" si="84"/>
        <v>Blount 1982</v>
      </c>
      <c r="C3241">
        <v>408.15</v>
      </c>
      <c r="D3241">
        <v>1541</v>
      </c>
      <c r="E3241">
        <v>3.2911999999999999</v>
      </c>
      <c r="K3241">
        <v>5.5849999999999997E-3</v>
      </c>
      <c r="R3241">
        <f t="shared" si="83"/>
        <v>1</v>
      </c>
    </row>
    <row r="3242" spans="1:18">
      <c r="A3242">
        <f t="shared" si="85"/>
        <v>3241</v>
      </c>
      <c r="B3242" t="str">
        <f t="shared" si="84"/>
        <v>Blount 1982</v>
      </c>
      <c r="C3242">
        <v>408.15</v>
      </c>
      <c r="D3242">
        <v>1547</v>
      </c>
      <c r="E3242">
        <v>3.2911999999999999</v>
      </c>
      <c r="K3242">
        <v>5.5230000000000001E-3</v>
      </c>
      <c r="R3242">
        <f t="shared" si="83"/>
        <v>1</v>
      </c>
    </row>
    <row r="3243" spans="1:18">
      <c r="A3243">
        <f t="shared" si="85"/>
        <v>3242</v>
      </c>
      <c r="B3243" t="str">
        <f t="shared" si="84"/>
        <v>Blount 1982</v>
      </c>
      <c r="C3243">
        <v>408.15</v>
      </c>
      <c r="D3243">
        <v>1312</v>
      </c>
      <c r="E3243">
        <v>3.2911999999999999</v>
      </c>
      <c r="K3243">
        <v>5.3379999999999999E-3</v>
      </c>
      <c r="R3243">
        <f t="shared" si="83"/>
        <v>1</v>
      </c>
    </row>
    <row r="3244" spans="1:18">
      <c r="A3244">
        <f t="shared" si="85"/>
        <v>3243</v>
      </c>
      <c r="B3244" t="str">
        <f t="shared" si="84"/>
        <v>Blount 1982</v>
      </c>
      <c r="C3244">
        <v>408.15</v>
      </c>
      <c r="D3244">
        <v>1324</v>
      </c>
      <c r="E3244">
        <v>3.2911999999999999</v>
      </c>
      <c r="K3244">
        <v>4.8440000000000002E-3</v>
      </c>
      <c r="R3244">
        <f t="shared" si="83"/>
        <v>1</v>
      </c>
    </row>
    <row r="3245" spans="1:18">
      <c r="A3245">
        <f t="shared" si="85"/>
        <v>3244</v>
      </c>
      <c r="B3245" t="str">
        <f t="shared" si="84"/>
        <v>Blount 1982</v>
      </c>
      <c r="C3245">
        <v>408.15</v>
      </c>
      <c r="D3245">
        <v>1324</v>
      </c>
      <c r="E3245">
        <v>3.2911999999999999</v>
      </c>
      <c r="K3245">
        <v>4.9670000000000001E-3</v>
      </c>
      <c r="R3245">
        <f t="shared" si="83"/>
        <v>1</v>
      </c>
    </row>
    <row r="3246" spans="1:18">
      <c r="A3246">
        <f t="shared" si="85"/>
        <v>3245</v>
      </c>
      <c r="B3246" t="str">
        <f t="shared" si="84"/>
        <v>Blount 1982</v>
      </c>
      <c r="C3246">
        <v>408.15</v>
      </c>
      <c r="D3246">
        <v>1114</v>
      </c>
      <c r="E3246">
        <v>3.2671000000000001</v>
      </c>
      <c r="K3246">
        <v>4.8069999999999996E-3</v>
      </c>
      <c r="R3246">
        <f t="shared" ref="R3246:R3309" si="86">R3245</f>
        <v>1</v>
      </c>
    </row>
    <row r="3247" spans="1:18">
      <c r="A3247">
        <f t="shared" si="85"/>
        <v>3246</v>
      </c>
      <c r="B3247" t="str">
        <f t="shared" si="84"/>
        <v>Blount 1982</v>
      </c>
      <c r="C3247">
        <v>408.15</v>
      </c>
      <c r="D3247">
        <v>1114</v>
      </c>
      <c r="E3247">
        <v>3.2671000000000001</v>
      </c>
      <c r="K3247">
        <v>5.0689999999999997E-3</v>
      </c>
      <c r="R3247">
        <f t="shared" si="86"/>
        <v>1</v>
      </c>
    </row>
    <row r="3248" spans="1:18">
      <c r="A3248">
        <f t="shared" si="85"/>
        <v>3247</v>
      </c>
      <c r="B3248" t="str">
        <f t="shared" si="84"/>
        <v>Blount 1982</v>
      </c>
      <c r="C3248">
        <v>408.65</v>
      </c>
      <c r="D3248">
        <v>912</v>
      </c>
      <c r="E3248">
        <v>3.3348</v>
      </c>
      <c r="K3248">
        <v>4.0480000000000004E-3</v>
      </c>
      <c r="R3248">
        <f t="shared" si="86"/>
        <v>1</v>
      </c>
    </row>
    <row r="3249" spans="1:18">
      <c r="A3249">
        <f t="shared" si="85"/>
        <v>3248</v>
      </c>
      <c r="B3249" t="str">
        <f t="shared" si="84"/>
        <v>Blount 1982</v>
      </c>
      <c r="C3249">
        <v>408.43</v>
      </c>
      <c r="D3249">
        <v>886</v>
      </c>
      <c r="E3249">
        <v>3.2671000000000001</v>
      </c>
      <c r="K3249">
        <v>4.267E-3</v>
      </c>
      <c r="R3249">
        <f t="shared" si="86"/>
        <v>1</v>
      </c>
    </row>
    <row r="3250" spans="1:18">
      <c r="A3250">
        <f t="shared" si="85"/>
        <v>3249</v>
      </c>
      <c r="B3250" t="str">
        <f t="shared" si="84"/>
        <v>Blount 1982</v>
      </c>
      <c r="C3250">
        <v>408.15</v>
      </c>
      <c r="D3250">
        <v>898</v>
      </c>
      <c r="E3250">
        <v>3.2671000000000001</v>
      </c>
      <c r="K3250">
        <v>4.5139999999999998E-3</v>
      </c>
      <c r="R3250">
        <f t="shared" si="86"/>
        <v>1</v>
      </c>
    </row>
    <row r="3251" spans="1:18">
      <c r="A3251">
        <f t="shared" si="85"/>
        <v>3250</v>
      </c>
      <c r="B3251" t="str">
        <f t="shared" si="84"/>
        <v>Blount 1982</v>
      </c>
      <c r="C3251">
        <v>408.15</v>
      </c>
      <c r="D3251">
        <v>898</v>
      </c>
      <c r="E3251">
        <v>3.2671000000000001</v>
      </c>
      <c r="K3251">
        <v>4.3290000000000004E-3</v>
      </c>
      <c r="R3251">
        <f t="shared" si="86"/>
        <v>1</v>
      </c>
    </row>
    <row r="3252" spans="1:18">
      <c r="A3252">
        <f t="shared" si="85"/>
        <v>3251</v>
      </c>
      <c r="B3252" t="str">
        <f t="shared" si="84"/>
        <v>Blount 1982</v>
      </c>
      <c r="C3252">
        <v>408.65</v>
      </c>
      <c r="D3252">
        <v>704</v>
      </c>
      <c r="E3252">
        <v>3.3348</v>
      </c>
      <c r="K3252">
        <v>3.862E-3</v>
      </c>
      <c r="R3252">
        <f t="shared" si="86"/>
        <v>1</v>
      </c>
    </row>
    <row r="3253" spans="1:18">
      <c r="A3253">
        <f t="shared" si="85"/>
        <v>3252</v>
      </c>
      <c r="B3253" t="str">
        <f t="shared" si="84"/>
        <v>Blount 1982</v>
      </c>
      <c r="C3253">
        <v>408.15</v>
      </c>
      <c r="D3253">
        <v>702</v>
      </c>
      <c r="E3253">
        <v>3.3348</v>
      </c>
      <c r="K3253">
        <v>3.8E-3</v>
      </c>
      <c r="R3253">
        <f t="shared" si="86"/>
        <v>1</v>
      </c>
    </row>
    <row r="3254" spans="1:18">
      <c r="A3254">
        <f t="shared" si="85"/>
        <v>3253</v>
      </c>
      <c r="B3254" t="str">
        <f t="shared" si="84"/>
        <v>Blount 1982</v>
      </c>
      <c r="C3254">
        <v>408.15</v>
      </c>
      <c r="D3254">
        <v>702</v>
      </c>
      <c r="E3254">
        <v>3.3348</v>
      </c>
      <c r="K3254">
        <v>4.2180000000000004E-3</v>
      </c>
      <c r="R3254">
        <f t="shared" si="86"/>
        <v>1</v>
      </c>
    </row>
    <row r="3255" spans="1:18">
      <c r="A3255">
        <f t="shared" si="85"/>
        <v>3254</v>
      </c>
      <c r="B3255" t="str">
        <f t="shared" si="84"/>
        <v>Blount 1982</v>
      </c>
      <c r="C3255">
        <v>408.43</v>
      </c>
      <c r="D3255">
        <v>700</v>
      </c>
      <c r="E3255">
        <v>3.2671000000000001</v>
      </c>
      <c r="K3255">
        <v>4.2199999999999998E-3</v>
      </c>
      <c r="R3255">
        <f t="shared" si="86"/>
        <v>1</v>
      </c>
    </row>
    <row r="3256" spans="1:18">
      <c r="A3256">
        <f t="shared" si="85"/>
        <v>3255</v>
      </c>
      <c r="B3256" t="str">
        <f t="shared" si="84"/>
        <v>Blount 1982</v>
      </c>
      <c r="C3256">
        <v>408.43</v>
      </c>
      <c r="D3256">
        <v>700</v>
      </c>
      <c r="E3256">
        <v>3.2671000000000001</v>
      </c>
      <c r="K3256">
        <v>3.7260000000000001E-3</v>
      </c>
      <c r="R3256">
        <f t="shared" si="86"/>
        <v>1</v>
      </c>
    </row>
    <row r="3257" spans="1:18">
      <c r="A3257">
        <f t="shared" si="85"/>
        <v>3256</v>
      </c>
      <c r="B3257" t="str">
        <f t="shared" si="84"/>
        <v>Blount 1982</v>
      </c>
      <c r="C3257">
        <v>408.15</v>
      </c>
      <c r="D3257">
        <v>492</v>
      </c>
      <c r="E3257">
        <v>3.2671000000000001</v>
      </c>
      <c r="K3257">
        <v>2.983E-3</v>
      </c>
      <c r="R3257">
        <f t="shared" si="86"/>
        <v>1</v>
      </c>
    </row>
    <row r="3258" spans="1:18">
      <c r="A3258">
        <f t="shared" si="85"/>
        <v>3257</v>
      </c>
      <c r="B3258" t="str">
        <f t="shared" si="84"/>
        <v>Blount 1982</v>
      </c>
      <c r="C3258">
        <v>408.15</v>
      </c>
      <c r="D3258">
        <v>492</v>
      </c>
      <c r="E3258">
        <v>3.2671000000000001</v>
      </c>
      <c r="K3258">
        <v>2.983E-3</v>
      </c>
      <c r="R3258">
        <f t="shared" si="86"/>
        <v>1</v>
      </c>
    </row>
    <row r="3259" spans="1:18">
      <c r="A3259">
        <f t="shared" si="85"/>
        <v>3258</v>
      </c>
      <c r="B3259" t="str">
        <f t="shared" si="84"/>
        <v>Blount 1982</v>
      </c>
      <c r="C3259">
        <v>408.43</v>
      </c>
      <c r="D3259">
        <v>356</v>
      </c>
      <c r="E3259">
        <v>3.2574000000000001</v>
      </c>
      <c r="K3259">
        <v>2.532E-3</v>
      </c>
      <c r="R3259">
        <f t="shared" si="86"/>
        <v>1</v>
      </c>
    </row>
    <row r="3260" spans="1:18">
      <c r="A3260">
        <f t="shared" si="85"/>
        <v>3259</v>
      </c>
      <c r="B3260" t="str">
        <f t="shared" ref="B3260:B3323" si="87">B3259</f>
        <v>Blount 1982</v>
      </c>
      <c r="C3260">
        <v>408.43</v>
      </c>
      <c r="D3260">
        <v>351</v>
      </c>
      <c r="E3260">
        <v>3.2574000000000001</v>
      </c>
      <c r="K3260">
        <v>2.47E-3</v>
      </c>
      <c r="R3260">
        <f t="shared" si="86"/>
        <v>1</v>
      </c>
    </row>
    <row r="3261" spans="1:18">
      <c r="A3261">
        <f t="shared" si="85"/>
        <v>3260</v>
      </c>
      <c r="B3261" t="str">
        <f t="shared" si="87"/>
        <v>Blount 1982</v>
      </c>
      <c r="C3261">
        <v>408.43</v>
      </c>
      <c r="D3261">
        <v>351</v>
      </c>
      <c r="E3261">
        <v>3.2574000000000001</v>
      </c>
      <c r="K3261">
        <v>2.4550000000000002E-3</v>
      </c>
      <c r="R3261">
        <f t="shared" si="86"/>
        <v>1</v>
      </c>
    </row>
    <row r="3262" spans="1:18">
      <c r="A3262">
        <f t="shared" si="85"/>
        <v>3261</v>
      </c>
      <c r="B3262" t="str">
        <f t="shared" si="87"/>
        <v>Blount 1982</v>
      </c>
      <c r="C3262">
        <v>408.15</v>
      </c>
      <c r="D3262">
        <v>246</v>
      </c>
      <c r="E3262">
        <v>3.2429999999999999</v>
      </c>
      <c r="K3262">
        <v>1.9109999999999999E-3</v>
      </c>
      <c r="R3262">
        <f t="shared" si="86"/>
        <v>1</v>
      </c>
    </row>
    <row r="3263" spans="1:18">
      <c r="A3263">
        <f t="shared" si="85"/>
        <v>3262</v>
      </c>
      <c r="B3263" t="str">
        <f t="shared" si="87"/>
        <v>Blount 1982</v>
      </c>
      <c r="C3263">
        <v>407.87</v>
      </c>
      <c r="D3263">
        <v>250</v>
      </c>
      <c r="E3263">
        <v>3.3445</v>
      </c>
      <c r="K3263">
        <v>1.936E-3</v>
      </c>
      <c r="R3263">
        <f t="shared" si="86"/>
        <v>1</v>
      </c>
    </row>
    <row r="3264" spans="1:18">
      <c r="A3264">
        <f t="shared" si="85"/>
        <v>3263</v>
      </c>
      <c r="B3264" t="str">
        <f t="shared" si="87"/>
        <v>Blount 1982</v>
      </c>
      <c r="C3264">
        <v>407.87</v>
      </c>
      <c r="D3264">
        <v>252</v>
      </c>
      <c r="E3264">
        <v>3.3445</v>
      </c>
      <c r="K3264">
        <v>2.434E-3</v>
      </c>
      <c r="R3264">
        <f t="shared" si="86"/>
        <v>1</v>
      </c>
    </row>
    <row r="3265" spans="1:18">
      <c r="A3265">
        <f t="shared" si="85"/>
        <v>3264</v>
      </c>
      <c r="B3265" t="str">
        <f t="shared" si="87"/>
        <v>Blount 1982</v>
      </c>
      <c r="C3265">
        <v>408.15</v>
      </c>
      <c r="D3265">
        <v>148</v>
      </c>
      <c r="E3265">
        <v>3.3445</v>
      </c>
      <c r="K3265">
        <v>1.4679999999999999E-3</v>
      </c>
      <c r="R3265">
        <f t="shared" si="86"/>
        <v>1</v>
      </c>
    </row>
    <row r="3266" spans="1:18">
      <c r="A3266">
        <f t="shared" si="85"/>
        <v>3265</v>
      </c>
      <c r="B3266" t="str">
        <f t="shared" si="87"/>
        <v>Blount 1982</v>
      </c>
      <c r="C3266">
        <v>408.15</v>
      </c>
      <c r="D3266">
        <v>148</v>
      </c>
      <c r="E3266">
        <v>3.3445</v>
      </c>
      <c r="K3266">
        <v>1.359E-3</v>
      </c>
      <c r="R3266">
        <f t="shared" si="86"/>
        <v>1</v>
      </c>
    </row>
    <row r="3267" spans="1:18">
      <c r="A3267">
        <f t="shared" si="85"/>
        <v>3266</v>
      </c>
      <c r="B3267" t="str">
        <f t="shared" si="87"/>
        <v>Blount 1982</v>
      </c>
      <c r="C3267">
        <v>407.87</v>
      </c>
      <c r="D3267">
        <v>158</v>
      </c>
      <c r="E3267">
        <v>3.3445</v>
      </c>
      <c r="K3267">
        <v>1.343E-3</v>
      </c>
      <c r="R3267">
        <f t="shared" si="86"/>
        <v>1</v>
      </c>
    </row>
    <row r="3268" spans="1:18">
      <c r="A3268">
        <f t="shared" ref="A3268:A3331" si="88">A3267+1</f>
        <v>3267</v>
      </c>
      <c r="B3268" t="str">
        <f t="shared" si="87"/>
        <v>Blount 1982</v>
      </c>
      <c r="C3268">
        <v>407.87</v>
      </c>
      <c r="D3268">
        <v>158</v>
      </c>
      <c r="E3268">
        <v>3.3445</v>
      </c>
      <c r="K3268">
        <v>1.655E-3</v>
      </c>
      <c r="R3268">
        <f t="shared" si="86"/>
        <v>1</v>
      </c>
    </row>
    <row r="3269" spans="1:18">
      <c r="A3269">
        <f t="shared" si="88"/>
        <v>3268</v>
      </c>
      <c r="B3269" t="str">
        <f t="shared" si="87"/>
        <v>Blount 1982</v>
      </c>
      <c r="C3269">
        <v>408.15</v>
      </c>
      <c r="D3269">
        <v>1316</v>
      </c>
      <c r="E3269">
        <v>4.9218000000000002</v>
      </c>
      <c r="K3269">
        <v>4.1029999999999999E-3</v>
      </c>
      <c r="R3269">
        <f t="shared" si="86"/>
        <v>1</v>
      </c>
    </row>
    <row r="3270" spans="1:18">
      <c r="A3270">
        <f t="shared" si="88"/>
        <v>3269</v>
      </c>
      <c r="B3270" t="str">
        <f t="shared" si="87"/>
        <v>Blount 1982</v>
      </c>
      <c r="C3270">
        <v>408.15</v>
      </c>
      <c r="D3270">
        <v>1316</v>
      </c>
      <c r="E3270">
        <v>4.9218000000000002</v>
      </c>
      <c r="K3270">
        <v>4.1200000000000004E-3</v>
      </c>
      <c r="R3270">
        <f t="shared" si="86"/>
        <v>1</v>
      </c>
    </row>
    <row r="3271" spans="1:18">
      <c r="A3271">
        <f t="shared" si="88"/>
        <v>3270</v>
      </c>
      <c r="B3271" t="str">
        <f t="shared" si="87"/>
        <v>Blount 1982</v>
      </c>
      <c r="C3271">
        <v>408.15</v>
      </c>
      <c r="D3271">
        <v>1326</v>
      </c>
      <c r="E3271">
        <v>4.9218000000000002</v>
      </c>
      <c r="K3271">
        <v>3.7699999999999999E-3</v>
      </c>
      <c r="R3271">
        <f t="shared" si="86"/>
        <v>1</v>
      </c>
    </row>
    <row r="3272" spans="1:18">
      <c r="A3272">
        <f t="shared" si="88"/>
        <v>3271</v>
      </c>
      <c r="B3272" t="str">
        <f t="shared" si="87"/>
        <v>Blount 1982</v>
      </c>
      <c r="C3272">
        <v>407.87</v>
      </c>
      <c r="D3272">
        <v>1322</v>
      </c>
      <c r="E3272">
        <v>4.9218000000000002</v>
      </c>
      <c r="K3272">
        <v>3.9529999999999999E-3</v>
      </c>
      <c r="R3272">
        <f t="shared" si="86"/>
        <v>1</v>
      </c>
    </row>
    <row r="3273" spans="1:18">
      <c r="A3273">
        <f t="shared" si="88"/>
        <v>3272</v>
      </c>
      <c r="B3273" t="str">
        <f t="shared" si="87"/>
        <v>Blount 1982</v>
      </c>
      <c r="C3273">
        <v>407.43</v>
      </c>
      <c r="D3273">
        <v>1315</v>
      </c>
      <c r="E3273">
        <v>5.0206</v>
      </c>
      <c r="K3273">
        <v>3.954E-3</v>
      </c>
      <c r="R3273">
        <f t="shared" si="86"/>
        <v>1</v>
      </c>
    </row>
    <row r="3274" spans="1:18">
      <c r="A3274">
        <f t="shared" si="88"/>
        <v>3273</v>
      </c>
      <c r="B3274" t="str">
        <f t="shared" si="87"/>
        <v>Blount 1982</v>
      </c>
      <c r="C3274">
        <v>407.43</v>
      </c>
      <c r="D3274">
        <v>1315</v>
      </c>
      <c r="E3274">
        <v>5.0206</v>
      </c>
      <c r="K3274">
        <v>3.803E-3</v>
      </c>
      <c r="R3274">
        <f t="shared" si="86"/>
        <v>1</v>
      </c>
    </row>
    <row r="3275" spans="1:18">
      <c r="A3275">
        <f t="shared" si="88"/>
        <v>3274</v>
      </c>
      <c r="B3275" t="str">
        <f t="shared" si="87"/>
        <v>Blount 1982</v>
      </c>
      <c r="C3275">
        <v>407.43</v>
      </c>
      <c r="D3275">
        <v>1315</v>
      </c>
      <c r="E3275">
        <v>5.0148999999999999</v>
      </c>
      <c r="K3275">
        <v>3.718E-3</v>
      </c>
      <c r="R3275">
        <f t="shared" si="86"/>
        <v>1</v>
      </c>
    </row>
    <row r="3276" spans="1:18">
      <c r="A3276">
        <f t="shared" si="88"/>
        <v>3275</v>
      </c>
      <c r="B3276" t="str">
        <f t="shared" si="87"/>
        <v>Blount 1982</v>
      </c>
      <c r="C3276">
        <v>407.43</v>
      </c>
      <c r="D3276">
        <v>1315</v>
      </c>
      <c r="E3276">
        <v>5.0148999999999999</v>
      </c>
      <c r="K3276">
        <v>4.1370000000000001E-3</v>
      </c>
      <c r="R3276">
        <f t="shared" si="86"/>
        <v>1</v>
      </c>
    </row>
    <row r="3277" spans="1:18">
      <c r="A3277">
        <f t="shared" si="88"/>
        <v>3276</v>
      </c>
      <c r="B3277" t="str">
        <f t="shared" si="87"/>
        <v>Blount 1982</v>
      </c>
      <c r="C3277">
        <v>407.43</v>
      </c>
      <c r="D3277">
        <v>1106</v>
      </c>
      <c r="E3277">
        <v>5.0007999999999999</v>
      </c>
      <c r="K3277">
        <v>3.7659999999999998E-3</v>
      </c>
      <c r="R3277">
        <f t="shared" si="86"/>
        <v>1</v>
      </c>
    </row>
    <row r="3278" spans="1:18">
      <c r="A3278">
        <f t="shared" si="88"/>
        <v>3277</v>
      </c>
      <c r="B3278" t="str">
        <f t="shared" si="87"/>
        <v>Blount 1982</v>
      </c>
      <c r="C3278">
        <v>407.43</v>
      </c>
      <c r="D3278">
        <v>1108</v>
      </c>
      <c r="E3278">
        <v>4.9611999999999998</v>
      </c>
      <c r="K3278">
        <v>3.9940000000000002E-3</v>
      </c>
      <c r="R3278">
        <f t="shared" si="86"/>
        <v>1</v>
      </c>
    </row>
    <row r="3279" spans="1:18">
      <c r="A3279">
        <f t="shared" si="88"/>
        <v>3278</v>
      </c>
      <c r="B3279" t="str">
        <f t="shared" si="87"/>
        <v>Blount 1982</v>
      </c>
      <c r="C3279">
        <v>407.43</v>
      </c>
      <c r="D3279">
        <v>1108</v>
      </c>
      <c r="E3279">
        <v>4.9611999999999998</v>
      </c>
      <c r="K3279">
        <v>3.8930000000000002E-3</v>
      </c>
      <c r="R3279">
        <f t="shared" si="86"/>
        <v>1</v>
      </c>
    </row>
    <row r="3280" spans="1:18">
      <c r="A3280">
        <f t="shared" si="88"/>
        <v>3279</v>
      </c>
      <c r="B3280" t="str">
        <f t="shared" si="87"/>
        <v>Blount 1982</v>
      </c>
      <c r="C3280">
        <v>407.43</v>
      </c>
      <c r="D3280">
        <v>898</v>
      </c>
      <c r="E3280">
        <v>4.9527999999999999</v>
      </c>
      <c r="K3280">
        <v>3.2729999999999999E-3</v>
      </c>
      <c r="R3280">
        <f t="shared" si="86"/>
        <v>1</v>
      </c>
    </row>
    <row r="3281" spans="1:18">
      <c r="A3281">
        <f t="shared" si="88"/>
        <v>3280</v>
      </c>
      <c r="B3281" t="str">
        <f t="shared" si="87"/>
        <v>Blount 1982</v>
      </c>
      <c r="C3281">
        <v>407.43</v>
      </c>
      <c r="D3281">
        <v>898</v>
      </c>
      <c r="E3281">
        <v>4.9527999999999999</v>
      </c>
      <c r="K3281">
        <v>3.6240000000000001E-3</v>
      </c>
      <c r="R3281">
        <f t="shared" si="86"/>
        <v>1</v>
      </c>
    </row>
    <row r="3282" spans="1:18">
      <c r="A3282">
        <f t="shared" si="88"/>
        <v>3281</v>
      </c>
      <c r="B3282" t="str">
        <f t="shared" si="87"/>
        <v>Blount 1982</v>
      </c>
      <c r="C3282">
        <v>407.43</v>
      </c>
      <c r="D3282">
        <v>694</v>
      </c>
      <c r="E3282">
        <v>4.9050000000000002</v>
      </c>
      <c r="K3282">
        <v>3.5829999999999998E-3</v>
      </c>
      <c r="R3282">
        <f t="shared" si="86"/>
        <v>1</v>
      </c>
    </row>
    <row r="3283" spans="1:18">
      <c r="A3283">
        <f t="shared" si="88"/>
        <v>3282</v>
      </c>
      <c r="B3283" t="str">
        <f t="shared" si="87"/>
        <v>Blount 1982</v>
      </c>
      <c r="C3283">
        <v>407.43</v>
      </c>
      <c r="D3283">
        <v>694</v>
      </c>
      <c r="E3283">
        <v>4.9050000000000002</v>
      </c>
      <c r="K3283">
        <v>3.6840000000000002E-3</v>
      </c>
      <c r="R3283">
        <f t="shared" si="86"/>
        <v>1</v>
      </c>
    </row>
    <row r="3284" spans="1:18">
      <c r="A3284">
        <f t="shared" si="88"/>
        <v>3283</v>
      </c>
      <c r="B3284" t="str">
        <f t="shared" si="87"/>
        <v>Blount 1982</v>
      </c>
      <c r="C3284">
        <v>407.43</v>
      </c>
      <c r="D3284">
        <v>695</v>
      </c>
      <c r="E3284">
        <v>4.8742000000000001</v>
      </c>
      <c r="K3284">
        <v>3.4949999999999998E-3</v>
      </c>
      <c r="R3284">
        <f t="shared" si="86"/>
        <v>1</v>
      </c>
    </row>
    <row r="3285" spans="1:18">
      <c r="A3285">
        <f t="shared" si="88"/>
        <v>3284</v>
      </c>
      <c r="B3285" t="str">
        <f t="shared" si="87"/>
        <v>Blount 1982</v>
      </c>
      <c r="C3285">
        <v>407.43</v>
      </c>
      <c r="D3285">
        <v>695</v>
      </c>
      <c r="E3285">
        <v>4.8742000000000001</v>
      </c>
      <c r="K3285">
        <v>3.1619999999999999E-3</v>
      </c>
      <c r="R3285">
        <f t="shared" si="86"/>
        <v>1</v>
      </c>
    </row>
    <row r="3286" spans="1:18">
      <c r="A3286">
        <f t="shared" si="88"/>
        <v>3285</v>
      </c>
      <c r="B3286" t="str">
        <f t="shared" si="87"/>
        <v>Blount 1982</v>
      </c>
      <c r="C3286">
        <v>407.43</v>
      </c>
      <c r="D3286">
        <v>696</v>
      </c>
      <c r="E3286">
        <v>4.8379000000000003</v>
      </c>
      <c r="K3286">
        <v>3.5400000000000002E-3</v>
      </c>
      <c r="R3286">
        <f t="shared" si="86"/>
        <v>1</v>
      </c>
    </row>
    <row r="3287" spans="1:18">
      <c r="A3287">
        <f t="shared" si="88"/>
        <v>3286</v>
      </c>
      <c r="B3287" t="str">
        <f t="shared" si="87"/>
        <v>Blount 1982</v>
      </c>
      <c r="C3287">
        <v>407.43</v>
      </c>
      <c r="D3287">
        <v>697</v>
      </c>
      <c r="E3287">
        <v>4.7988999999999997</v>
      </c>
      <c r="K3287">
        <v>3.1510000000000002E-3</v>
      </c>
      <c r="R3287">
        <f t="shared" si="86"/>
        <v>1</v>
      </c>
    </row>
    <row r="3288" spans="1:18">
      <c r="A3288">
        <f t="shared" si="88"/>
        <v>3287</v>
      </c>
      <c r="B3288" t="str">
        <f t="shared" si="87"/>
        <v>Blount 1982</v>
      </c>
      <c r="C3288">
        <v>407.43</v>
      </c>
      <c r="D3288">
        <v>697</v>
      </c>
      <c r="E3288">
        <v>4.7988999999999997</v>
      </c>
      <c r="K3288">
        <v>3.1510000000000002E-3</v>
      </c>
      <c r="R3288">
        <f t="shared" si="86"/>
        <v>1</v>
      </c>
    </row>
    <row r="3289" spans="1:18">
      <c r="A3289">
        <f t="shared" si="88"/>
        <v>3288</v>
      </c>
      <c r="B3289" t="str">
        <f t="shared" si="87"/>
        <v>Blount 1982</v>
      </c>
      <c r="C3289">
        <v>407.43</v>
      </c>
      <c r="D3289">
        <v>492</v>
      </c>
      <c r="E3289">
        <v>4.7628000000000004</v>
      </c>
      <c r="K3289">
        <v>2.7309999999999999E-3</v>
      </c>
      <c r="R3289">
        <f t="shared" si="86"/>
        <v>1</v>
      </c>
    </row>
    <row r="3290" spans="1:18">
      <c r="A3290">
        <f t="shared" si="88"/>
        <v>3289</v>
      </c>
      <c r="B3290" t="str">
        <f t="shared" si="87"/>
        <v>Blount 1982</v>
      </c>
      <c r="C3290">
        <v>406.65</v>
      </c>
      <c r="D3290">
        <v>496</v>
      </c>
      <c r="E3290">
        <v>4.9218000000000002</v>
      </c>
      <c r="K3290">
        <v>2.6670000000000001E-3</v>
      </c>
      <c r="R3290">
        <f t="shared" si="86"/>
        <v>1</v>
      </c>
    </row>
    <row r="3291" spans="1:18">
      <c r="A3291">
        <f t="shared" si="88"/>
        <v>3290</v>
      </c>
      <c r="B3291" t="str">
        <f t="shared" si="87"/>
        <v>Blount 1982</v>
      </c>
      <c r="C3291">
        <v>406.65</v>
      </c>
      <c r="D3291">
        <v>496</v>
      </c>
      <c r="E3291">
        <v>4.9218000000000002</v>
      </c>
      <c r="K3291">
        <v>2.784E-3</v>
      </c>
      <c r="R3291">
        <f t="shared" si="86"/>
        <v>1</v>
      </c>
    </row>
    <row r="3292" spans="1:18">
      <c r="A3292">
        <f t="shared" si="88"/>
        <v>3291</v>
      </c>
      <c r="B3292" t="str">
        <f t="shared" si="87"/>
        <v>Blount 1982</v>
      </c>
      <c r="C3292">
        <v>407.43</v>
      </c>
      <c r="D3292">
        <v>336</v>
      </c>
      <c r="E3292">
        <v>4.9218000000000002</v>
      </c>
      <c r="K3292">
        <v>2.382E-3</v>
      </c>
      <c r="R3292">
        <f t="shared" si="86"/>
        <v>1</v>
      </c>
    </row>
    <row r="3293" spans="1:18">
      <c r="A3293">
        <f t="shared" si="88"/>
        <v>3292</v>
      </c>
      <c r="B3293" t="str">
        <f t="shared" si="87"/>
        <v>Blount 1982</v>
      </c>
      <c r="C3293">
        <v>407.15</v>
      </c>
      <c r="D3293">
        <v>340</v>
      </c>
      <c r="E3293">
        <v>4.9218000000000002</v>
      </c>
      <c r="K3293">
        <v>2.081E-3</v>
      </c>
      <c r="R3293">
        <f t="shared" si="86"/>
        <v>1</v>
      </c>
    </row>
    <row r="3294" spans="1:18">
      <c r="A3294">
        <f t="shared" si="88"/>
        <v>3293</v>
      </c>
      <c r="B3294" t="str">
        <f t="shared" si="87"/>
        <v>Blount 1982</v>
      </c>
      <c r="C3294">
        <v>407.15</v>
      </c>
      <c r="D3294">
        <v>340</v>
      </c>
      <c r="E3294">
        <v>4.9218000000000002</v>
      </c>
      <c r="K3294">
        <v>2.0309999999999998E-3</v>
      </c>
      <c r="R3294">
        <f t="shared" si="86"/>
        <v>1</v>
      </c>
    </row>
    <row r="3295" spans="1:18">
      <c r="A3295">
        <f t="shared" si="88"/>
        <v>3294</v>
      </c>
      <c r="B3295" t="str">
        <f t="shared" si="87"/>
        <v>Blount 1982</v>
      </c>
      <c r="C3295">
        <v>407.43</v>
      </c>
      <c r="D3295">
        <v>248</v>
      </c>
      <c r="E3295">
        <v>4.9050000000000002</v>
      </c>
      <c r="K3295">
        <v>1.5269999999999999E-3</v>
      </c>
      <c r="R3295">
        <f t="shared" si="86"/>
        <v>1</v>
      </c>
    </row>
    <row r="3296" spans="1:18">
      <c r="A3296">
        <f t="shared" si="88"/>
        <v>3295</v>
      </c>
      <c r="B3296" t="str">
        <f t="shared" si="87"/>
        <v>Blount 1982</v>
      </c>
      <c r="C3296">
        <v>407.43</v>
      </c>
      <c r="D3296">
        <v>248</v>
      </c>
      <c r="E3296">
        <v>4.9050000000000002</v>
      </c>
      <c r="K3296">
        <v>1.5939999999999999E-3</v>
      </c>
      <c r="R3296">
        <f t="shared" si="86"/>
        <v>1</v>
      </c>
    </row>
    <row r="3297" spans="1:18">
      <c r="A3297">
        <f t="shared" si="88"/>
        <v>3296</v>
      </c>
      <c r="B3297" t="str">
        <f t="shared" si="87"/>
        <v>Blount 1982</v>
      </c>
      <c r="C3297">
        <v>407.43</v>
      </c>
      <c r="D3297">
        <v>150</v>
      </c>
      <c r="E3297">
        <v>4.891</v>
      </c>
      <c r="K3297">
        <v>1.191E-3</v>
      </c>
      <c r="R3297">
        <f t="shared" si="86"/>
        <v>1</v>
      </c>
    </row>
    <row r="3298" spans="1:18">
      <c r="A3298">
        <f t="shared" si="88"/>
        <v>3297</v>
      </c>
      <c r="B3298" t="str">
        <f t="shared" si="87"/>
        <v>Blount 1982</v>
      </c>
      <c r="C3298">
        <v>407.43</v>
      </c>
      <c r="D3298">
        <v>150</v>
      </c>
      <c r="E3298">
        <v>4.8742000000000001</v>
      </c>
      <c r="K3298">
        <v>1.508E-3</v>
      </c>
      <c r="R3298">
        <f t="shared" si="86"/>
        <v>1</v>
      </c>
    </row>
    <row r="3299" spans="1:18">
      <c r="A3299">
        <f t="shared" si="88"/>
        <v>3298</v>
      </c>
      <c r="B3299" t="str">
        <f t="shared" si="87"/>
        <v>Blount 1982</v>
      </c>
      <c r="C3299">
        <v>407.43</v>
      </c>
      <c r="D3299">
        <v>150</v>
      </c>
      <c r="E3299">
        <v>4.8742000000000001</v>
      </c>
      <c r="K3299">
        <v>1.408E-3</v>
      </c>
      <c r="R3299">
        <f t="shared" si="86"/>
        <v>1</v>
      </c>
    </row>
    <row r="3300" spans="1:18">
      <c r="A3300">
        <f t="shared" si="88"/>
        <v>3299</v>
      </c>
      <c r="B3300" t="str">
        <f t="shared" si="87"/>
        <v>Blount 1982</v>
      </c>
      <c r="C3300">
        <v>407.43</v>
      </c>
      <c r="D3300">
        <v>149</v>
      </c>
      <c r="E3300">
        <v>4.8742000000000001</v>
      </c>
      <c r="K3300">
        <v>1.207E-3</v>
      </c>
      <c r="R3300">
        <f t="shared" si="86"/>
        <v>1</v>
      </c>
    </row>
    <row r="3301" spans="1:18">
      <c r="A3301">
        <f t="shared" si="88"/>
        <v>3300</v>
      </c>
      <c r="B3301" t="str">
        <f t="shared" si="87"/>
        <v>Blount 1982</v>
      </c>
      <c r="C3301">
        <v>407.43</v>
      </c>
      <c r="D3301">
        <v>149</v>
      </c>
      <c r="E3301">
        <v>4.8742000000000001</v>
      </c>
      <c r="K3301">
        <v>1.157E-3</v>
      </c>
      <c r="R3301">
        <f t="shared" si="86"/>
        <v>1</v>
      </c>
    </row>
    <row r="3302" spans="1:18">
      <c r="A3302">
        <f t="shared" si="88"/>
        <v>3301</v>
      </c>
      <c r="B3302" t="str">
        <f t="shared" si="87"/>
        <v>Blount 1982</v>
      </c>
      <c r="C3302">
        <v>408.65</v>
      </c>
      <c r="D3302">
        <v>1561</v>
      </c>
      <c r="E3302">
        <v>7.1079999999999997</v>
      </c>
      <c r="K3302">
        <v>3.9699999999999996E-3</v>
      </c>
      <c r="R3302">
        <f t="shared" si="86"/>
        <v>1</v>
      </c>
    </row>
    <row r="3303" spans="1:18">
      <c r="A3303">
        <f t="shared" si="88"/>
        <v>3302</v>
      </c>
      <c r="B3303" t="str">
        <f t="shared" si="87"/>
        <v>Blount 1982</v>
      </c>
      <c r="C3303">
        <v>408.65</v>
      </c>
      <c r="D3303">
        <v>1561</v>
      </c>
      <c r="E3303">
        <v>7.1045999999999996</v>
      </c>
      <c r="K3303">
        <v>3.9699999999999996E-3</v>
      </c>
      <c r="R3303">
        <f t="shared" si="86"/>
        <v>1</v>
      </c>
    </row>
    <row r="3304" spans="1:18">
      <c r="A3304">
        <f t="shared" si="88"/>
        <v>3303</v>
      </c>
      <c r="B3304" t="str">
        <f t="shared" si="87"/>
        <v>Blount 1982</v>
      </c>
      <c r="C3304">
        <v>408.65</v>
      </c>
      <c r="D3304">
        <v>1325</v>
      </c>
      <c r="E3304">
        <v>7.1045999999999996</v>
      </c>
      <c r="K3304">
        <v>3.5490000000000001E-3</v>
      </c>
      <c r="R3304">
        <f t="shared" si="86"/>
        <v>1</v>
      </c>
    </row>
    <row r="3305" spans="1:18">
      <c r="A3305">
        <f t="shared" si="88"/>
        <v>3304</v>
      </c>
      <c r="B3305" t="str">
        <f t="shared" si="87"/>
        <v>Blount 1982</v>
      </c>
      <c r="C3305">
        <v>408.65</v>
      </c>
      <c r="D3305">
        <v>1325</v>
      </c>
      <c r="E3305">
        <v>7.1045999999999996</v>
      </c>
      <c r="K3305">
        <v>3.5119999999999999E-3</v>
      </c>
      <c r="R3305">
        <f t="shared" si="86"/>
        <v>1</v>
      </c>
    </row>
    <row r="3306" spans="1:18">
      <c r="A3306">
        <f t="shared" si="88"/>
        <v>3305</v>
      </c>
      <c r="B3306" t="str">
        <f t="shared" si="87"/>
        <v>Blount 1982</v>
      </c>
      <c r="C3306">
        <v>408.65</v>
      </c>
      <c r="D3306">
        <v>1122</v>
      </c>
      <c r="E3306">
        <v>7.0808999999999997</v>
      </c>
      <c r="K3306">
        <v>3.4719999999999998E-3</v>
      </c>
      <c r="R3306">
        <f t="shared" si="86"/>
        <v>1</v>
      </c>
    </row>
    <row r="3307" spans="1:18">
      <c r="A3307">
        <f t="shared" si="88"/>
        <v>3306</v>
      </c>
      <c r="B3307" t="str">
        <f t="shared" si="87"/>
        <v>Blount 1982</v>
      </c>
      <c r="C3307">
        <v>408.65</v>
      </c>
      <c r="D3307">
        <v>1122</v>
      </c>
      <c r="E3307">
        <v>7.0808999999999997</v>
      </c>
      <c r="K3307">
        <v>3.2520000000000001E-3</v>
      </c>
      <c r="R3307">
        <f t="shared" si="86"/>
        <v>1</v>
      </c>
    </row>
    <row r="3308" spans="1:18">
      <c r="A3308">
        <f t="shared" si="88"/>
        <v>3307</v>
      </c>
      <c r="B3308" t="str">
        <f t="shared" si="87"/>
        <v>Blount 1982</v>
      </c>
      <c r="C3308">
        <v>409.43</v>
      </c>
      <c r="D3308">
        <v>901</v>
      </c>
      <c r="E3308">
        <v>7.0538999999999996</v>
      </c>
      <c r="K3308">
        <v>2.8639999999999998E-3</v>
      </c>
      <c r="R3308">
        <f t="shared" si="86"/>
        <v>1</v>
      </c>
    </row>
    <row r="3309" spans="1:18">
      <c r="A3309">
        <f t="shared" si="88"/>
        <v>3308</v>
      </c>
      <c r="B3309" t="str">
        <f t="shared" si="87"/>
        <v>Blount 1982</v>
      </c>
      <c r="C3309">
        <v>409.43</v>
      </c>
      <c r="D3309">
        <v>901</v>
      </c>
      <c r="E3309">
        <v>7.0538999999999996</v>
      </c>
      <c r="K3309">
        <v>2.7910000000000001E-3</v>
      </c>
      <c r="R3309">
        <f t="shared" si="86"/>
        <v>1</v>
      </c>
    </row>
    <row r="3310" spans="1:18">
      <c r="A3310">
        <f t="shared" si="88"/>
        <v>3309</v>
      </c>
      <c r="B3310" t="str">
        <f t="shared" si="87"/>
        <v>Blount 1982</v>
      </c>
      <c r="C3310">
        <v>409.65</v>
      </c>
      <c r="D3310">
        <v>701</v>
      </c>
      <c r="E3310">
        <v>7.0336999999999996</v>
      </c>
      <c r="K3310">
        <v>2.5330000000000001E-3</v>
      </c>
      <c r="R3310">
        <f t="shared" ref="R3310:R3373" si="89">R3309</f>
        <v>1</v>
      </c>
    </row>
    <row r="3311" spans="1:18">
      <c r="A3311">
        <f t="shared" si="88"/>
        <v>3310</v>
      </c>
      <c r="B3311" t="str">
        <f t="shared" si="87"/>
        <v>Blount 1982</v>
      </c>
      <c r="C3311">
        <v>409.65</v>
      </c>
      <c r="D3311">
        <v>701</v>
      </c>
      <c r="E3311">
        <v>7.0336999999999996</v>
      </c>
      <c r="K3311">
        <v>2.5690000000000001E-3</v>
      </c>
      <c r="R3311">
        <f t="shared" si="89"/>
        <v>1</v>
      </c>
    </row>
    <row r="3312" spans="1:18">
      <c r="A3312">
        <f t="shared" si="88"/>
        <v>3311</v>
      </c>
      <c r="B3312" t="str">
        <f t="shared" si="87"/>
        <v>Blount 1982</v>
      </c>
      <c r="C3312">
        <v>409.15</v>
      </c>
      <c r="D3312">
        <v>493</v>
      </c>
      <c r="E3312">
        <v>7.0034999999999998</v>
      </c>
      <c r="K3312">
        <v>2.127E-3</v>
      </c>
      <c r="R3312">
        <f t="shared" si="89"/>
        <v>1</v>
      </c>
    </row>
    <row r="3313" spans="1:18">
      <c r="A3313">
        <f t="shared" si="88"/>
        <v>3312</v>
      </c>
      <c r="B3313" t="str">
        <f t="shared" si="87"/>
        <v>Blount 1982</v>
      </c>
      <c r="C3313">
        <v>409.15</v>
      </c>
      <c r="D3313">
        <v>493</v>
      </c>
      <c r="E3313">
        <v>7.0034999999999998</v>
      </c>
      <c r="K3313">
        <v>2.091E-3</v>
      </c>
      <c r="R3313">
        <f t="shared" si="89"/>
        <v>1</v>
      </c>
    </row>
    <row r="3314" spans="1:18">
      <c r="A3314">
        <f t="shared" si="88"/>
        <v>3313</v>
      </c>
      <c r="B3314" t="str">
        <f t="shared" si="87"/>
        <v>Blount 1982</v>
      </c>
      <c r="C3314">
        <v>408.93</v>
      </c>
      <c r="D3314">
        <v>356</v>
      </c>
      <c r="E3314">
        <v>6.9833999999999996</v>
      </c>
      <c r="K3314">
        <v>1.7409999999999999E-3</v>
      </c>
      <c r="R3314">
        <f t="shared" si="89"/>
        <v>1</v>
      </c>
    </row>
    <row r="3315" spans="1:18">
      <c r="A3315">
        <f t="shared" si="88"/>
        <v>3314</v>
      </c>
      <c r="B3315" t="str">
        <f t="shared" si="87"/>
        <v>Blount 1982</v>
      </c>
      <c r="C3315">
        <v>408.93</v>
      </c>
      <c r="D3315">
        <v>356</v>
      </c>
      <c r="E3315">
        <v>6.9833999999999996</v>
      </c>
      <c r="K3315">
        <v>1.7229999999999999E-3</v>
      </c>
      <c r="R3315">
        <f t="shared" si="89"/>
        <v>1</v>
      </c>
    </row>
    <row r="3316" spans="1:18">
      <c r="A3316">
        <f t="shared" si="88"/>
        <v>3315</v>
      </c>
      <c r="B3316" t="str">
        <f t="shared" si="87"/>
        <v>Blount 1982</v>
      </c>
      <c r="C3316">
        <v>409.15</v>
      </c>
      <c r="D3316">
        <v>156</v>
      </c>
      <c r="E3316">
        <v>6.8005000000000004</v>
      </c>
      <c r="K3316">
        <v>1.147E-3</v>
      </c>
      <c r="R3316">
        <f t="shared" si="89"/>
        <v>1</v>
      </c>
    </row>
    <row r="3317" spans="1:18">
      <c r="A3317">
        <f t="shared" si="88"/>
        <v>3316</v>
      </c>
      <c r="B3317" t="str">
        <f t="shared" si="87"/>
        <v>Blount 1982</v>
      </c>
      <c r="C3317">
        <v>409.15</v>
      </c>
      <c r="D3317">
        <v>156</v>
      </c>
      <c r="E3317">
        <v>6.8005000000000004</v>
      </c>
      <c r="K3317">
        <v>1.0560000000000001E-3</v>
      </c>
      <c r="R3317">
        <f t="shared" si="89"/>
        <v>1</v>
      </c>
    </row>
    <row r="3318" spans="1:18">
      <c r="A3318">
        <f t="shared" si="88"/>
        <v>3317</v>
      </c>
      <c r="B3318" t="str">
        <f t="shared" si="87"/>
        <v>Blount 1982</v>
      </c>
      <c r="C3318">
        <v>441.54</v>
      </c>
      <c r="D3318">
        <v>1554</v>
      </c>
      <c r="E3318">
        <v>5.16E-2</v>
      </c>
      <c r="K3318">
        <v>1.056E-2</v>
      </c>
      <c r="R3318">
        <f t="shared" si="89"/>
        <v>1</v>
      </c>
    </row>
    <row r="3319" spans="1:18">
      <c r="A3319">
        <f t="shared" si="88"/>
        <v>3318</v>
      </c>
      <c r="B3319" t="str">
        <f t="shared" si="87"/>
        <v>Blount 1982</v>
      </c>
      <c r="C3319">
        <v>441.54</v>
      </c>
      <c r="D3319">
        <v>1554</v>
      </c>
      <c r="E3319">
        <v>5.16E-2</v>
      </c>
      <c r="K3319">
        <v>1.1927E-2</v>
      </c>
      <c r="R3319">
        <f t="shared" si="89"/>
        <v>1</v>
      </c>
    </row>
    <row r="3320" spans="1:18">
      <c r="A3320">
        <f t="shared" si="88"/>
        <v>3319</v>
      </c>
      <c r="B3320" t="str">
        <f t="shared" si="87"/>
        <v>Blount 1982</v>
      </c>
      <c r="C3320">
        <v>441.93</v>
      </c>
      <c r="D3320">
        <v>1536</v>
      </c>
      <c r="E3320">
        <v>5.16E-2</v>
      </c>
      <c r="K3320">
        <v>1.1721000000000001E-2</v>
      </c>
      <c r="R3320">
        <f t="shared" si="89"/>
        <v>1</v>
      </c>
    </row>
    <row r="3321" spans="1:18">
      <c r="A3321">
        <f t="shared" si="88"/>
        <v>3320</v>
      </c>
      <c r="B3321" t="str">
        <f t="shared" si="87"/>
        <v>Blount 1982</v>
      </c>
      <c r="C3321">
        <v>441.93</v>
      </c>
      <c r="D3321">
        <v>1536</v>
      </c>
      <c r="E3321">
        <v>5.16E-2</v>
      </c>
      <c r="K3321">
        <v>1.0817999999999999E-2</v>
      </c>
      <c r="R3321">
        <f t="shared" si="89"/>
        <v>1</v>
      </c>
    </row>
    <row r="3322" spans="1:18">
      <c r="A3322">
        <f t="shared" si="88"/>
        <v>3321</v>
      </c>
      <c r="B3322" t="str">
        <f t="shared" si="87"/>
        <v>Blount 1982</v>
      </c>
      <c r="C3322">
        <v>441.93</v>
      </c>
      <c r="D3322">
        <v>1506</v>
      </c>
      <c r="E3322">
        <v>5.16E-2</v>
      </c>
      <c r="K3322">
        <v>1.1656E-2</v>
      </c>
      <c r="R3322">
        <f t="shared" si="89"/>
        <v>1</v>
      </c>
    </row>
    <row r="3323" spans="1:18">
      <c r="A3323">
        <f t="shared" si="88"/>
        <v>3322</v>
      </c>
      <c r="B3323" t="str">
        <f t="shared" si="87"/>
        <v>Blount 1982</v>
      </c>
      <c r="C3323">
        <v>441.93</v>
      </c>
      <c r="D3323">
        <v>1558</v>
      </c>
      <c r="E3323">
        <v>5.16E-2</v>
      </c>
      <c r="K3323">
        <v>1.0521000000000001E-2</v>
      </c>
      <c r="R3323">
        <f t="shared" si="89"/>
        <v>1</v>
      </c>
    </row>
    <row r="3324" spans="1:18">
      <c r="A3324">
        <f t="shared" si="88"/>
        <v>3323</v>
      </c>
      <c r="B3324" t="str">
        <f t="shared" ref="B3324:B3387" si="90">B3323</f>
        <v>Blount 1982</v>
      </c>
      <c r="C3324">
        <v>441.93</v>
      </c>
      <c r="D3324">
        <v>1558</v>
      </c>
      <c r="E3324">
        <v>5.16E-2</v>
      </c>
      <c r="K3324">
        <v>1.1205E-2</v>
      </c>
      <c r="R3324">
        <f t="shared" si="89"/>
        <v>1</v>
      </c>
    </row>
    <row r="3325" spans="1:18">
      <c r="A3325">
        <f t="shared" si="88"/>
        <v>3324</v>
      </c>
      <c r="B3325" t="str">
        <f t="shared" si="90"/>
        <v>Blount 1982</v>
      </c>
      <c r="C3325">
        <v>442.15</v>
      </c>
      <c r="D3325">
        <v>1572</v>
      </c>
      <c r="E3325">
        <v>5.16E-2</v>
      </c>
      <c r="K3325">
        <v>1.0907999999999999E-2</v>
      </c>
      <c r="R3325">
        <f t="shared" si="89"/>
        <v>1</v>
      </c>
    </row>
    <row r="3326" spans="1:18">
      <c r="A3326">
        <f t="shared" si="88"/>
        <v>3325</v>
      </c>
      <c r="B3326" t="str">
        <f t="shared" si="90"/>
        <v>Blount 1982</v>
      </c>
      <c r="C3326">
        <v>442.15</v>
      </c>
      <c r="D3326">
        <v>1570</v>
      </c>
      <c r="E3326">
        <v>5.16E-2</v>
      </c>
      <c r="K3326">
        <v>1.2364E-2</v>
      </c>
      <c r="R3326">
        <f t="shared" si="89"/>
        <v>1</v>
      </c>
    </row>
    <row r="3327" spans="1:18">
      <c r="A3327">
        <f t="shared" si="88"/>
        <v>3326</v>
      </c>
      <c r="B3327" t="str">
        <f t="shared" si="90"/>
        <v>Blount 1982</v>
      </c>
      <c r="C3327">
        <v>442.15</v>
      </c>
      <c r="D3327">
        <v>1570</v>
      </c>
      <c r="E3327">
        <v>5.16E-2</v>
      </c>
      <c r="K3327">
        <v>1.2107E-2</v>
      </c>
      <c r="R3327">
        <f t="shared" si="89"/>
        <v>1</v>
      </c>
    </row>
    <row r="3328" spans="1:18">
      <c r="A3328">
        <f t="shared" si="88"/>
        <v>3327</v>
      </c>
      <c r="B3328" t="str">
        <f t="shared" si="90"/>
        <v>Blount 1982</v>
      </c>
      <c r="C3328">
        <v>442.15</v>
      </c>
      <c r="D3328">
        <v>1264</v>
      </c>
      <c r="E3328">
        <v>5.16E-2</v>
      </c>
      <c r="K3328">
        <v>1.0468999999999999E-2</v>
      </c>
      <c r="R3328">
        <f t="shared" si="89"/>
        <v>1</v>
      </c>
    </row>
    <row r="3329" spans="1:18">
      <c r="A3329">
        <f t="shared" si="88"/>
        <v>3328</v>
      </c>
      <c r="B3329" t="str">
        <f t="shared" si="90"/>
        <v>Blount 1982</v>
      </c>
      <c r="C3329">
        <v>442.15</v>
      </c>
      <c r="D3329">
        <v>1264</v>
      </c>
      <c r="E3329">
        <v>5.16E-2</v>
      </c>
      <c r="K3329">
        <v>1.1192000000000001E-2</v>
      </c>
      <c r="R3329">
        <f t="shared" si="89"/>
        <v>1</v>
      </c>
    </row>
    <row r="3330" spans="1:18">
      <c r="A3330">
        <f t="shared" si="88"/>
        <v>3329</v>
      </c>
      <c r="B3330" t="str">
        <f t="shared" si="90"/>
        <v>Blount 1982</v>
      </c>
      <c r="C3330">
        <v>442.15</v>
      </c>
      <c r="D3330">
        <v>1236</v>
      </c>
      <c r="E3330">
        <v>5.16E-2</v>
      </c>
      <c r="K3330">
        <v>1.1398E-2</v>
      </c>
      <c r="R3330">
        <f t="shared" si="89"/>
        <v>1</v>
      </c>
    </row>
    <row r="3331" spans="1:18">
      <c r="A3331">
        <f t="shared" si="88"/>
        <v>3330</v>
      </c>
      <c r="B3331" t="str">
        <f t="shared" si="90"/>
        <v>Blount 1982</v>
      </c>
      <c r="C3331">
        <v>441.93</v>
      </c>
      <c r="D3331">
        <v>1325</v>
      </c>
      <c r="E3331">
        <v>5.16E-2</v>
      </c>
      <c r="K3331">
        <v>1.1050000000000001E-2</v>
      </c>
      <c r="R3331">
        <f t="shared" si="89"/>
        <v>1</v>
      </c>
    </row>
    <row r="3332" spans="1:18">
      <c r="A3332">
        <f t="shared" ref="A3332:A3395" si="91">A3331+1</f>
        <v>3331</v>
      </c>
      <c r="B3332" t="str">
        <f t="shared" si="90"/>
        <v>Blount 1982</v>
      </c>
      <c r="C3332">
        <v>441.93</v>
      </c>
      <c r="D3332">
        <v>1128</v>
      </c>
      <c r="E3332">
        <v>5.16E-2</v>
      </c>
      <c r="K3332">
        <v>9.5379999999999996E-3</v>
      </c>
      <c r="R3332">
        <f t="shared" si="89"/>
        <v>1</v>
      </c>
    </row>
    <row r="3333" spans="1:18">
      <c r="A3333">
        <f t="shared" si="91"/>
        <v>3332</v>
      </c>
      <c r="B3333" t="str">
        <f t="shared" si="90"/>
        <v>Blount 1982</v>
      </c>
      <c r="C3333">
        <v>441.93</v>
      </c>
      <c r="D3333">
        <v>1128</v>
      </c>
      <c r="E3333">
        <v>5.16E-2</v>
      </c>
      <c r="K3333">
        <v>1.0288E-2</v>
      </c>
      <c r="R3333">
        <f t="shared" si="89"/>
        <v>1</v>
      </c>
    </row>
    <row r="3334" spans="1:18">
      <c r="A3334">
        <f t="shared" si="91"/>
        <v>3333</v>
      </c>
      <c r="B3334" t="str">
        <f t="shared" si="90"/>
        <v>Blount 1982</v>
      </c>
      <c r="C3334">
        <v>442.37</v>
      </c>
      <c r="D3334">
        <v>908</v>
      </c>
      <c r="E3334">
        <v>5.16E-2</v>
      </c>
      <c r="K3334">
        <v>9.5119999999999996E-3</v>
      </c>
      <c r="R3334">
        <f t="shared" si="89"/>
        <v>1</v>
      </c>
    </row>
    <row r="3335" spans="1:18">
      <c r="A3335">
        <f t="shared" si="91"/>
        <v>3334</v>
      </c>
      <c r="B3335" t="str">
        <f t="shared" si="90"/>
        <v>Blount 1982</v>
      </c>
      <c r="C3335">
        <v>442.37</v>
      </c>
      <c r="D3335">
        <v>908</v>
      </c>
      <c r="E3335">
        <v>5.16E-2</v>
      </c>
      <c r="K3335">
        <v>9.3310000000000008E-3</v>
      </c>
      <c r="R3335">
        <f t="shared" si="89"/>
        <v>1</v>
      </c>
    </row>
    <row r="3336" spans="1:18">
      <c r="A3336">
        <f t="shared" si="91"/>
        <v>3335</v>
      </c>
      <c r="B3336" t="str">
        <f t="shared" si="90"/>
        <v>Blount 1982</v>
      </c>
      <c r="C3336">
        <v>442.37</v>
      </c>
      <c r="D3336">
        <v>705</v>
      </c>
      <c r="E3336">
        <v>5.16E-2</v>
      </c>
      <c r="K3336">
        <v>7.7489999999999998E-3</v>
      </c>
      <c r="R3336">
        <f t="shared" si="89"/>
        <v>1</v>
      </c>
    </row>
    <row r="3337" spans="1:18">
      <c r="A3337">
        <f t="shared" si="91"/>
        <v>3336</v>
      </c>
      <c r="B3337" t="str">
        <f t="shared" si="90"/>
        <v>Blount 1982</v>
      </c>
      <c r="C3337">
        <v>441.93</v>
      </c>
      <c r="D3337">
        <v>708</v>
      </c>
      <c r="E3337">
        <v>5.16E-2</v>
      </c>
      <c r="K3337">
        <v>7.6709999999999999E-3</v>
      </c>
      <c r="R3337">
        <f t="shared" si="89"/>
        <v>1</v>
      </c>
    </row>
    <row r="3338" spans="1:18">
      <c r="A3338">
        <f t="shared" si="91"/>
        <v>3337</v>
      </c>
      <c r="B3338" t="str">
        <f t="shared" si="90"/>
        <v>Blount 1982</v>
      </c>
      <c r="C3338">
        <v>442.15</v>
      </c>
      <c r="D3338">
        <v>701</v>
      </c>
      <c r="E3338">
        <v>5.16E-2</v>
      </c>
      <c r="K3338">
        <v>8.2810000000000002E-3</v>
      </c>
      <c r="R3338">
        <f t="shared" si="89"/>
        <v>1</v>
      </c>
    </row>
    <row r="3339" spans="1:18">
      <c r="A3339">
        <f t="shared" si="91"/>
        <v>3338</v>
      </c>
      <c r="B3339" t="str">
        <f t="shared" si="90"/>
        <v>Blount 1982</v>
      </c>
      <c r="C3339">
        <v>442.87</v>
      </c>
      <c r="D3339">
        <v>350</v>
      </c>
      <c r="E3339">
        <v>5.16E-2</v>
      </c>
      <c r="K3339">
        <v>6.071E-3</v>
      </c>
      <c r="R3339">
        <f t="shared" si="89"/>
        <v>1</v>
      </c>
    </row>
    <row r="3340" spans="1:18">
      <c r="A3340">
        <f t="shared" si="91"/>
        <v>3339</v>
      </c>
      <c r="B3340" t="str">
        <f t="shared" si="90"/>
        <v>Blount 1982</v>
      </c>
      <c r="C3340">
        <v>442.87</v>
      </c>
      <c r="D3340">
        <v>350</v>
      </c>
      <c r="E3340">
        <v>5.16E-2</v>
      </c>
      <c r="K3340">
        <v>5.888E-3</v>
      </c>
      <c r="R3340">
        <f t="shared" si="89"/>
        <v>1</v>
      </c>
    </row>
    <row r="3341" spans="1:18">
      <c r="A3341">
        <f t="shared" si="91"/>
        <v>3340</v>
      </c>
      <c r="B3341" t="str">
        <f t="shared" si="90"/>
        <v>Blount 1982</v>
      </c>
      <c r="C3341">
        <v>442.15</v>
      </c>
      <c r="D3341">
        <v>250</v>
      </c>
      <c r="E3341">
        <v>5.3400000000000003E-2</v>
      </c>
      <c r="K3341">
        <v>4.1780000000000003E-3</v>
      </c>
      <c r="R3341">
        <f t="shared" si="89"/>
        <v>1</v>
      </c>
    </row>
    <row r="3342" spans="1:18">
      <c r="A3342">
        <f t="shared" si="91"/>
        <v>3341</v>
      </c>
      <c r="B3342" t="str">
        <f t="shared" si="90"/>
        <v>Blount 1982</v>
      </c>
      <c r="C3342">
        <v>442.15</v>
      </c>
      <c r="D3342">
        <v>250</v>
      </c>
      <c r="E3342">
        <v>5.3400000000000003E-2</v>
      </c>
      <c r="K3342">
        <v>4.2690000000000002E-3</v>
      </c>
      <c r="R3342">
        <f t="shared" si="89"/>
        <v>1</v>
      </c>
    </row>
    <row r="3343" spans="1:18">
      <c r="A3343">
        <f t="shared" si="91"/>
        <v>3342</v>
      </c>
      <c r="B3343" t="str">
        <f t="shared" si="90"/>
        <v>Blount 1982</v>
      </c>
      <c r="C3343">
        <v>442.15</v>
      </c>
      <c r="D3343">
        <v>251</v>
      </c>
      <c r="E3343">
        <v>5.3400000000000003E-2</v>
      </c>
      <c r="K3343">
        <v>4.6360000000000004E-3</v>
      </c>
      <c r="R3343">
        <f t="shared" si="89"/>
        <v>1</v>
      </c>
    </row>
    <row r="3344" spans="1:18">
      <c r="A3344">
        <f t="shared" si="91"/>
        <v>3343</v>
      </c>
      <c r="B3344" t="str">
        <f t="shared" si="90"/>
        <v>Blount 1982</v>
      </c>
      <c r="C3344">
        <v>442.15</v>
      </c>
      <c r="D3344">
        <v>251</v>
      </c>
      <c r="E3344">
        <v>5.3400000000000003E-2</v>
      </c>
      <c r="K3344">
        <v>4.9100000000000003E-3</v>
      </c>
      <c r="R3344">
        <f t="shared" si="89"/>
        <v>1</v>
      </c>
    </row>
    <row r="3345" spans="1:18">
      <c r="A3345">
        <f t="shared" si="91"/>
        <v>3344</v>
      </c>
      <c r="B3345" t="str">
        <f t="shared" si="90"/>
        <v>Blount 1982</v>
      </c>
      <c r="C3345">
        <v>444.43</v>
      </c>
      <c r="D3345">
        <v>1265</v>
      </c>
      <c r="E3345">
        <v>0.92249999999999999</v>
      </c>
      <c r="K3345">
        <v>8.737E-3</v>
      </c>
      <c r="R3345">
        <f t="shared" si="89"/>
        <v>1</v>
      </c>
    </row>
    <row r="3346" spans="1:18">
      <c r="A3346">
        <f t="shared" si="91"/>
        <v>3345</v>
      </c>
      <c r="B3346" t="str">
        <f t="shared" si="90"/>
        <v>Blount 1982</v>
      </c>
      <c r="C3346">
        <v>444.43</v>
      </c>
      <c r="D3346">
        <v>1265</v>
      </c>
      <c r="E3346">
        <v>0.92249999999999999</v>
      </c>
      <c r="K3346">
        <v>8.7510000000000001E-3</v>
      </c>
      <c r="R3346">
        <f t="shared" si="89"/>
        <v>1</v>
      </c>
    </row>
    <row r="3347" spans="1:18">
      <c r="A3347">
        <f t="shared" si="91"/>
        <v>3346</v>
      </c>
      <c r="B3347" t="str">
        <f t="shared" si="90"/>
        <v>Blount 1982</v>
      </c>
      <c r="C3347">
        <v>444.43</v>
      </c>
      <c r="D3347">
        <v>1240</v>
      </c>
      <c r="E3347">
        <v>0.92249999999999999</v>
      </c>
      <c r="K3347">
        <v>8.6960000000000006E-3</v>
      </c>
      <c r="R3347">
        <f t="shared" si="89"/>
        <v>1</v>
      </c>
    </row>
    <row r="3348" spans="1:18">
      <c r="A3348">
        <f t="shared" si="91"/>
        <v>3347</v>
      </c>
      <c r="B3348" t="str">
        <f t="shared" si="90"/>
        <v>Blount 1982</v>
      </c>
      <c r="C3348">
        <v>444.43</v>
      </c>
      <c r="D3348">
        <v>1240</v>
      </c>
      <c r="E3348">
        <v>0.92249999999999999</v>
      </c>
      <c r="K3348">
        <v>9.077E-3</v>
      </c>
      <c r="R3348">
        <f t="shared" si="89"/>
        <v>1</v>
      </c>
    </row>
    <row r="3349" spans="1:18">
      <c r="A3349">
        <f t="shared" si="91"/>
        <v>3348</v>
      </c>
      <c r="B3349" t="str">
        <f t="shared" si="90"/>
        <v>Blount 1982</v>
      </c>
      <c r="C3349">
        <v>444.26</v>
      </c>
      <c r="D3349">
        <v>1079</v>
      </c>
      <c r="E3349">
        <v>0.92059999999999997</v>
      </c>
      <c r="K3349">
        <v>8.3149999999999995E-3</v>
      </c>
      <c r="R3349">
        <f t="shared" si="89"/>
        <v>1</v>
      </c>
    </row>
    <row r="3350" spans="1:18">
      <c r="A3350">
        <f t="shared" si="91"/>
        <v>3349</v>
      </c>
      <c r="B3350" t="str">
        <f t="shared" si="90"/>
        <v>Blount 1982</v>
      </c>
      <c r="C3350">
        <v>444.26</v>
      </c>
      <c r="D3350">
        <v>1079</v>
      </c>
      <c r="E3350">
        <v>0.92059999999999997</v>
      </c>
      <c r="K3350">
        <v>8.5050000000000004E-3</v>
      </c>
      <c r="R3350">
        <f t="shared" si="89"/>
        <v>1</v>
      </c>
    </row>
    <row r="3351" spans="1:18">
      <c r="A3351">
        <f t="shared" si="91"/>
        <v>3350</v>
      </c>
      <c r="B3351" t="str">
        <f t="shared" si="90"/>
        <v>Blount 1982</v>
      </c>
      <c r="C3351">
        <v>444.65</v>
      </c>
      <c r="D3351">
        <v>884</v>
      </c>
      <c r="E3351">
        <v>0.91500000000000004</v>
      </c>
      <c r="K3351">
        <v>7.2769999999999996E-3</v>
      </c>
      <c r="R3351">
        <f t="shared" si="89"/>
        <v>1</v>
      </c>
    </row>
    <row r="3352" spans="1:18">
      <c r="A3352">
        <f t="shared" si="91"/>
        <v>3351</v>
      </c>
      <c r="B3352" t="str">
        <f t="shared" si="90"/>
        <v>Blount 1982</v>
      </c>
      <c r="C3352">
        <v>444.65</v>
      </c>
      <c r="D3352">
        <v>884</v>
      </c>
      <c r="E3352">
        <v>0.91500000000000004</v>
      </c>
      <c r="K3352">
        <v>7.7000000000000002E-3</v>
      </c>
      <c r="R3352">
        <f t="shared" si="89"/>
        <v>1</v>
      </c>
    </row>
    <row r="3353" spans="1:18">
      <c r="A3353">
        <f t="shared" si="91"/>
        <v>3352</v>
      </c>
      <c r="B3353" t="str">
        <f t="shared" si="90"/>
        <v>Blount 1982</v>
      </c>
      <c r="C3353">
        <v>444.26</v>
      </c>
      <c r="D3353">
        <v>674</v>
      </c>
      <c r="E3353">
        <v>0.9093</v>
      </c>
      <c r="K3353">
        <v>6.7980000000000002E-3</v>
      </c>
      <c r="R3353">
        <f t="shared" si="89"/>
        <v>1</v>
      </c>
    </row>
    <row r="3354" spans="1:18">
      <c r="A3354">
        <f t="shared" si="91"/>
        <v>3353</v>
      </c>
      <c r="B3354" t="str">
        <f t="shared" si="90"/>
        <v>Blount 1982</v>
      </c>
      <c r="C3354">
        <v>444.26</v>
      </c>
      <c r="D3354">
        <v>674</v>
      </c>
      <c r="E3354">
        <v>0.9093</v>
      </c>
      <c r="K3354">
        <v>6.2110000000000004E-3</v>
      </c>
      <c r="R3354">
        <f t="shared" si="89"/>
        <v>1</v>
      </c>
    </row>
    <row r="3355" spans="1:18">
      <c r="A3355">
        <f t="shared" si="91"/>
        <v>3354</v>
      </c>
      <c r="B3355" t="str">
        <f t="shared" si="90"/>
        <v>Blount 1982</v>
      </c>
      <c r="C3355">
        <v>444.26</v>
      </c>
      <c r="D3355">
        <v>467</v>
      </c>
      <c r="E3355">
        <v>0.90169999999999995</v>
      </c>
      <c r="K3355">
        <v>5.2519999999999997E-3</v>
      </c>
      <c r="R3355">
        <f t="shared" si="89"/>
        <v>1</v>
      </c>
    </row>
    <row r="3356" spans="1:18">
      <c r="A3356">
        <f t="shared" si="91"/>
        <v>3355</v>
      </c>
      <c r="B3356" t="str">
        <f t="shared" si="90"/>
        <v>Blount 1982</v>
      </c>
      <c r="C3356">
        <v>444.26</v>
      </c>
      <c r="D3356">
        <v>467</v>
      </c>
      <c r="E3356">
        <v>0.90169999999999995</v>
      </c>
      <c r="K3356">
        <v>5.5120000000000004E-3</v>
      </c>
      <c r="R3356">
        <f t="shared" si="89"/>
        <v>1</v>
      </c>
    </row>
    <row r="3357" spans="1:18">
      <c r="A3357">
        <f t="shared" si="91"/>
        <v>3356</v>
      </c>
      <c r="B3357" t="str">
        <f t="shared" si="90"/>
        <v>Blount 1982</v>
      </c>
      <c r="C3357">
        <v>443.76</v>
      </c>
      <c r="D3357">
        <v>331</v>
      </c>
      <c r="E3357">
        <v>0.89600000000000002</v>
      </c>
      <c r="K3357">
        <v>4.8809999999999999E-3</v>
      </c>
      <c r="R3357">
        <f t="shared" si="89"/>
        <v>1</v>
      </c>
    </row>
    <row r="3358" spans="1:18">
      <c r="A3358">
        <f t="shared" si="91"/>
        <v>3357</v>
      </c>
      <c r="B3358" t="str">
        <f t="shared" si="90"/>
        <v>Blount 1982</v>
      </c>
      <c r="C3358">
        <v>443.76</v>
      </c>
      <c r="D3358">
        <v>331</v>
      </c>
      <c r="E3358">
        <v>0.89600000000000002</v>
      </c>
      <c r="K3358">
        <v>4.5659999999999997E-3</v>
      </c>
      <c r="R3358">
        <f t="shared" si="89"/>
        <v>1</v>
      </c>
    </row>
    <row r="3359" spans="1:18">
      <c r="A3359">
        <f t="shared" si="91"/>
        <v>3358</v>
      </c>
      <c r="B3359" t="str">
        <f t="shared" si="90"/>
        <v>Blount 1982</v>
      </c>
      <c r="C3359">
        <v>443.76</v>
      </c>
      <c r="D3359">
        <v>331</v>
      </c>
      <c r="E3359">
        <v>0.89600000000000002</v>
      </c>
      <c r="K3359">
        <v>4.594E-3</v>
      </c>
      <c r="R3359">
        <f t="shared" si="89"/>
        <v>1</v>
      </c>
    </row>
    <row r="3360" spans="1:18">
      <c r="A3360">
        <f t="shared" si="91"/>
        <v>3359</v>
      </c>
      <c r="B3360" t="str">
        <f t="shared" si="90"/>
        <v>Blount 1982</v>
      </c>
      <c r="C3360">
        <v>443.65</v>
      </c>
      <c r="D3360">
        <v>245</v>
      </c>
      <c r="E3360">
        <v>0.89219999999999999</v>
      </c>
      <c r="K3360">
        <v>3.771E-3</v>
      </c>
      <c r="R3360">
        <f t="shared" si="89"/>
        <v>1</v>
      </c>
    </row>
    <row r="3361" spans="1:18">
      <c r="A3361">
        <f t="shared" si="91"/>
        <v>3360</v>
      </c>
      <c r="B3361" t="str">
        <f t="shared" si="90"/>
        <v>Blount 1982</v>
      </c>
      <c r="C3361">
        <v>443.65</v>
      </c>
      <c r="D3361">
        <v>245</v>
      </c>
      <c r="E3361">
        <v>0.89219999999999999</v>
      </c>
      <c r="K3361">
        <v>3.8809999999999999E-3</v>
      </c>
      <c r="R3361">
        <f t="shared" si="89"/>
        <v>1</v>
      </c>
    </row>
    <row r="3362" spans="1:18">
      <c r="A3362">
        <f t="shared" si="91"/>
        <v>3361</v>
      </c>
      <c r="B3362" t="str">
        <f t="shared" si="90"/>
        <v>Blount 1982</v>
      </c>
      <c r="C3362">
        <v>443.87</v>
      </c>
      <c r="D3362">
        <v>135</v>
      </c>
      <c r="E3362">
        <v>0.89219999999999999</v>
      </c>
      <c r="K3362">
        <v>2.5899999999999999E-3</v>
      </c>
      <c r="R3362">
        <f t="shared" si="89"/>
        <v>1</v>
      </c>
    </row>
    <row r="3363" spans="1:18">
      <c r="A3363">
        <f t="shared" si="91"/>
        <v>3362</v>
      </c>
      <c r="B3363" t="str">
        <f t="shared" si="90"/>
        <v>Blount 1982</v>
      </c>
      <c r="C3363">
        <v>443.87</v>
      </c>
      <c r="D3363">
        <v>135</v>
      </c>
      <c r="E3363">
        <v>0.89219999999999999</v>
      </c>
      <c r="K3363">
        <v>2.48E-3</v>
      </c>
      <c r="R3363">
        <f t="shared" si="89"/>
        <v>1</v>
      </c>
    </row>
    <row r="3364" spans="1:18">
      <c r="A3364">
        <f t="shared" si="91"/>
        <v>3363</v>
      </c>
      <c r="B3364" t="str">
        <f t="shared" si="90"/>
        <v>Blount 1982</v>
      </c>
      <c r="C3364">
        <v>443.93</v>
      </c>
      <c r="D3364">
        <v>1313</v>
      </c>
      <c r="E3364">
        <v>1.9974000000000001</v>
      </c>
      <c r="K3364">
        <v>6.8170000000000001E-3</v>
      </c>
      <c r="R3364">
        <f t="shared" si="89"/>
        <v>1</v>
      </c>
    </row>
    <row r="3365" spans="1:18">
      <c r="A3365">
        <f t="shared" si="91"/>
        <v>3364</v>
      </c>
      <c r="B3365" t="str">
        <f t="shared" si="90"/>
        <v>Blount 1982</v>
      </c>
      <c r="C3365">
        <v>444.15</v>
      </c>
      <c r="D3365">
        <v>1315</v>
      </c>
      <c r="E3365">
        <v>1.9974000000000001</v>
      </c>
      <c r="K3365">
        <v>7.4809999999999998E-3</v>
      </c>
      <c r="R3365">
        <f t="shared" si="89"/>
        <v>1</v>
      </c>
    </row>
    <row r="3366" spans="1:18">
      <c r="A3366">
        <f t="shared" si="91"/>
        <v>3365</v>
      </c>
      <c r="B3366" t="str">
        <f t="shared" si="90"/>
        <v>Blount 1982</v>
      </c>
      <c r="C3366">
        <v>444.15</v>
      </c>
      <c r="D3366">
        <v>1315</v>
      </c>
      <c r="E3366">
        <v>1.9974000000000001</v>
      </c>
      <c r="K3366">
        <v>7.6109999999999997E-3</v>
      </c>
      <c r="R3366">
        <f t="shared" si="89"/>
        <v>1</v>
      </c>
    </row>
    <row r="3367" spans="1:18">
      <c r="A3367">
        <f t="shared" si="91"/>
        <v>3366</v>
      </c>
      <c r="B3367" t="str">
        <f t="shared" si="90"/>
        <v>Blount 1982</v>
      </c>
      <c r="C3367">
        <v>444.15</v>
      </c>
      <c r="D3367">
        <v>1114</v>
      </c>
      <c r="E3367">
        <v>1.9974000000000001</v>
      </c>
      <c r="K3367">
        <v>6.803E-3</v>
      </c>
      <c r="R3367">
        <f t="shared" si="89"/>
        <v>1</v>
      </c>
    </row>
    <row r="3368" spans="1:18">
      <c r="A3368">
        <f t="shared" si="91"/>
        <v>3367</v>
      </c>
      <c r="B3368" t="str">
        <f t="shared" si="90"/>
        <v>Blount 1982</v>
      </c>
      <c r="C3368">
        <v>444.15</v>
      </c>
      <c r="D3368">
        <v>1114</v>
      </c>
      <c r="E3368">
        <v>1.9974000000000001</v>
      </c>
      <c r="K3368">
        <v>6.6299999999999996E-3</v>
      </c>
      <c r="R3368">
        <f t="shared" si="89"/>
        <v>1</v>
      </c>
    </row>
    <row r="3369" spans="1:18">
      <c r="A3369">
        <f t="shared" si="91"/>
        <v>3368</v>
      </c>
      <c r="B3369" t="str">
        <f t="shared" si="90"/>
        <v>Blount 1982</v>
      </c>
      <c r="C3369">
        <v>444.15</v>
      </c>
      <c r="D3369">
        <v>1105</v>
      </c>
      <c r="E3369">
        <v>1.9974000000000001</v>
      </c>
      <c r="K3369">
        <v>6.659E-3</v>
      </c>
      <c r="R3369">
        <f t="shared" si="89"/>
        <v>1</v>
      </c>
    </row>
    <row r="3370" spans="1:18">
      <c r="A3370">
        <f t="shared" si="91"/>
        <v>3369</v>
      </c>
      <c r="B3370" t="str">
        <f t="shared" si="90"/>
        <v>Blount 1982</v>
      </c>
      <c r="C3370">
        <v>444.15</v>
      </c>
      <c r="D3370">
        <v>1105</v>
      </c>
      <c r="E3370">
        <v>1.9974000000000001</v>
      </c>
      <c r="K3370">
        <v>6.5290000000000001E-3</v>
      </c>
      <c r="R3370">
        <f t="shared" si="89"/>
        <v>1</v>
      </c>
    </row>
    <row r="3371" spans="1:18">
      <c r="A3371">
        <f t="shared" si="91"/>
        <v>3370</v>
      </c>
      <c r="B3371" t="str">
        <f t="shared" si="90"/>
        <v>Blount 1982</v>
      </c>
      <c r="C3371">
        <v>444.15</v>
      </c>
      <c r="D3371">
        <v>1105</v>
      </c>
      <c r="E3371">
        <v>1.9974000000000001</v>
      </c>
      <c r="K3371">
        <v>6.9179999999999997E-3</v>
      </c>
      <c r="R3371">
        <f t="shared" si="89"/>
        <v>1</v>
      </c>
    </row>
    <row r="3372" spans="1:18">
      <c r="A3372">
        <f t="shared" si="91"/>
        <v>3371</v>
      </c>
      <c r="B3372" t="str">
        <f t="shared" si="90"/>
        <v>Blount 1982</v>
      </c>
      <c r="C3372">
        <v>444.15</v>
      </c>
      <c r="D3372">
        <v>1105</v>
      </c>
      <c r="E3372">
        <v>1.9974000000000001</v>
      </c>
      <c r="K3372">
        <v>6.9179999999999997E-3</v>
      </c>
      <c r="R3372">
        <f t="shared" si="89"/>
        <v>1</v>
      </c>
    </row>
    <row r="3373" spans="1:18">
      <c r="A3373">
        <f t="shared" si="91"/>
        <v>3372</v>
      </c>
      <c r="B3373" t="str">
        <f t="shared" si="90"/>
        <v>Blount 1982</v>
      </c>
      <c r="C3373">
        <v>444.15</v>
      </c>
      <c r="D3373">
        <v>898</v>
      </c>
      <c r="E3373">
        <v>1.9974000000000001</v>
      </c>
      <c r="K3373">
        <v>5.921E-3</v>
      </c>
      <c r="R3373">
        <f t="shared" si="89"/>
        <v>1</v>
      </c>
    </row>
    <row r="3374" spans="1:18">
      <c r="A3374">
        <f t="shared" si="91"/>
        <v>3373</v>
      </c>
      <c r="B3374" t="str">
        <f t="shared" si="90"/>
        <v>Blount 1982</v>
      </c>
      <c r="C3374">
        <v>444.15</v>
      </c>
      <c r="D3374">
        <v>898</v>
      </c>
      <c r="E3374">
        <v>1.9974000000000001</v>
      </c>
      <c r="K3374">
        <v>6.0660000000000002E-3</v>
      </c>
      <c r="R3374">
        <f t="shared" ref="R3374:R3437" si="92">R3373</f>
        <v>1</v>
      </c>
    </row>
    <row r="3375" spans="1:18">
      <c r="A3375">
        <f t="shared" si="91"/>
        <v>3374</v>
      </c>
      <c r="B3375" t="str">
        <f t="shared" si="90"/>
        <v>Blount 1982</v>
      </c>
      <c r="C3375">
        <v>443.37</v>
      </c>
      <c r="D3375">
        <v>898</v>
      </c>
      <c r="E3375">
        <v>1.9974000000000001</v>
      </c>
      <c r="K3375">
        <v>6.0660000000000002E-3</v>
      </c>
      <c r="R3375">
        <f t="shared" si="92"/>
        <v>1</v>
      </c>
    </row>
    <row r="3376" spans="1:18">
      <c r="A3376">
        <f t="shared" si="91"/>
        <v>3375</v>
      </c>
      <c r="B3376" t="str">
        <f t="shared" si="90"/>
        <v>Blount 1982</v>
      </c>
      <c r="C3376">
        <v>443.37</v>
      </c>
      <c r="D3376">
        <v>898</v>
      </c>
      <c r="E3376">
        <v>1.9974000000000001</v>
      </c>
      <c r="K3376">
        <v>6.2969999999999996E-3</v>
      </c>
      <c r="R3376">
        <f t="shared" si="92"/>
        <v>1</v>
      </c>
    </row>
    <row r="3377" spans="1:18">
      <c r="A3377">
        <f t="shared" si="91"/>
        <v>3376</v>
      </c>
      <c r="B3377" t="str">
        <f t="shared" si="90"/>
        <v>Blount 1982</v>
      </c>
      <c r="C3377">
        <v>444.15</v>
      </c>
      <c r="D3377">
        <v>690</v>
      </c>
      <c r="E3377">
        <v>2.0272000000000001</v>
      </c>
      <c r="K3377">
        <v>5.5100000000000001E-3</v>
      </c>
      <c r="R3377">
        <f t="shared" si="92"/>
        <v>1</v>
      </c>
    </row>
    <row r="3378" spans="1:18">
      <c r="A3378">
        <f t="shared" si="91"/>
        <v>3377</v>
      </c>
      <c r="B3378" t="str">
        <f t="shared" si="90"/>
        <v>Blount 1982</v>
      </c>
      <c r="C3378">
        <v>444.15</v>
      </c>
      <c r="D3378">
        <v>690</v>
      </c>
      <c r="E3378">
        <v>2.0272000000000001</v>
      </c>
      <c r="K3378">
        <v>5.6839999999999998E-3</v>
      </c>
      <c r="R3378">
        <f t="shared" si="92"/>
        <v>1</v>
      </c>
    </row>
    <row r="3379" spans="1:18">
      <c r="A3379">
        <f t="shared" si="91"/>
        <v>3378</v>
      </c>
      <c r="B3379" t="str">
        <f t="shared" si="90"/>
        <v>Blount 1982</v>
      </c>
      <c r="C3379">
        <v>444.15</v>
      </c>
      <c r="D3379">
        <v>692</v>
      </c>
      <c r="E3379">
        <v>2.0272000000000001</v>
      </c>
      <c r="K3379">
        <v>5.3070000000000001E-3</v>
      </c>
      <c r="R3379">
        <f t="shared" si="92"/>
        <v>1</v>
      </c>
    </row>
    <row r="3380" spans="1:18">
      <c r="A3380">
        <f t="shared" si="91"/>
        <v>3379</v>
      </c>
      <c r="B3380" t="str">
        <f t="shared" si="90"/>
        <v>Blount 1982</v>
      </c>
      <c r="C3380">
        <v>444.15</v>
      </c>
      <c r="D3380">
        <v>486</v>
      </c>
      <c r="E3380">
        <v>2.0272000000000001</v>
      </c>
      <c r="K3380">
        <v>4.3200000000000001E-3</v>
      </c>
      <c r="R3380">
        <f t="shared" si="92"/>
        <v>1</v>
      </c>
    </row>
    <row r="3381" spans="1:18">
      <c r="A3381">
        <f t="shared" si="91"/>
        <v>3380</v>
      </c>
      <c r="B3381" t="str">
        <f t="shared" si="90"/>
        <v>Blount 1982</v>
      </c>
      <c r="C3381">
        <v>444.15</v>
      </c>
      <c r="D3381">
        <v>484</v>
      </c>
      <c r="E3381">
        <v>2.0272000000000001</v>
      </c>
      <c r="K3381">
        <v>4.189E-3</v>
      </c>
      <c r="R3381">
        <f t="shared" si="92"/>
        <v>1</v>
      </c>
    </row>
    <row r="3382" spans="1:18">
      <c r="A3382">
        <f t="shared" si="91"/>
        <v>3381</v>
      </c>
      <c r="B3382" t="str">
        <f t="shared" si="90"/>
        <v>Blount 1982</v>
      </c>
      <c r="C3382">
        <v>444.15</v>
      </c>
      <c r="D3382">
        <v>484</v>
      </c>
      <c r="E3382">
        <v>2.0272000000000001</v>
      </c>
      <c r="K3382">
        <v>4.3489999999999996E-3</v>
      </c>
      <c r="R3382">
        <f t="shared" si="92"/>
        <v>1</v>
      </c>
    </row>
    <row r="3383" spans="1:18">
      <c r="A3383">
        <f t="shared" si="91"/>
        <v>3382</v>
      </c>
      <c r="B3383" t="str">
        <f t="shared" si="90"/>
        <v>Blount 1982</v>
      </c>
      <c r="C3383">
        <v>444.15</v>
      </c>
      <c r="D3383">
        <v>482</v>
      </c>
      <c r="E3383">
        <v>2.0272000000000001</v>
      </c>
      <c r="K3383">
        <v>4.2620000000000002E-3</v>
      </c>
      <c r="R3383">
        <f t="shared" si="92"/>
        <v>1</v>
      </c>
    </row>
    <row r="3384" spans="1:18">
      <c r="A3384">
        <f t="shared" si="91"/>
        <v>3383</v>
      </c>
      <c r="B3384" t="str">
        <f t="shared" si="90"/>
        <v>Blount 1982</v>
      </c>
      <c r="C3384">
        <v>444.15</v>
      </c>
      <c r="D3384">
        <v>482</v>
      </c>
      <c r="E3384">
        <v>2.0272000000000001</v>
      </c>
      <c r="K3384">
        <v>4.2329999999999998E-3</v>
      </c>
      <c r="R3384">
        <f t="shared" si="92"/>
        <v>1</v>
      </c>
    </row>
    <row r="3385" spans="1:18">
      <c r="A3385">
        <f t="shared" si="91"/>
        <v>3384</v>
      </c>
      <c r="B3385" t="str">
        <f t="shared" si="90"/>
        <v>Blount 1982</v>
      </c>
      <c r="C3385">
        <v>444.15</v>
      </c>
      <c r="D3385">
        <v>348</v>
      </c>
      <c r="E3385">
        <v>2.0272000000000001</v>
      </c>
      <c r="K3385">
        <v>3.5349999999999999E-3</v>
      </c>
      <c r="R3385">
        <f t="shared" si="92"/>
        <v>1</v>
      </c>
    </row>
    <row r="3386" spans="1:18">
      <c r="A3386">
        <f t="shared" si="91"/>
        <v>3385</v>
      </c>
      <c r="B3386" t="str">
        <f t="shared" si="90"/>
        <v>Blount 1982</v>
      </c>
      <c r="C3386">
        <v>444.15</v>
      </c>
      <c r="D3386">
        <v>348</v>
      </c>
      <c r="E3386">
        <v>2.0272000000000001</v>
      </c>
      <c r="K3386">
        <v>3.7820000000000002E-3</v>
      </c>
      <c r="R3386">
        <f t="shared" si="92"/>
        <v>1</v>
      </c>
    </row>
    <row r="3387" spans="1:18">
      <c r="A3387">
        <f t="shared" si="91"/>
        <v>3386</v>
      </c>
      <c r="B3387" t="str">
        <f t="shared" si="90"/>
        <v>Blount 1982</v>
      </c>
      <c r="C3387">
        <v>444.15</v>
      </c>
      <c r="D3387">
        <v>362</v>
      </c>
      <c r="E3387">
        <v>2.0272000000000001</v>
      </c>
      <c r="K3387">
        <v>3.738E-3</v>
      </c>
      <c r="R3387">
        <f t="shared" si="92"/>
        <v>1</v>
      </c>
    </row>
    <row r="3388" spans="1:18">
      <c r="A3388">
        <f t="shared" si="91"/>
        <v>3387</v>
      </c>
      <c r="B3388" t="str">
        <f t="shared" ref="B3388:B3451" si="93">B3387</f>
        <v>Blount 1982</v>
      </c>
      <c r="C3388">
        <v>444.15</v>
      </c>
      <c r="D3388">
        <v>362</v>
      </c>
      <c r="E3388">
        <v>2.0272000000000001</v>
      </c>
      <c r="K3388">
        <v>3.4910000000000002E-3</v>
      </c>
      <c r="R3388">
        <f t="shared" si="92"/>
        <v>1</v>
      </c>
    </row>
    <row r="3389" spans="1:18">
      <c r="A3389">
        <f t="shared" si="91"/>
        <v>3388</v>
      </c>
      <c r="B3389" t="str">
        <f t="shared" si="93"/>
        <v>Blount 1982</v>
      </c>
      <c r="C3389">
        <v>444.15</v>
      </c>
      <c r="D3389">
        <v>245</v>
      </c>
      <c r="E3389">
        <v>2.0272000000000001</v>
      </c>
      <c r="K3389">
        <v>3.0829999999999998E-3</v>
      </c>
      <c r="R3389">
        <f t="shared" si="92"/>
        <v>1</v>
      </c>
    </row>
    <row r="3390" spans="1:18">
      <c r="A3390">
        <f t="shared" si="91"/>
        <v>3389</v>
      </c>
      <c r="B3390" t="str">
        <f t="shared" si="93"/>
        <v>Blount 1982</v>
      </c>
      <c r="C3390">
        <v>444.15</v>
      </c>
      <c r="D3390">
        <v>245</v>
      </c>
      <c r="E3390">
        <v>2.0272000000000001</v>
      </c>
      <c r="K3390">
        <v>2.8649999999999999E-3</v>
      </c>
      <c r="R3390">
        <f t="shared" si="92"/>
        <v>1</v>
      </c>
    </row>
    <row r="3391" spans="1:18">
      <c r="A3391">
        <f t="shared" si="91"/>
        <v>3390</v>
      </c>
      <c r="B3391" t="str">
        <f t="shared" si="93"/>
        <v>Blount 1982</v>
      </c>
      <c r="C3391">
        <v>444.15</v>
      </c>
      <c r="D3391">
        <v>246</v>
      </c>
      <c r="E3391">
        <v>1.9846999999999999</v>
      </c>
      <c r="K3391">
        <v>3.2799999999999999E-3</v>
      </c>
      <c r="R3391">
        <f t="shared" si="92"/>
        <v>1</v>
      </c>
    </row>
    <row r="3392" spans="1:18">
      <c r="A3392">
        <f t="shared" si="91"/>
        <v>3391</v>
      </c>
      <c r="B3392" t="str">
        <f t="shared" si="93"/>
        <v>Blount 1982</v>
      </c>
      <c r="C3392">
        <v>444.15</v>
      </c>
      <c r="D3392">
        <v>246</v>
      </c>
      <c r="E3392">
        <v>1.9846999999999999</v>
      </c>
      <c r="K3392">
        <v>2.9169999999999999E-3</v>
      </c>
      <c r="R3392">
        <f t="shared" si="92"/>
        <v>1</v>
      </c>
    </row>
    <row r="3393" spans="1:18">
      <c r="A3393">
        <f t="shared" si="91"/>
        <v>3392</v>
      </c>
      <c r="B3393" t="str">
        <f t="shared" si="93"/>
        <v>Blount 1982</v>
      </c>
      <c r="C3393">
        <v>444.15</v>
      </c>
      <c r="D3393">
        <v>138</v>
      </c>
      <c r="E3393">
        <v>1.9846999999999999</v>
      </c>
      <c r="K3393">
        <v>2.5089999999999999E-3</v>
      </c>
      <c r="R3393">
        <f t="shared" si="92"/>
        <v>1</v>
      </c>
    </row>
    <row r="3394" spans="1:18">
      <c r="A3394">
        <f t="shared" si="91"/>
        <v>3393</v>
      </c>
      <c r="B3394" t="str">
        <f t="shared" si="93"/>
        <v>Blount 1982</v>
      </c>
      <c r="C3394">
        <v>444.15</v>
      </c>
      <c r="D3394">
        <v>138</v>
      </c>
      <c r="E3394">
        <v>1.9846999999999999</v>
      </c>
      <c r="K3394">
        <v>2.4369999999999999E-3</v>
      </c>
      <c r="R3394">
        <f t="shared" si="92"/>
        <v>1</v>
      </c>
    </row>
    <row r="3395" spans="1:18">
      <c r="A3395">
        <f t="shared" si="91"/>
        <v>3394</v>
      </c>
      <c r="B3395" t="str">
        <f t="shared" si="93"/>
        <v>Blount 1982</v>
      </c>
      <c r="C3395">
        <v>444.15</v>
      </c>
      <c r="D3395">
        <v>138</v>
      </c>
      <c r="E3395">
        <v>1.9846999999999999</v>
      </c>
      <c r="K3395">
        <v>2.029E-3</v>
      </c>
      <c r="R3395">
        <f t="shared" si="92"/>
        <v>1</v>
      </c>
    </row>
    <row r="3396" spans="1:18">
      <c r="A3396">
        <f t="shared" ref="A3396:A3459" si="94">A3395+1</f>
        <v>3395</v>
      </c>
      <c r="B3396" t="str">
        <f t="shared" si="93"/>
        <v>Blount 1982</v>
      </c>
      <c r="C3396">
        <v>444.15</v>
      </c>
      <c r="D3396">
        <v>138</v>
      </c>
      <c r="E3396">
        <v>1.9846999999999999</v>
      </c>
      <c r="K3396">
        <v>2.2759999999999998E-3</v>
      </c>
      <c r="R3396">
        <f t="shared" si="92"/>
        <v>1</v>
      </c>
    </row>
    <row r="3397" spans="1:18">
      <c r="A3397">
        <f t="shared" si="94"/>
        <v>3396</v>
      </c>
      <c r="B3397" t="str">
        <f t="shared" si="93"/>
        <v>Blount 1982</v>
      </c>
      <c r="C3397">
        <v>443.15</v>
      </c>
      <c r="D3397">
        <v>1556</v>
      </c>
      <c r="E3397">
        <v>3.3445</v>
      </c>
      <c r="K3397">
        <v>7.1890000000000001E-3</v>
      </c>
      <c r="R3397">
        <f t="shared" si="92"/>
        <v>1</v>
      </c>
    </row>
    <row r="3398" spans="1:18">
      <c r="A3398">
        <f t="shared" si="94"/>
        <v>3397</v>
      </c>
      <c r="B3398" t="str">
        <f t="shared" si="93"/>
        <v>Blount 1982</v>
      </c>
      <c r="C3398">
        <v>443.15</v>
      </c>
      <c r="D3398">
        <v>1556</v>
      </c>
      <c r="E3398">
        <v>3.3445</v>
      </c>
      <c r="K3398">
        <v>7.0809999999999996E-3</v>
      </c>
      <c r="R3398">
        <f t="shared" si="92"/>
        <v>1</v>
      </c>
    </row>
    <row r="3399" spans="1:18">
      <c r="A3399">
        <f t="shared" si="94"/>
        <v>3398</v>
      </c>
      <c r="B3399" t="str">
        <f t="shared" si="93"/>
        <v>Blount 1982</v>
      </c>
      <c r="C3399">
        <v>443.15</v>
      </c>
      <c r="D3399">
        <v>1557</v>
      </c>
      <c r="E3399">
        <v>3.3008999999999999</v>
      </c>
      <c r="K3399">
        <v>7.1279999999999998E-3</v>
      </c>
      <c r="R3399">
        <f t="shared" si="92"/>
        <v>1</v>
      </c>
    </row>
    <row r="3400" spans="1:18">
      <c r="A3400">
        <f t="shared" si="94"/>
        <v>3399</v>
      </c>
      <c r="B3400" t="str">
        <f t="shared" si="93"/>
        <v>Blount 1982</v>
      </c>
      <c r="C3400">
        <v>443.15</v>
      </c>
      <c r="D3400">
        <v>1557</v>
      </c>
      <c r="E3400">
        <v>3.3008999999999999</v>
      </c>
      <c r="K3400">
        <v>6.8820000000000001E-3</v>
      </c>
      <c r="R3400">
        <f t="shared" si="92"/>
        <v>1</v>
      </c>
    </row>
    <row r="3401" spans="1:18">
      <c r="A3401">
        <f t="shared" si="94"/>
        <v>3400</v>
      </c>
      <c r="B3401" t="str">
        <f t="shared" si="93"/>
        <v>Blount 1982</v>
      </c>
      <c r="C3401">
        <v>443.37</v>
      </c>
      <c r="D3401">
        <v>1315</v>
      </c>
      <c r="E3401">
        <v>3.3323</v>
      </c>
      <c r="K3401">
        <v>6.5370000000000003E-3</v>
      </c>
      <c r="R3401">
        <f t="shared" si="92"/>
        <v>1</v>
      </c>
    </row>
    <row r="3402" spans="1:18">
      <c r="A3402">
        <f t="shared" si="94"/>
        <v>3401</v>
      </c>
      <c r="B3402" t="str">
        <f t="shared" si="93"/>
        <v>Blount 1982</v>
      </c>
      <c r="C3402">
        <v>443.37</v>
      </c>
      <c r="D3402">
        <v>1315</v>
      </c>
      <c r="E3402">
        <v>3.3323</v>
      </c>
      <c r="K3402">
        <v>6.3680000000000004E-3</v>
      </c>
      <c r="R3402">
        <f t="shared" si="92"/>
        <v>1</v>
      </c>
    </row>
    <row r="3403" spans="1:18">
      <c r="A3403">
        <f t="shared" si="94"/>
        <v>3402</v>
      </c>
      <c r="B3403" t="str">
        <f t="shared" si="93"/>
        <v>Blount 1982</v>
      </c>
      <c r="C3403">
        <v>442.15</v>
      </c>
      <c r="D3403">
        <v>1110</v>
      </c>
      <c r="E3403">
        <v>3.2454000000000001</v>
      </c>
      <c r="K3403">
        <v>6.1570000000000001E-3</v>
      </c>
      <c r="R3403">
        <f t="shared" si="92"/>
        <v>1</v>
      </c>
    </row>
    <row r="3404" spans="1:18">
      <c r="A3404">
        <f t="shared" si="94"/>
        <v>3403</v>
      </c>
      <c r="B3404" t="str">
        <f t="shared" si="93"/>
        <v>Blount 1982</v>
      </c>
      <c r="C3404">
        <v>442.15</v>
      </c>
      <c r="D3404">
        <v>1110</v>
      </c>
      <c r="E3404">
        <v>3.2454000000000001</v>
      </c>
      <c r="K3404">
        <v>6.4640000000000001E-3</v>
      </c>
      <c r="R3404">
        <f t="shared" si="92"/>
        <v>1</v>
      </c>
    </row>
    <row r="3405" spans="1:18">
      <c r="A3405">
        <f t="shared" si="94"/>
        <v>3404</v>
      </c>
      <c r="B3405" t="str">
        <f t="shared" si="93"/>
        <v>Blount 1982</v>
      </c>
      <c r="C3405">
        <v>443.37</v>
      </c>
      <c r="D3405">
        <v>903</v>
      </c>
      <c r="E3405">
        <v>3.1974</v>
      </c>
      <c r="K3405">
        <v>5.0829999999999998E-3</v>
      </c>
      <c r="R3405">
        <f t="shared" si="92"/>
        <v>1</v>
      </c>
    </row>
    <row r="3406" spans="1:18">
      <c r="A3406">
        <f t="shared" si="94"/>
        <v>3405</v>
      </c>
      <c r="B3406" t="str">
        <f t="shared" si="93"/>
        <v>Blount 1982</v>
      </c>
      <c r="C3406">
        <v>443.37</v>
      </c>
      <c r="D3406">
        <v>903</v>
      </c>
      <c r="E3406">
        <v>3.1974</v>
      </c>
      <c r="K3406">
        <v>5.1139999999999996E-3</v>
      </c>
      <c r="R3406">
        <f t="shared" si="92"/>
        <v>1</v>
      </c>
    </row>
    <row r="3407" spans="1:18">
      <c r="A3407">
        <f t="shared" si="94"/>
        <v>3406</v>
      </c>
      <c r="B3407" t="str">
        <f t="shared" si="93"/>
        <v>Blount 1982</v>
      </c>
      <c r="C3407">
        <v>442.15</v>
      </c>
      <c r="D3407">
        <v>710</v>
      </c>
      <c r="E3407">
        <v>3.2382</v>
      </c>
      <c r="K3407">
        <v>4.6160000000000003E-3</v>
      </c>
      <c r="R3407">
        <f t="shared" si="92"/>
        <v>1</v>
      </c>
    </row>
    <row r="3408" spans="1:18">
      <c r="A3408">
        <f t="shared" si="94"/>
        <v>3407</v>
      </c>
      <c r="B3408" t="str">
        <f t="shared" si="93"/>
        <v>Blount 1982</v>
      </c>
      <c r="C3408">
        <v>442.15</v>
      </c>
      <c r="D3408">
        <v>710</v>
      </c>
      <c r="E3408">
        <v>3.2382</v>
      </c>
      <c r="K3408">
        <v>4.261E-3</v>
      </c>
      <c r="R3408">
        <f t="shared" si="92"/>
        <v>1</v>
      </c>
    </row>
    <row r="3409" spans="1:18">
      <c r="A3409">
        <f t="shared" si="94"/>
        <v>3408</v>
      </c>
      <c r="B3409" t="str">
        <f t="shared" si="93"/>
        <v>Blount 1982</v>
      </c>
      <c r="C3409">
        <v>442.15</v>
      </c>
      <c r="D3409">
        <v>494</v>
      </c>
      <c r="E3409">
        <v>3.2382</v>
      </c>
      <c r="K3409">
        <v>4.1529999999999996E-3</v>
      </c>
      <c r="R3409">
        <f t="shared" si="92"/>
        <v>1</v>
      </c>
    </row>
    <row r="3410" spans="1:18">
      <c r="A3410">
        <f t="shared" si="94"/>
        <v>3409</v>
      </c>
      <c r="B3410" t="str">
        <f t="shared" si="93"/>
        <v>Blount 1982</v>
      </c>
      <c r="C3410">
        <v>442.15</v>
      </c>
      <c r="D3410">
        <v>494</v>
      </c>
      <c r="E3410">
        <v>3.2382</v>
      </c>
      <c r="K3410">
        <v>4.0759999999999998E-3</v>
      </c>
      <c r="R3410">
        <f t="shared" si="92"/>
        <v>1</v>
      </c>
    </row>
    <row r="3411" spans="1:18">
      <c r="A3411">
        <f t="shared" si="94"/>
        <v>3410</v>
      </c>
      <c r="B3411" t="str">
        <f t="shared" si="93"/>
        <v>Blount 1982</v>
      </c>
      <c r="C3411">
        <v>442.15</v>
      </c>
      <c r="D3411">
        <v>352</v>
      </c>
      <c r="E3411">
        <v>3.2382</v>
      </c>
      <c r="K3411">
        <v>3.3649999999999999E-3</v>
      </c>
      <c r="R3411">
        <f t="shared" si="92"/>
        <v>1</v>
      </c>
    </row>
    <row r="3412" spans="1:18">
      <c r="A3412">
        <f t="shared" si="94"/>
        <v>3411</v>
      </c>
      <c r="B3412" t="str">
        <f t="shared" si="93"/>
        <v>Blount 1982</v>
      </c>
      <c r="C3412">
        <v>442.15</v>
      </c>
      <c r="D3412">
        <v>352</v>
      </c>
      <c r="E3412">
        <v>3.2382</v>
      </c>
      <c r="K3412">
        <v>3.3340000000000002E-3</v>
      </c>
      <c r="R3412">
        <f t="shared" si="92"/>
        <v>1</v>
      </c>
    </row>
    <row r="3413" spans="1:18">
      <c r="A3413">
        <f t="shared" si="94"/>
        <v>3412</v>
      </c>
      <c r="B3413" t="str">
        <f t="shared" si="93"/>
        <v>Blount 1982</v>
      </c>
      <c r="C3413">
        <v>442.15</v>
      </c>
      <c r="D3413">
        <v>245</v>
      </c>
      <c r="E3413">
        <v>3.2382</v>
      </c>
      <c r="K3413">
        <v>2.6540000000000001E-3</v>
      </c>
      <c r="R3413">
        <f t="shared" si="92"/>
        <v>1</v>
      </c>
    </row>
    <row r="3414" spans="1:18">
      <c r="A3414">
        <f t="shared" si="94"/>
        <v>3413</v>
      </c>
      <c r="B3414" t="str">
        <f t="shared" si="93"/>
        <v>Blount 1982</v>
      </c>
      <c r="C3414">
        <v>442.15</v>
      </c>
      <c r="D3414">
        <v>245</v>
      </c>
      <c r="E3414">
        <v>3.2382</v>
      </c>
      <c r="K3414">
        <v>2.7309999999999999E-3</v>
      </c>
      <c r="R3414">
        <f t="shared" si="92"/>
        <v>1</v>
      </c>
    </row>
    <row r="3415" spans="1:18">
      <c r="A3415">
        <f t="shared" si="94"/>
        <v>3414</v>
      </c>
      <c r="B3415" t="str">
        <f t="shared" si="93"/>
        <v>Blount 1982</v>
      </c>
      <c r="C3415">
        <v>442.65</v>
      </c>
      <c r="D3415">
        <v>142</v>
      </c>
      <c r="E3415">
        <v>3.2382</v>
      </c>
      <c r="K3415">
        <v>2.0500000000000002E-3</v>
      </c>
      <c r="R3415">
        <f t="shared" si="92"/>
        <v>1</v>
      </c>
    </row>
    <row r="3416" spans="1:18">
      <c r="A3416">
        <f t="shared" si="94"/>
        <v>3415</v>
      </c>
      <c r="B3416" t="str">
        <f t="shared" si="93"/>
        <v>Blount 1982</v>
      </c>
      <c r="C3416">
        <v>442.93</v>
      </c>
      <c r="D3416">
        <v>139</v>
      </c>
      <c r="E3416">
        <v>3.2382</v>
      </c>
      <c r="K3416">
        <v>1.926E-3</v>
      </c>
      <c r="R3416">
        <f t="shared" si="92"/>
        <v>1</v>
      </c>
    </row>
    <row r="3417" spans="1:18">
      <c r="A3417">
        <f t="shared" si="94"/>
        <v>3416</v>
      </c>
      <c r="B3417" t="str">
        <f t="shared" si="93"/>
        <v>Blount 1982</v>
      </c>
      <c r="C3417">
        <v>442.93</v>
      </c>
      <c r="D3417">
        <v>139</v>
      </c>
      <c r="E3417">
        <v>3.2382</v>
      </c>
      <c r="K3417">
        <v>1.926E-3</v>
      </c>
      <c r="R3417">
        <f t="shared" si="92"/>
        <v>1</v>
      </c>
    </row>
    <row r="3418" spans="1:18">
      <c r="A3418">
        <f t="shared" si="94"/>
        <v>3417</v>
      </c>
      <c r="B3418" t="str">
        <f t="shared" si="93"/>
        <v>Blount 1982</v>
      </c>
      <c r="C3418">
        <v>443.37</v>
      </c>
      <c r="D3418">
        <v>1554</v>
      </c>
      <c r="E3418">
        <v>4.9218000000000002</v>
      </c>
      <c r="K3418">
        <v>6.3829999999999998E-3</v>
      </c>
      <c r="R3418">
        <f t="shared" si="92"/>
        <v>1</v>
      </c>
    </row>
    <row r="3419" spans="1:18">
      <c r="A3419">
        <f t="shared" si="94"/>
        <v>3418</v>
      </c>
      <c r="B3419" t="str">
        <f t="shared" si="93"/>
        <v>Blount 1982</v>
      </c>
      <c r="C3419">
        <v>443.37</v>
      </c>
      <c r="D3419">
        <v>1554</v>
      </c>
      <c r="E3419">
        <v>4.9218000000000002</v>
      </c>
      <c r="K3419">
        <v>6.2839999999999997E-3</v>
      </c>
      <c r="R3419">
        <f t="shared" si="92"/>
        <v>1</v>
      </c>
    </row>
    <row r="3420" spans="1:18">
      <c r="A3420">
        <f t="shared" si="94"/>
        <v>3419</v>
      </c>
      <c r="B3420" t="str">
        <f t="shared" si="93"/>
        <v>Blount 1982</v>
      </c>
      <c r="C3420">
        <v>443.37</v>
      </c>
      <c r="D3420">
        <v>1540</v>
      </c>
      <c r="E3420">
        <v>4.9218000000000002</v>
      </c>
      <c r="K3420">
        <v>6.5160000000000001E-3</v>
      </c>
      <c r="R3420">
        <f t="shared" si="92"/>
        <v>1</v>
      </c>
    </row>
    <row r="3421" spans="1:18">
      <c r="A3421">
        <f t="shared" si="94"/>
        <v>3420</v>
      </c>
      <c r="B3421" t="str">
        <f t="shared" si="93"/>
        <v>Blount 1982</v>
      </c>
      <c r="C3421">
        <v>443.37</v>
      </c>
      <c r="D3421">
        <v>1540</v>
      </c>
      <c r="E3421">
        <v>4.9218000000000002</v>
      </c>
      <c r="K3421">
        <v>6.5490000000000001E-3</v>
      </c>
      <c r="R3421">
        <f t="shared" si="92"/>
        <v>1</v>
      </c>
    </row>
    <row r="3422" spans="1:18">
      <c r="A3422">
        <f t="shared" si="94"/>
        <v>3421</v>
      </c>
      <c r="B3422" t="str">
        <f t="shared" si="93"/>
        <v>Blount 1982</v>
      </c>
      <c r="C3422">
        <v>443.15</v>
      </c>
      <c r="D3422">
        <v>1316</v>
      </c>
      <c r="E3422">
        <v>4.9050000000000002</v>
      </c>
      <c r="K3422">
        <v>5.731E-3</v>
      </c>
      <c r="R3422">
        <f t="shared" si="92"/>
        <v>1</v>
      </c>
    </row>
    <row r="3423" spans="1:18">
      <c r="A3423">
        <f t="shared" si="94"/>
        <v>3422</v>
      </c>
      <c r="B3423" t="str">
        <f t="shared" si="93"/>
        <v>Blount 1982</v>
      </c>
      <c r="C3423">
        <v>443.15</v>
      </c>
      <c r="D3423">
        <v>1316</v>
      </c>
      <c r="E3423">
        <v>4.9050000000000002</v>
      </c>
      <c r="K3423">
        <v>5.3319999999999999E-3</v>
      </c>
      <c r="R3423">
        <f t="shared" si="92"/>
        <v>1</v>
      </c>
    </row>
    <row r="3424" spans="1:18">
      <c r="A3424">
        <f t="shared" si="94"/>
        <v>3423</v>
      </c>
      <c r="B3424" t="str">
        <f t="shared" si="93"/>
        <v>Blount 1982</v>
      </c>
      <c r="C3424">
        <v>442.93</v>
      </c>
      <c r="D3424">
        <v>1105</v>
      </c>
      <c r="E3424">
        <v>4.8994</v>
      </c>
      <c r="K3424">
        <v>5.032E-3</v>
      </c>
      <c r="R3424">
        <f t="shared" si="92"/>
        <v>1</v>
      </c>
    </row>
    <row r="3425" spans="1:18">
      <c r="A3425">
        <f t="shared" si="94"/>
        <v>3424</v>
      </c>
      <c r="B3425" t="str">
        <f t="shared" si="93"/>
        <v>Blount 1982</v>
      </c>
      <c r="C3425">
        <v>443.15</v>
      </c>
      <c r="D3425">
        <v>1108</v>
      </c>
      <c r="E3425">
        <v>4.8994</v>
      </c>
      <c r="K3425">
        <v>4.9150000000000001E-3</v>
      </c>
      <c r="R3425">
        <f t="shared" si="92"/>
        <v>1</v>
      </c>
    </row>
    <row r="3426" spans="1:18">
      <c r="A3426">
        <f t="shared" si="94"/>
        <v>3425</v>
      </c>
      <c r="B3426" t="str">
        <f t="shared" si="93"/>
        <v>Blount 1982</v>
      </c>
      <c r="C3426">
        <v>443.15</v>
      </c>
      <c r="D3426">
        <v>1108</v>
      </c>
      <c r="E3426">
        <v>4.8994</v>
      </c>
      <c r="K3426">
        <v>5.2639999999999996E-3</v>
      </c>
      <c r="R3426">
        <f t="shared" si="92"/>
        <v>1</v>
      </c>
    </row>
    <row r="3427" spans="1:18">
      <c r="A3427">
        <f t="shared" si="94"/>
        <v>3426</v>
      </c>
      <c r="B3427" t="str">
        <f t="shared" si="93"/>
        <v>Blount 1982</v>
      </c>
      <c r="C3427">
        <v>443.15</v>
      </c>
      <c r="D3427">
        <v>902</v>
      </c>
      <c r="E3427">
        <v>4.9050000000000002</v>
      </c>
      <c r="K3427">
        <v>4.7000000000000002E-3</v>
      </c>
      <c r="R3427">
        <f t="shared" si="92"/>
        <v>1</v>
      </c>
    </row>
    <row r="3428" spans="1:18">
      <c r="A3428">
        <f t="shared" si="94"/>
        <v>3427</v>
      </c>
      <c r="B3428" t="str">
        <f t="shared" si="93"/>
        <v>Blount 1982</v>
      </c>
      <c r="C3428">
        <v>443.15</v>
      </c>
      <c r="D3428">
        <v>903</v>
      </c>
      <c r="E3428">
        <v>4.9050000000000002</v>
      </c>
      <c r="K3428">
        <v>4.8500000000000001E-3</v>
      </c>
      <c r="R3428">
        <f t="shared" si="92"/>
        <v>1</v>
      </c>
    </row>
    <row r="3429" spans="1:18">
      <c r="A3429">
        <f t="shared" si="94"/>
        <v>3428</v>
      </c>
      <c r="B3429" t="str">
        <f t="shared" si="93"/>
        <v>Blount 1982</v>
      </c>
      <c r="C3429">
        <v>443.15</v>
      </c>
      <c r="D3429">
        <v>903</v>
      </c>
      <c r="E3429">
        <v>4.9050000000000002</v>
      </c>
      <c r="K3429">
        <v>5.0829999999999998E-3</v>
      </c>
      <c r="R3429">
        <f t="shared" si="92"/>
        <v>1</v>
      </c>
    </row>
    <row r="3430" spans="1:18">
      <c r="A3430">
        <f t="shared" si="94"/>
        <v>3429</v>
      </c>
      <c r="B3430" t="str">
        <f t="shared" si="93"/>
        <v>Blount 1982</v>
      </c>
      <c r="C3430">
        <v>442.93</v>
      </c>
      <c r="D3430">
        <v>694</v>
      </c>
      <c r="E3430">
        <v>4.8994</v>
      </c>
      <c r="K3430">
        <v>3.8990000000000001E-3</v>
      </c>
      <c r="R3430">
        <f t="shared" si="92"/>
        <v>1</v>
      </c>
    </row>
    <row r="3431" spans="1:18">
      <c r="A3431">
        <f t="shared" si="94"/>
        <v>3430</v>
      </c>
      <c r="B3431" t="str">
        <f t="shared" si="93"/>
        <v>Blount 1982</v>
      </c>
      <c r="C3431">
        <v>443.37</v>
      </c>
      <c r="D3431">
        <v>693</v>
      </c>
      <c r="E3431">
        <v>4.8994</v>
      </c>
      <c r="K3431">
        <v>3.8990000000000001E-3</v>
      </c>
      <c r="R3431">
        <f t="shared" si="92"/>
        <v>1</v>
      </c>
    </row>
    <row r="3432" spans="1:18">
      <c r="A3432">
        <f t="shared" si="94"/>
        <v>3431</v>
      </c>
      <c r="B3432" t="str">
        <f t="shared" si="93"/>
        <v>Blount 1982</v>
      </c>
      <c r="C3432">
        <v>443.37</v>
      </c>
      <c r="D3432">
        <v>693</v>
      </c>
      <c r="E3432">
        <v>4.8994</v>
      </c>
      <c r="K3432">
        <v>3.9160000000000002E-3</v>
      </c>
      <c r="R3432">
        <f t="shared" si="92"/>
        <v>1</v>
      </c>
    </row>
    <row r="3433" spans="1:18">
      <c r="A3433">
        <f t="shared" si="94"/>
        <v>3432</v>
      </c>
      <c r="B3433" t="str">
        <f t="shared" si="93"/>
        <v>Blount 1982</v>
      </c>
      <c r="C3433">
        <v>441.93</v>
      </c>
      <c r="D3433">
        <v>485</v>
      </c>
      <c r="E3433">
        <v>4.8128000000000002</v>
      </c>
      <c r="K3433">
        <v>3.2360000000000002E-3</v>
      </c>
      <c r="R3433">
        <f t="shared" si="92"/>
        <v>1</v>
      </c>
    </row>
    <row r="3434" spans="1:18">
      <c r="A3434">
        <f t="shared" si="94"/>
        <v>3433</v>
      </c>
      <c r="B3434" t="str">
        <f t="shared" si="93"/>
        <v>Blount 1982</v>
      </c>
      <c r="C3434">
        <v>443.15</v>
      </c>
      <c r="D3434">
        <v>489</v>
      </c>
      <c r="E3434">
        <v>4.8128000000000002</v>
      </c>
      <c r="K3434">
        <v>3.5360000000000001E-3</v>
      </c>
      <c r="R3434">
        <f t="shared" si="92"/>
        <v>1</v>
      </c>
    </row>
    <row r="3435" spans="1:18">
      <c r="A3435">
        <f t="shared" si="94"/>
        <v>3434</v>
      </c>
      <c r="B3435" t="str">
        <f t="shared" si="93"/>
        <v>Blount 1982</v>
      </c>
      <c r="C3435">
        <v>443.15</v>
      </c>
      <c r="D3435">
        <v>489</v>
      </c>
      <c r="E3435">
        <v>4.8128000000000002</v>
      </c>
      <c r="K3435">
        <v>3.4520000000000002E-3</v>
      </c>
      <c r="R3435">
        <f t="shared" si="92"/>
        <v>1</v>
      </c>
    </row>
    <row r="3436" spans="1:18">
      <c r="A3436">
        <f t="shared" si="94"/>
        <v>3435</v>
      </c>
      <c r="B3436" t="str">
        <f t="shared" si="93"/>
        <v>Blount 1982</v>
      </c>
      <c r="C3436">
        <v>443.15</v>
      </c>
      <c r="D3436">
        <v>357</v>
      </c>
      <c r="E3436">
        <v>4.9837999999999996</v>
      </c>
      <c r="K3436">
        <v>2.5569999999999998E-3</v>
      </c>
      <c r="R3436">
        <f t="shared" si="92"/>
        <v>1</v>
      </c>
    </row>
    <row r="3437" spans="1:18">
      <c r="A3437">
        <f t="shared" si="94"/>
        <v>3436</v>
      </c>
      <c r="B3437" t="str">
        <f t="shared" si="93"/>
        <v>Blount 1982</v>
      </c>
      <c r="C3437">
        <v>443.15</v>
      </c>
      <c r="D3437">
        <v>347</v>
      </c>
      <c r="E3437">
        <v>4.9837999999999996</v>
      </c>
      <c r="K3437">
        <v>2.4559999999999998E-3</v>
      </c>
      <c r="R3437">
        <f t="shared" si="92"/>
        <v>1</v>
      </c>
    </row>
    <row r="3438" spans="1:18">
      <c r="A3438">
        <f t="shared" si="94"/>
        <v>3437</v>
      </c>
      <c r="B3438" t="str">
        <f t="shared" si="93"/>
        <v>Blount 1982</v>
      </c>
      <c r="C3438">
        <v>443.15</v>
      </c>
      <c r="D3438">
        <v>347</v>
      </c>
      <c r="E3438">
        <v>4.9837999999999996</v>
      </c>
      <c r="K3438">
        <v>2.5400000000000002E-3</v>
      </c>
      <c r="R3438">
        <f t="shared" ref="R3438:R3501" si="95">R3437</f>
        <v>1</v>
      </c>
    </row>
    <row r="3439" spans="1:18">
      <c r="A3439">
        <f t="shared" si="94"/>
        <v>3438</v>
      </c>
      <c r="B3439" t="str">
        <f t="shared" si="93"/>
        <v>Blount 1982</v>
      </c>
      <c r="C3439">
        <v>443.15</v>
      </c>
      <c r="D3439">
        <v>250</v>
      </c>
      <c r="E3439">
        <v>4.8128000000000002</v>
      </c>
      <c r="K3439">
        <v>2.1380000000000001E-3</v>
      </c>
      <c r="R3439">
        <f t="shared" si="95"/>
        <v>1</v>
      </c>
    </row>
    <row r="3440" spans="1:18">
      <c r="A3440">
        <f t="shared" si="94"/>
        <v>3439</v>
      </c>
      <c r="B3440" t="str">
        <f t="shared" si="93"/>
        <v>Blount 1982</v>
      </c>
      <c r="C3440">
        <v>443.15</v>
      </c>
      <c r="D3440">
        <v>250</v>
      </c>
      <c r="E3440">
        <v>4.8128000000000002</v>
      </c>
      <c r="K3440">
        <v>1.9880000000000002E-3</v>
      </c>
      <c r="R3440">
        <f t="shared" si="95"/>
        <v>1</v>
      </c>
    </row>
    <row r="3441" spans="1:18">
      <c r="A3441">
        <f t="shared" si="94"/>
        <v>3440</v>
      </c>
      <c r="B3441" t="str">
        <f t="shared" si="93"/>
        <v>Blount 1982</v>
      </c>
      <c r="C3441">
        <v>443.37</v>
      </c>
      <c r="D3441">
        <v>156</v>
      </c>
      <c r="E3441">
        <v>4.9837999999999996</v>
      </c>
      <c r="K3441">
        <v>1.616E-3</v>
      </c>
      <c r="R3441">
        <f t="shared" si="95"/>
        <v>1</v>
      </c>
    </row>
    <row r="3442" spans="1:18">
      <c r="A3442">
        <f t="shared" si="94"/>
        <v>3441</v>
      </c>
      <c r="B3442" t="str">
        <f t="shared" si="93"/>
        <v>Blount 1982</v>
      </c>
      <c r="C3442">
        <v>443.37</v>
      </c>
      <c r="D3442">
        <v>157</v>
      </c>
      <c r="E3442">
        <v>4.9837999999999996</v>
      </c>
      <c r="K3442">
        <v>1.6000000000000001E-3</v>
      </c>
      <c r="R3442">
        <f t="shared" si="95"/>
        <v>1</v>
      </c>
    </row>
    <row r="3443" spans="1:18">
      <c r="A3443">
        <f t="shared" si="94"/>
        <v>3442</v>
      </c>
      <c r="B3443" t="str">
        <f t="shared" si="93"/>
        <v>Blount 1982</v>
      </c>
      <c r="C3443">
        <v>443.15</v>
      </c>
      <c r="D3443">
        <v>1550</v>
      </c>
      <c r="E3443">
        <v>6.9298999999999999</v>
      </c>
      <c r="K3443">
        <v>5.339E-3</v>
      </c>
      <c r="R3443">
        <f t="shared" si="95"/>
        <v>1</v>
      </c>
    </row>
    <row r="3444" spans="1:18">
      <c r="A3444">
        <f t="shared" si="94"/>
        <v>3443</v>
      </c>
      <c r="B3444" t="str">
        <f t="shared" si="93"/>
        <v>Blount 1982</v>
      </c>
      <c r="C3444">
        <v>443.15</v>
      </c>
      <c r="D3444">
        <v>1550</v>
      </c>
      <c r="E3444">
        <v>6.9298999999999999</v>
      </c>
      <c r="K3444">
        <v>5.1939999999999998E-3</v>
      </c>
      <c r="R3444">
        <f t="shared" si="95"/>
        <v>1</v>
      </c>
    </row>
    <row r="3445" spans="1:18">
      <c r="A3445">
        <f t="shared" si="94"/>
        <v>3444</v>
      </c>
      <c r="B3445" t="str">
        <f t="shared" si="93"/>
        <v>Blount 1982</v>
      </c>
      <c r="C3445">
        <v>444.15</v>
      </c>
      <c r="D3445">
        <v>1486</v>
      </c>
      <c r="E3445">
        <v>6.9298999999999999</v>
      </c>
      <c r="K3445">
        <v>5.3030000000000004E-3</v>
      </c>
      <c r="R3445">
        <f t="shared" si="95"/>
        <v>1</v>
      </c>
    </row>
    <row r="3446" spans="1:18">
      <c r="A3446">
        <f t="shared" si="94"/>
        <v>3445</v>
      </c>
      <c r="B3446" t="str">
        <f t="shared" si="93"/>
        <v>Blount 1982</v>
      </c>
      <c r="C3446">
        <v>443.15</v>
      </c>
      <c r="D3446">
        <v>1326</v>
      </c>
      <c r="E3446">
        <v>6.8400999999999996</v>
      </c>
      <c r="K3446">
        <v>4.8859999999999997E-3</v>
      </c>
      <c r="R3446">
        <f t="shared" si="95"/>
        <v>1</v>
      </c>
    </row>
    <row r="3447" spans="1:18">
      <c r="A3447">
        <f t="shared" si="94"/>
        <v>3446</v>
      </c>
      <c r="B3447" t="str">
        <f t="shared" si="93"/>
        <v>Blount 1982</v>
      </c>
      <c r="C3447">
        <v>443.15</v>
      </c>
      <c r="D3447">
        <v>1326</v>
      </c>
      <c r="E3447">
        <v>6.8400999999999996</v>
      </c>
      <c r="K3447">
        <v>4.9220000000000002E-3</v>
      </c>
      <c r="R3447">
        <f t="shared" si="95"/>
        <v>1</v>
      </c>
    </row>
    <row r="3448" spans="1:18">
      <c r="A3448">
        <f t="shared" si="94"/>
        <v>3447</v>
      </c>
      <c r="B3448" t="str">
        <f t="shared" si="93"/>
        <v>Blount 1982</v>
      </c>
      <c r="C3448">
        <v>443.15</v>
      </c>
      <c r="D3448">
        <v>1121</v>
      </c>
      <c r="E3448">
        <v>6.7511000000000001</v>
      </c>
      <c r="K3448">
        <v>4.7600000000000003E-3</v>
      </c>
      <c r="R3448">
        <f t="shared" si="95"/>
        <v>1</v>
      </c>
    </row>
    <row r="3449" spans="1:18">
      <c r="A3449">
        <f t="shared" si="94"/>
        <v>3448</v>
      </c>
      <c r="B3449" t="str">
        <f t="shared" si="93"/>
        <v>Blount 1982</v>
      </c>
      <c r="C3449">
        <v>443.15</v>
      </c>
      <c r="D3449">
        <v>1121</v>
      </c>
      <c r="E3449">
        <v>6.7511000000000001</v>
      </c>
      <c r="K3449">
        <v>4.5620000000000001E-3</v>
      </c>
      <c r="R3449">
        <f t="shared" si="95"/>
        <v>1</v>
      </c>
    </row>
    <row r="3450" spans="1:18">
      <c r="A3450">
        <f t="shared" si="94"/>
        <v>3449</v>
      </c>
      <c r="B3450" t="str">
        <f t="shared" si="93"/>
        <v>Blount 1982</v>
      </c>
      <c r="C3450">
        <v>443.15</v>
      </c>
      <c r="D3450">
        <v>914</v>
      </c>
      <c r="E3450">
        <v>6.7018000000000004</v>
      </c>
      <c r="K3450">
        <v>4.1749999999999999E-3</v>
      </c>
      <c r="R3450">
        <f t="shared" si="95"/>
        <v>1</v>
      </c>
    </row>
    <row r="3451" spans="1:18">
      <c r="A3451">
        <f t="shared" si="94"/>
        <v>3450</v>
      </c>
      <c r="B3451" t="str">
        <f t="shared" si="93"/>
        <v>Blount 1982</v>
      </c>
      <c r="C3451">
        <v>443.15</v>
      </c>
      <c r="D3451">
        <v>914</v>
      </c>
      <c r="E3451">
        <v>6.7050999999999998</v>
      </c>
      <c r="K3451">
        <v>3.8700000000000002E-3</v>
      </c>
      <c r="R3451">
        <f t="shared" si="95"/>
        <v>1</v>
      </c>
    </row>
    <row r="3452" spans="1:18">
      <c r="A3452">
        <f t="shared" si="94"/>
        <v>3451</v>
      </c>
      <c r="B3452" t="str">
        <f t="shared" ref="B3452:B3515" si="96">B3451</f>
        <v>Blount 1982</v>
      </c>
      <c r="C3452">
        <v>443.15</v>
      </c>
      <c r="D3452">
        <v>914</v>
      </c>
      <c r="E3452">
        <v>6.7050999999999998</v>
      </c>
      <c r="K3452">
        <v>3.9240000000000004E-3</v>
      </c>
      <c r="R3452">
        <f t="shared" si="95"/>
        <v>1</v>
      </c>
    </row>
    <row r="3453" spans="1:18">
      <c r="A3453">
        <f t="shared" si="94"/>
        <v>3452</v>
      </c>
      <c r="B3453" t="str">
        <f t="shared" si="96"/>
        <v>Blount 1982</v>
      </c>
      <c r="C3453">
        <v>443.15</v>
      </c>
      <c r="D3453">
        <v>914</v>
      </c>
      <c r="E3453">
        <v>6.7050999999999998</v>
      </c>
      <c r="K3453">
        <v>4.0679999999999996E-3</v>
      </c>
      <c r="R3453">
        <f t="shared" si="95"/>
        <v>1</v>
      </c>
    </row>
    <row r="3454" spans="1:18">
      <c r="A3454">
        <f t="shared" si="94"/>
        <v>3453</v>
      </c>
      <c r="B3454" t="str">
        <f t="shared" si="96"/>
        <v>Blount 1982</v>
      </c>
      <c r="C3454">
        <v>443.65</v>
      </c>
      <c r="D3454">
        <v>704</v>
      </c>
      <c r="E3454">
        <v>6.7050999999999998</v>
      </c>
      <c r="K3454">
        <v>3.653E-3</v>
      </c>
      <c r="R3454">
        <f t="shared" si="95"/>
        <v>1</v>
      </c>
    </row>
    <row r="3455" spans="1:18">
      <c r="A3455">
        <f t="shared" si="94"/>
        <v>3454</v>
      </c>
      <c r="B3455" t="str">
        <f t="shared" si="96"/>
        <v>Blount 1982</v>
      </c>
      <c r="C3455">
        <v>443.65</v>
      </c>
      <c r="D3455">
        <v>704</v>
      </c>
      <c r="E3455">
        <v>6.7050999999999998</v>
      </c>
      <c r="K3455">
        <v>3.4910000000000002E-3</v>
      </c>
      <c r="R3455">
        <f t="shared" si="95"/>
        <v>1</v>
      </c>
    </row>
    <row r="3456" spans="1:18">
      <c r="A3456">
        <f t="shared" si="94"/>
        <v>3455</v>
      </c>
      <c r="B3456" t="str">
        <f t="shared" si="96"/>
        <v>Blount 1982</v>
      </c>
      <c r="C3456">
        <v>443.93</v>
      </c>
      <c r="D3456">
        <v>500</v>
      </c>
      <c r="E3456">
        <v>6.7050999999999998</v>
      </c>
      <c r="K3456">
        <v>2.7160000000000001E-3</v>
      </c>
      <c r="R3456">
        <f t="shared" si="95"/>
        <v>1</v>
      </c>
    </row>
    <row r="3457" spans="1:18">
      <c r="A3457">
        <f t="shared" si="94"/>
        <v>3456</v>
      </c>
      <c r="B3457" t="str">
        <f t="shared" si="96"/>
        <v>Blount 1982</v>
      </c>
      <c r="C3457">
        <v>443.93</v>
      </c>
      <c r="D3457">
        <v>500</v>
      </c>
      <c r="E3457">
        <v>6.7050999999999998</v>
      </c>
      <c r="K3457">
        <v>2.8419999999999999E-3</v>
      </c>
      <c r="R3457">
        <f t="shared" si="95"/>
        <v>1</v>
      </c>
    </row>
    <row r="3458" spans="1:18">
      <c r="A3458">
        <f t="shared" si="94"/>
        <v>3457</v>
      </c>
      <c r="B3458" t="str">
        <f t="shared" si="96"/>
        <v>Blount 1982</v>
      </c>
      <c r="C3458">
        <v>443.93</v>
      </c>
      <c r="D3458">
        <v>356</v>
      </c>
      <c r="E3458">
        <v>6.6723999999999997</v>
      </c>
      <c r="K3458">
        <v>2.333E-3</v>
      </c>
      <c r="R3458">
        <f t="shared" si="95"/>
        <v>1</v>
      </c>
    </row>
    <row r="3459" spans="1:18">
      <c r="A3459">
        <f t="shared" si="94"/>
        <v>3458</v>
      </c>
      <c r="B3459" t="str">
        <f t="shared" si="96"/>
        <v>Blount 1982</v>
      </c>
      <c r="C3459">
        <v>443.93</v>
      </c>
      <c r="D3459">
        <v>356</v>
      </c>
      <c r="E3459">
        <v>6.6723999999999997</v>
      </c>
      <c r="K3459">
        <v>2.4589999999999998E-3</v>
      </c>
      <c r="R3459">
        <f t="shared" si="95"/>
        <v>1</v>
      </c>
    </row>
    <row r="3460" spans="1:18">
      <c r="A3460">
        <f t="shared" ref="A3460:A3523" si="97">A3459+1</f>
        <v>3459</v>
      </c>
      <c r="B3460" t="str">
        <f t="shared" si="96"/>
        <v>Blount 1982</v>
      </c>
      <c r="C3460">
        <v>443.65</v>
      </c>
      <c r="D3460">
        <v>244</v>
      </c>
      <c r="E3460">
        <v>6.6723999999999997</v>
      </c>
      <c r="K3460">
        <v>1.9E-3</v>
      </c>
      <c r="R3460">
        <f t="shared" si="95"/>
        <v>1</v>
      </c>
    </row>
    <row r="3461" spans="1:18">
      <c r="A3461">
        <f t="shared" si="97"/>
        <v>3460</v>
      </c>
      <c r="B3461" t="str">
        <f t="shared" si="96"/>
        <v>Blount 1982</v>
      </c>
      <c r="C3461">
        <v>443.65</v>
      </c>
      <c r="D3461">
        <v>244</v>
      </c>
      <c r="E3461">
        <v>6.6723999999999997</v>
      </c>
      <c r="K3461">
        <v>1.954E-3</v>
      </c>
      <c r="R3461">
        <f t="shared" si="95"/>
        <v>1</v>
      </c>
    </row>
    <row r="3462" spans="1:18">
      <c r="A3462">
        <f t="shared" si="97"/>
        <v>3461</v>
      </c>
      <c r="B3462" t="str">
        <f t="shared" si="96"/>
        <v>Blount 1982</v>
      </c>
      <c r="C3462">
        <v>478.15</v>
      </c>
      <c r="D3462">
        <v>1548</v>
      </c>
      <c r="E3462">
        <v>5.3400000000000003E-2</v>
      </c>
      <c r="K3462">
        <v>1.6237000000000001E-2</v>
      </c>
      <c r="R3462">
        <f t="shared" si="95"/>
        <v>1</v>
      </c>
    </row>
    <row r="3463" spans="1:18">
      <c r="A3463">
        <f t="shared" si="97"/>
        <v>3462</v>
      </c>
      <c r="B3463" t="str">
        <f t="shared" si="96"/>
        <v>Blount 1982</v>
      </c>
      <c r="C3463">
        <v>478.43</v>
      </c>
      <c r="D3463">
        <v>1568</v>
      </c>
      <c r="E3463">
        <v>6.0299999999999999E-2</v>
      </c>
      <c r="K3463">
        <v>1.5923E-2</v>
      </c>
      <c r="R3463">
        <f t="shared" si="95"/>
        <v>1</v>
      </c>
    </row>
    <row r="3464" spans="1:18">
      <c r="A3464">
        <f t="shared" si="97"/>
        <v>3463</v>
      </c>
      <c r="B3464" t="str">
        <f t="shared" si="96"/>
        <v>Blount 1982</v>
      </c>
      <c r="C3464">
        <v>478.43</v>
      </c>
      <c r="D3464">
        <v>1568</v>
      </c>
      <c r="E3464">
        <v>6.0299999999999999E-2</v>
      </c>
      <c r="K3464">
        <v>1.6344999999999998E-2</v>
      </c>
      <c r="R3464">
        <f t="shared" si="95"/>
        <v>1</v>
      </c>
    </row>
    <row r="3465" spans="1:18">
      <c r="A3465">
        <f t="shared" si="97"/>
        <v>3464</v>
      </c>
      <c r="B3465" t="str">
        <f t="shared" si="96"/>
        <v>Blount 1982</v>
      </c>
      <c r="C3465">
        <v>478.43</v>
      </c>
      <c r="D3465">
        <v>1338</v>
      </c>
      <c r="E3465">
        <v>6.0299999999999999E-2</v>
      </c>
      <c r="K3465">
        <v>1.4874E-2</v>
      </c>
      <c r="R3465">
        <f t="shared" si="95"/>
        <v>1</v>
      </c>
    </row>
    <row r="3466" spans="1:18">
      <c r="A3466">
        <f t="shared" si="97"/>
        <v>3465</v>
      </c>
      <c r="B3466" t="str">
        <f t="shared" si="96"/>
        <v>Blount 1982</v>
      </c>
      <c r="C3466">
        <v>478.43</v>
      </c>
      <c r="D3466">
        <v>1338</v>
      </c>
      <c r="E3466">
        <v>6.0299999999999999E-2</v>
      </c>
      <c r="K3466">
        <v>1.6063999999999998E-2</v>
      </c>
      <c r="R3466">
        <f t="shared" si="95"/>
        <v>1</v>
      </c>
    </row>
    <row r="3467" spans="1:18">
      <c r="A3467">
        <f t="shared" si="97"/>
        <v>3466</v>
      </c>
      <c r="B3467" t="str">
        <f t="shared" si="96"/>
        <v>Blount 1982</v>
      </c>
      <c r="C3467">
        <v>477.87</v>
      </c>
      <c r="D3467">
        <v>1332</v>
      </c>
      <c r="E3467">
        <v>6.0299999999999999E-2</v>
      </c>
      <c r="K3467">
        <v>1.5514E-2</v>
      </c>
      <c r="R3467">
        <f t="shared" si="95"/>
        <v>1</v>
      </c>
    </row>
    <row r="3468" spans="1:18">
      <c r="A3468">
        <f t="shared" si="97"/>
        <v>3467</v>
      </c>
      <c r="B3468" t="str">
        <f t="shared" si="96"/>
        <v>Blount 1982</v>
      </c>
      <c r="C3468">
        <v>477.87</v>
      </c>
      <c r="D3468">
        <v>1332</v>
      </c>
      <c r="E3468">
        <v>6.0299999999999999E-2</v>
      </c>
      <c r="K3468">
        <v>1.5847E-2</v>
      </c>
      <c r="R3468">
        <f t="shared" si="95"/>
        <v>1</v>
      </c>
    </row>
    <row r="3469" spans="1:18">
      <c r="A3469">
        <f t="shared" si="97"/>
        <v>3468</v>
      </c>
      <c r="B3469" t="str">
        <f t="shared" si="96"/>
        <v>Blount 1982</v>
      </c>
      <c r="C3469">
        <v>478.65</v>
      </c>
      <c r="D3469">
        <v>1132</v>
      </c>
      <c r="E3469">
        <v>6.0299999999999999E-2</v>
      </c>
      <c r="K3469">
        <v>1.4067E-2</v>
      </c>
      <c r="R3469">
        <f t="shared" si="95"/>
        <v>1</v>
      </c>
    </row>
    <row r="3470" spans="1:18">
      <c r="A3470">
        <f t="shared" si="97"/>
        <v>3469</v>
      </c>
      <c r="B3470" t="str">
        <f t="shared" si="96"/>
        <v>Blount 1982</v>
      </c>
      <c r="C3470">
        <v>478.65</v>
      </c>
      <c r="D3470">
        <v>1128</v>
      </c>
      <c r="E3470">
        <v>6.0299999999999999E-2</v>
      </c>
      <c r="K3470">
        <v>1.4938E-2</v>
      </c>
      <c r="R3470">
        <f t="shared" si="95"/>
        <v>1</v>
      </c>
    </row>
    <row r="3471" spans="1:18">
      <c r="A3471">
        <f t="shared" si="97"/>
        <v>3470</v>
      </c>
      <c r="B3471" t="str">
        <f t="shared" si="96"/>
        <v>Blount 1982</v>
      </c>
      <c r="C3471">
        <v>478.65</v>
      </c>
      <c r="D3471">
        <v>1128</v>
      </c>
      <c r="E3471">
        <v>6.0299999999999999E-2</v>
      </c>
      <c r="K3471">
        <v>1.4515E-2</v>
      </c>
      <c r="R3471">
        <f t="shared" si="95"/>
        <v>1</v>
      </c>
    </row>
    <row r="3472" spans="1:18">
      <c r="A3472">
        <f t="shared" si="97"/>
        <v>3471</v>
      </c>
      <c r="B3472" t="str">
        <f t="shared" si="96"/>
        <v>Blount 1982</v>
      </c>
      <c r="C3472">
        <v>478.65</v>
      </c>
      <c r="D3472">
        <v>906</v>
      </c>
      <c r="E3472">
        <v>6.0299999999999999E-2</v>
      </c>
      <c r="K3472">
        <v>1.255E-2</v>
      </c>
      <c r="R3472">
        <f t="shared" si="95"/>
        <v>1</v>
      </c>
    </row>
    <row r="3473" spans="1:18">
      <c r="A3473">
        <f t="shared" si="97"/>
        <v>3472</v>
      </c>
      <c r="B3473" t="str">
        <f t="shared" si="96"/>
        <v>Blount 1982</v>
      </c>
      <c r="C3473">
        <v>478.65</v>
      </c>
      <c r="D3473">
        <v>906</v>
      </c>
      <c r="E3473">
        <v>6.0299999999999999E-2</v>
      </c>
      <c r="K3473">
        <v>1.2833000000000001E-2</v>
      </c>
      <c r="R3473">
        <f t="shared" si="95"/>
        <v>1</v>
      </c>
    </row>
    <row r="3474" spans="1:18">
      <c r="A3474">
        <f t="shared" si="97"/>
        <v>3473</v>
      </c>
      <c r="B3474" t="str">
        <f t="shared" si="96"/>
        <v>Blount 1982</v>
      </c>
      <c r="C3474">
        <v>478.43</v>
      </c>
      <c r="D3474">
        <v>714</v>
      </c>
      <c r="E3474">
        <v>6.0299999999999999E-2</v>
      </c>
      <c r="K3474">
        <v>1.1223E-2</v>
      </c>
      <c r="R3474">
        <f t="shared" si="95"/>
        <v>1</v>
      </c>
    </row>
    <row r="3475" spans="1:18">
      <c r="A3475">
        <f t="shared" si="97"/>
        <v>3474</v>
      </c>
      <c r="B3475" t="str">
        <f t="shared" si="96"/>
        <v>Blount 1982</v>
      </c>
      <c r="C3475">
        <v>478.26</v>
      </c>
      <c r="D3475">
        <v>708</v>
      </c>
      <c r="E3475">
        <v>6.0299999999999999E-2</v>
      </c>
      <c r="K3475">
        <v>1.1932E-2</v>
      </c>
      <c r="R3475">
        <f t="shared" si="95"/>
        <v>1</v>
      </c>
    </row>
    <row r="3476" spans="1:18">
      <c r="A3476">
        <f t="shared" si="97"/>
        <v>3475</v>
      </c>
      <c r="B3476" t="str">
        <f t="shared" si="96"/>
        <v>Blount 1982</v>
      </c>
      <c r="C3476">
        <v>478.04</v>
      </c>
      <c r="D3476">
        <v>712</v>
      </c>
      <c r="E3476">
        <v>6.0299999999999999E-2</v>
      </c>
      <c r="K3476">
        <v>1.1403999999999999E-2</v>
      </c>
      <c r="R3476">
        <f t="shared" si="95"/>
        <v>1</v>
      </c>
    </row>
    <row r="3477" spans="1:18">
      <c r="A3477">
        <f t="shared" si="97"/>
        <v>3476</v>
      </c>
      <c r="B3477" t="str">
        <f t="shared" si="96"/>
        <v>Blount 1982</v>
      </c>
      <c r="C3477">
        <v>478.04</v>
      </c>
      <c r="D3477">
        <v>712</v>
      </c>
      <c r="E3477">
        <v>6.0299999999999999E-2</v>
      </c>
      <c r="K3477">
        <v>1.1094E-2</v>
      </c>
      <c r="R3477">
        <f t="shared" si="95"/>
        <v>1</v>
      </c>
    </row>
    <row r="3478" spans="1:18">
      <c r="A3478">
        <f t="shared" si="97"/>
        <v>3477</v>
      </c>
      <c r="B3478" t="str">
        <f t="shared" si="96"/>
        <v>Blount 1982</v>
      </c>
      <c r="C3478">
        <v>476.93</v>
      </c>
      <c r="D3478">
        <v>504</v>
      </c>
      <c r="E3478">
        <v>6.0299999999999999E-2</v>
      </c>
      <c r="K3478">
        <v>1.0345E-2</v>
      </c>
      <c r="R3478">
        <f t="shared" si="95"/>
        <v>1</v>
      </c>
    </row>
    <row r="3479" spans="1:18">
      <c r="A3479">
        <f t="shared" si="97"/>
        <v>3478</v>
      </c>
      <c r="B3479" t="str">
        <f t="shared" si="96"/>
        <v>Blount 1982</v>
      </c>
      <c r="C3479">
        <v>476.93</v>
      </c>
      <c r="D3479">
        <v>504</v>
      </c>
      <c r="E3479">
        <v>6.0299999999999999E-2</v>
      </c>
      <c r="K3479">
        <v>1.0448000000000001E-2</v>
      </c>
      <c r="R3479">
        <f t="shared" si="95"/>
        <v>1</v>
      </c>
    </row>
    <row r="3480" spans="1:18">
      <c r="A3480">
        <f t="shared" si="97"/>
        <v>3479</v>
      </c>
      <c r="B3480" t="str">
        <f t="shared" si="96"/>
        <v>Blount 1982</v>
      </c>
      <c r="C3480">
        <v>476.65</v>
      </c>
      <c r="D3480">
        <v>359</v>
      </c>
      <c r="E3480">
        <v>6.0299999999999999E-2</v>
      </c>
      <c r="K3480">
        <v>7.4409999999999997E-3</v>
      </c>
      <c r="R3480">
        <f t="shared" si="95"/>
        <v>1</v>
      </c>
    </row>
    <row r="3481" spans="1:18">
      <c r="A3481">
        <f t="shared" si="97"/>
        <v>3480</v>
      </c>
      <c r="B3481" t="str">
        <f t="shared" si="96"/>
        <v>Blount 1982</v>
      </c>
      <c r="C3481">
        <v>476.65</v>
      </c>
      <c r="D3481">
        <v>359</v>
      </c>
      <c r="E3481">
        <v>6.0299999999999999E-2</v>
      </c>
      <c r="K3481">
        <v>7.4149999999999997E-3</v>
      </c>
      <c r="R3481">
        <f t="shared" si="95"/>
        <v>1</v>
      </c>
    </row>
    <row r="3482" spans="1:18">
      <c r="A3482">
        <f t="shared" si="97"/>
        <v>3481</v>
      </c>
      <c r="B3482" t="str">
        <f t="shared" si="96"/>
        <v>Blount 1982</v>
      </c>
      <c r="C3482">
        <v>476.54</v>
      </c>
      <c r="D3482">
        <v>252</v>
      </c>
      <c r="E3482">
        <v>6.0299999999999999E-2</v>
      </c>
      <c r="K3482">
        <v>5.7219999999999997E-3</v>
      </c>
      <c r="R3482">
        <f t="shared" si="95"/>
        <v>1</v>
      </c>
    </row>
    <row r="3483" spans="1:18">
      <c r="A3483">
        <f t="shared" si="97"/>
        <v>3482</v>
      </c>
      <c r="B3483" t="str">
        <f t="shared" si="96"/>
        <v>Blount 1982</v>
      </c>
      <c r="C3483">
        <v>476.54</v>
      </c>
      <c r="D3483">
        <v>252</v>
      </c>
      <c r="E3483">
        <v>6.0299999999999999E-2</v>
      </c>
      <c r="K3483">
        <v>5.7479999999999996E-3</v>
      </c>
      <c r="R3483">
        <f t="shared" si="95"/>
        <v>1</v>
      </c>
    </row>
    <row r="3484" spans="1:18">
      <c r="A3484">
        <f t="shared" si="97"/>
        <v>3483</v>
      </c>
      <c r="B3484" t="str">
        <f t="shared" si="96"/>
        <v>Blount 1982</v>
      </c>
      <c r="C3484">
        <v>476.04</v>
      </c>
      <c r="D3484">
        <v>142</v>
      </c>
      <c r="E3484">
        <v>6.0299999999999999E-2</v>
      </c>
      <c r="K3484">
        <v>4.8329999999999996E-3</v>
      </c>
      <c r="R3484">
        <f t="shared" si="95"/>
        <v>1</v>
      </c>
    </row>
    <row r="3485" spans="1:18">
      <c r="A3485">
        <f t="shared" si="97"/>
        <v>3484</v>
      </c>
      <c r="B3485" t="str">
        <f t="shared" si="96"/>
        <v>Blount 1982</v>
      </c>
      <c r="C3485">
        <v>476.04</v>
      </c>
      <c r="D3485">
        <v>142</v>
      </c>
      <c r="E3485">
        <v>6.0299999999999999E-2</v>
      </c>
      <c r="K3485">
        <v>4.3499999999999997E-3</v>
      </c>
      <c r="R3485">
        <f t="shared" si="95"/>
        <v>1</v>
      </c>
    </row>
    <row r="3486" spans="1:18">
      <c r="A3486">
        <f t="shared" si="97"/>
        <v>3485</v>
      </c>
      <c r="B3486" t="str">
        <f t="shared" si="96"/>
        <v>Blount 1982</v>
      </c>
      <c r="C3486">
        <v>478.65</v>
      </c>
      <c r="D3486">
        <v>1327</v>
      </c>
      <c r="E3486">
        <v>0.89790000000000003</v>
      </c>
      <c r="K3486">
        <v>1.3186E-2</v>
      </c>
      <c r="R3486">
        <f t="shared" si="95"/>
        <v>1</v>
      </c>
    </row>
    <row r="3487" spans="1:18">
      <c r="A3487">
        <f t="shared" si="97"/>
        <v>3486</v>
      </c>
      <c r="B3487" t="str">
        <f t="shared" si="96"/>
        <v>Blount 1982</v>
      </c>
      <c r="C3487">
        <v>478.65</v>
      </c>
      <c r="D3487">
        <v>1336</v>
      </c>
      <c r="E3487">
        <v>0.89029999999999998</v>
      </c>
      <c r="K3487">
        <v>1.3100000000000001E-2</v>
      </c>
      <c r="R3487">
        <f t="shared" si="95"/>
        <v>1</v>
      </c>
    </row>
    <row r="3488" spans="1:18">
      <c r="A3488">
        <f t="shared" si="97"/>
        <v>3487</v>
      </c>
      <c r="B3488" t="str">
        <f t="shared" si="96"/>
        <v>Blount 1982</v>
      </c>
      <c r="C3488">
        <v>478.43</v>
      </c>
      <c r="D3488">
        <v>1346</v>
      </c>
      <c r="E3488">
        <v>0.88839999999999997</v>
      </c>
      <c r="K3488">
        <v>1.2614999999999999E-2</v>
      </c>
      <c r="R3488">
        <f t="shared" si="95"/>
        <v>1</v>
      </c>
    </row>
    <row r="3489" spans="1:18">
      <c r="A3489">
        <f t="shared" si="97"/>
        <v>3488</v>
      </c>
      <c r="B3489" t="str">
        <f t="shared" si="96"/>
        <v>Blount 1982</v>
      </c>
      <c r="C3489">
        <v>478.43</v>
      </c>
      <c r="D3489">
        <v>1346</v>
      </c>
      <c r="E3489">
        <v>0.88839999999999997</v>
      </c>
      <c r="K3489">
        <v>1.2749E-2</v>
      </c>
      <c r="R3489">
        <f t="shared" si="95"/>
        <v>1</v>
      </c>
    </row>
    <row r="3490" spans="1:18">
      <c r="A3490">
        <f t="shared" si="97"/>
        <v>3489</v>
      </c>
      <c r="B3490" t="str">
        <f t="shared" si="96"/>
        <v>Blount 1982</v>
      </c>
      <c r="C3490">
        <v>478.43</v>
      </c>
      <c r="D3490">
        <v>1108</v>
      </c>
      <c r="E3490">
        <v>0.88649999999999995</v>
      </c>
      <c r="K3490">
        <v>1.1913E-2</v>
      </c>
      <c r="R3490">
        <f t="shared" si="95"/>
        <v>1</v>
      </c>
    </row>
    <row r="3491" spans="1:18">
      <c r="A3491">
        <f t="shared" si="97"/>
        <v>3490</v>
      </c>
      <c r="B3491" t="str">
        <f t="shared" si="96"/>
        <v>Blount 1982</v>
      </c>
      <c r="C3491">
        <v>478.43</v>
      </c>
      <c r="D3491">
        <v>1120</v>
      </c>
      <c r="E3491">
        <v>0.88270000000000004</v>
      </c>
      <c r="K3491">
        <v>1.2933999999999999E-2</v>
      </c>
      <c r="R3491">
        <f t="shared" si="95"/>
        <v>1</v>
      </c>
    </row>
    <row r="3492" spans="1:18">
      <c r="A3492">
        <f t="shared" si="97"/>
        <v>3491</v>
      </c>
      <c r="B3492" t="str">
        <f t="shared" si="96"/>
        <v>Blount 1982</v>
      </c>
      <c r="C3492">
        <v>478.43</v>
      </c>
      <c r="D3492">
        <v>1120</v>
      </c>
      <c r="E3492">
        <v>0.88270000000000004</v>
      </c>
      <c r="K3492">
        <v>1.2409E-2</v>
      </c>
      <c r="R3492">
        <f t="shared" si="95"/>
        <v>1</v>
      </c>
    </row>
    <row r="3493" spans="1:18">
      <c r="A3493">
        <f t="shared" si="97"/>
        <v>3492</v>
      </c>
      <c r="B3493" t="str">
        <f t="shared" si="96"/>
        <v>Blount 1982</v>
      </c>
      <c r="C3493">
        <v>478.43</v>
      </c>
      <c r="D3493">
        <v>912</v>
      </c>
      <c r="E3493">
        <v>0.88270000000000004</v>
      </c>
      <c r="K3493">
        <v>1.2355E-2</v>
      </c>
      <c r="R3493">
        <f t="shared" si="95"/>
        <v>1</v>
      </c>
    </row>
    <row r="3494" spans="1:18">
      <c r="A3494">
        <f t="shared" si="97"/>
        <v>3493</v>
      </c>
      <c r="B3494" t="str">
        <f t="shared" si="96"/>
        <v>Blount 1982</v>
      </c>
      <c r="C3494">
        <v>478.43</v>
      </c>
      <c r="D3494">
        <v>912</v>
      </c>
      <c r="E3494">
        <v>0.88270000000000004</v>
      </c>
      <c r="K3494">
        <v>1.1546000000000001E-2</v>
      </c>
      <c r="R3494">
        <f t="shared" si="95"/>
        <v>1</v>
      </c>
    </row>
    <row r="3495" spans="1:18">
      <c r="A3495">
        <f t="shared" si="97"/>
        <v>3494</v>
      </c>
      <c r="B3495" t="str">
        <f t="shared" si="96"/>
        <v>Blount 1982</v>
      </c>
      <c r="C3495">
        <v>478.43</v>
      </c>
      <c r="D3495">
        <v>688</v>
      </c>
      <c r="E3495">
        <v>0.88270000000000004</v>
      </c>
      <c r="K3495">
        <v>1.0304000000000001E-2</v>
      </c>
      <c r="R3495">
        <f t="shared" si="95"/>
        <v>1</v>
      </c>
    </row>
    <row r="3496" spans="1:18">
      <c r="A3496">
        <f t="shared" si="97"/>
        <v>3495</v>
      </c>
      <c r="B3496" t="str">
        <f t="shared" si="96"/>
        <v>Blount 1982</v>
      </c>
      <c r="C3496">
        <v>478.43</v>
      </c>
      <c r="D3496">
        <v>688</v>
      </c>
      <c r="E3496">
        <v>0.88270000000000004</v>
      </c>
      <c r="K3496">
        <v>1.0101000000000001E-2</v>
      </c>
      <c r="R3496">
        <f t="shared" si="95"/>
        <v>1</v>
      </c>
    </row>
    <row r="3497" spans="1:18">
      <c r="A3497">
        <f t="shared" si="97"/>
        <v>3496</v>
      </c>
      <c r="B3497" t="str">
        <f t="shared" si="96"/>
        <v>Blount 1982</v>
      </c>
      <c r="C3497">
        <v>478.65</v>
      </c>
      <c r="D3497">
        <v>496</v>
      </c>
      <c r="E3497">
        <v>0.879</v>
      </c>
      <c r="K3497">
        <v>7.345E-3</v>
      </c>
      <c r="R3497">
        <f t="shared" si="95"/>
        <v>1</v>
      </c>
    </row>
    <row r="3498" spans="1:18">
      <c r="A3498">
        <f t="shared" si="97"/>
        <v>3497</v>
      </c>
      <c r="B3498" t="str">
        <f t="shared" si="96"/>
        <v>Blount 1982</v>
      </c>
      <c r="C3498">
        <v>478.65</v>
      </c>
      <c r="D3498">
        <v>496</v>
      </c>
      <c r="E3498">
        <v>0.879</v>
      </c>
      <c r="K3498">
        <v>7.6169999999999996E-3</v>
      </c>
      <c r="R3498">
        <f t="shared" si="95"/>
        <v>1</v>
      </c>
    </row>
    <row r="3499" spans="1:18">
      <c r="A3499">
        <f t="shared" si="97"/>
        <v>3498</v>
      </c>
      <c r="B3499" t="str">
        <f t="shared" si="96"/>
        <v>Blount 1982</v>
      </c>
      <c r="C3499">
        <v>478.87</v>
      </c>
      <c r="D3499">
        <v>518</v>
      </c>
      <c r="E3499">
        <v>0.879</v>
      </c>
      <c r="K3499">
        <v>7.8890000000000002E-3</v>
      </c>
      <c r="R3499">
        <f t="shared" si="95"/>
        <v>1</v>
      </c>
    </row>
    <row r="3500" spans="1:18">
      <c r="A3500">
        <f t="shared" si="97"/>
        <v>3499</v>
      </c>
      <c r="B3500" t="str">
        <f t="shared" si="96"/>
        <v>Blount 1982</v>
      </c>
      <c r="C3500">
        <v>478.15</v>
      </c>
      <c r="D3500">
        <v>336</v>
      </c>
      <c r="E3500">
        <v>0.84119999999999995</v>
      </c>
      <c r="K3500">
        <v>6.5290000000000001E-3</v>
      </c>
      <c r="R3500">
        <f t="shared" si="95"/>
        <v>1</v>
      </c>
    </row>
    <row r="3501" spans="1:18">
      <c r="A3501">
        <f t="shared" si="97"/>
        <v>3500</v>
      </c>
      <c r="B3501" t="str">
        <f t="shared" si="96"/>
        <v>Blount 1982</v>
      </c>
      <c r="C3501">
        <v>478.15</v>
      </c>
      <c r="D3501">
        <v>339</v>
      </c>
      <c r="E3501">
        <v>0.84119999999999995</v>
      </c>
      <c r="K3501">
        <v>6.9769999999999997E-3</v>
      </c>
      <c r="R3501">
        <f t="shared" si="95"/>
        <v>1</v>
      </c>
    </row>
    <row r="3502" spans="1:18">
      <c r="A3502">
        <f t="shared" si="97"/>
        <v>3501</v>
      </c>
      <c r="B3502" t="str">
        <f t="shared" si="96"/>
        <v>Blount 1982</v>
      </c>
      <c r="C3502">
        <v>478.15</v>
      </c>
      <c r="D3502">
        <v>342</v>
      </c>
      <c r="E3502">
        <v>0.84119999999999995</v>
      </c>
      <c r="K3502">
        <v>7.2220000000000001E-3</v>
      </c>
      <c r="R3502">
        <f t="shared" ref="R3502:R3565" si="98">R3501</f>
        <v>1</v>
      </c>
    </row>
    <row r="3503" spans="1:18">
      <c r="A3503">
        <f t="shared" si="97"/>
        <v>3502</v>
      </c>
      <c r="B3503" t="str">
        <f t="shared" si="96"/>
        <v>Blount 1982</v>
      </c>
      <c r="C3503">
        <v>478.15</v>
      </c>
      <c r="D3503">
        <v>342</v>
      </c>
      <c r="E3503">
        <v>0.84119999999999995</v>
      </c>
      <c r="K3503">
        <v>7.2620000000000002E-3</v>
      </c>
      <c r="R3503">
        <f t="shared" si="98"/>
        <v>1</v>
      </c>
    </row>
    <row r="3504" spans="1:18">
      <c r="A3504">
        <f t="shared" si="97"/>
        <v>3503</v>
      </c>
      <c r="B3504" t="str">
        <f t="shared" si="96"/>
        <v>Blount 1982</v>
      </c>
      <c r="C3504">
        <v>478.37</v>
      </c>
      <c r="D3504">
        <v>245</v>
      </c>
      <c r="E3504">
        <v>0.83179999999999998</v>
      </c>
      <c r="K3504">
        <v>5.6140000000000001E-3</v>
      </c>
      <c r="R3504">
        <f t="shared" si="98"/>
        <v>1</v>
      </c>
    </row>
    <row r="3505" spans="1:18">
      <c r="A3505">
        <f t="shared" si="97"/>
        <v>3504</v>
      </c>
      <c r="B3505" t="str">
        <f t="shared" si="96"/>
        <v>Blount 1982</v>
      </c>
      <c r="C3505">
        <v>478.37</v>
      </c>
      <c r="D3505">
        <v>245</v>
      </c>
      <c r="E3505">
        <v>0.83179999999999998</v>
      </c>
      <c r="K3505">
        <v>5.8859999999999997E-3</v>
      </c>
      <c r="R3505">
        <f t="shared" si="98"/>
        <v>1</v>
      </c>
    </row>
    <row r="3506" spans="1:18">
      <c r="A3506">
        <f t="shared" si="97"/>
        <v>3505</v>
      </c>
      <c r="B3506" t="str">
        <f t="shared" si="96"/>
        <v>Blount 1982</v>
      </c>
      <c r="C3506">
        <v>478.37</v>
      </c>
      <c r="D3506">
        <v>149</v>
      </c>
      <c r="E3506">
        <v>0.83179999999999998</v>
      </c>
      <c r="K3506">
        <v>3.7309999999999999E-3</v>
      </c>
      <c r="R3506">
        <f t="shared" si="98"/>
        <v>1</v>
      </c>
    </row>
    <row r="3507" spans="1:18">
      <c r="A3507">
        <f t="shared" si="97"/>
        <v>3506</v>
      </c>
      <c r="B3507" t="str">
        <f t="shared" si="96"/>
        <v>Blount 1982</v>
      </c>
      <c r="C3507">
        <v>478.37</v>
      </c>
      <c r="D3507">
        <v>149</v>
      </c>
      <c r="E3507">
        <v>0.83179999999999998</v>
      </c>
      <c r="K3507">
        <v>3.813E-3</v>
      </c>
      <c r="R3507">
        <f t="shared" si="98"/>
        <v>1</v>
      </c>
    </row>
    <row r="3508" spans="1:18">
      <c r="A3508">
        <f t="shared" si="97"/>
        <v>3507</v>
      </c>
      <c r="B3508" t="str">
        <f t="shared" si="96"/>
        <v>Blount 1982</v>
      </c>
      <c r="C3508">
        <v>480.15</v>
      </c>
      <c r="D3508">
        <v>1536</v>
      </c>
      <c r="E3508">
        <v>3.2911999999999999</v>
      </c>
      <c r="K3508">
        <v>9.2119999999999997E-3</v>
      </c>
      <c r="R3508">
        <f t="shared" si="98"/>
        <v>1</v>
      </c>
    </row>
    <row r="3509" spans="1:18">
      <c r="A3509">
        <f t="shared" si="97"/>
        <v>3508</v>
      </c>
      <c r="B3509" t="str">
        <f t="shared" si="96"/>
        <v>Blount 1982</v>
      </c>
      <c r="C3509">
        <v>480.15</v>
      </c>
      <c r="D3509">
        <v>1536</v>
      </c>
      <c r="E3509">
        <v>3.2911999999999999</v>
      </c>
      <c r="K3509">
        <v>9.3500000000000007E-3</v>
      </c>
      <c r="R3509">
        <f t="shared" si="98"/>
        <v>1</v>
      </c>
    </row>
    <row r="3510" spans="1:18">
      <c r="A3510">
        <f t="shared" si="97"/>
        <v>3509</v>
      </c>
      <c r="B3510" t="str">
        <f t="shared" si="96"/>
        <v>Blount 1982</v>
      </c>
      <c r="C3510">
        <v>480.15</v>
      </c>
      <c r="D3510">
        <v>1537</v>
      </c>
      <c r="E3510">
        <v>3.2911999999999999</v>
      </c>
      <c r="K3510">
        <v>9.3959999999999998E-3</v>
      </c>
      <c r="R3510">
        <f t="shared" si="98"/>
        <v>1</v>
      </c>
    </row>
    <row r="3511" spans="1:18">
      <c r="A3511">
        <f t="shared" si="97"/>
        <v>3510</v>
      </c>
      <c r="B3511" t="str">
        <f t="shared" si="96"/>
        <v>Blount 1982</v>
      </c>
      <c r="C3511">
        <v>480.15</v>
      </c>
      <c r="D3511">
        <v>1537</v>
      </c>
      <c r="E3511">
        <v>3.2911999999999999</v>
      </c>
      <c r="K3511">
        <v>9.4570000000000001E-3</v>
      </c>
      <c r="R3511">
        <f t="shared" si="98"/>
        <v>1</v>
      </c>
    </row>
    <row r="3512" spans="1:18">
      <c r="A3512">
        <f t="shared" si="97"/>
        <v>3511</v>
      </c>
      <c r="B3512" t="str">
        <f t="shared" si="96"/>
        <v>Blount 1982</v>
      </c>
      <c r="C3512">
        <v>480.15</v>
      </c>
      <c r="D3512">
        <v>1300</v>
      </c>
      <c r="E3512">
        <v>3.2911999999999999</v>
      </c>
      <c r="K3512">
        <v>8.8749999999999992E-3</v>
      </c>
      <c r="R3512">
        <f t="shared" si="98"/>
        <v>1</v>
      </c>
    </row>
    <row r="3513" spans="1:18">
      <c r="A3513">
        <f t="shared" si="97"/>
        <v>3512</v>
      </c>
      <c r="B3513" t="str">
        <f t="shared" si="96"/>
        <v>Blount 1982</v>
      </c>
      <c r="C3513">
        <v>480.15</v>
      </c>
      <c r="D3513">
        <v>1300</v>
      </c>
      <c r="E3513">
        <v>3.2911999999999999</v>
      </c>
      <c r="K3513">
        <v>9.0130000000000002E-3</v>
      </c>
      <c r="R3513">
        <f t="shared" si="98"/>
        <v>1</v>
      </c>
    </row>
    <row r="3514" spans="1:18">
      <c r="A3514">
        <f t="shared" si="97"/>
        <v>3513</v>
      </c>
      <c r="B3514" t="str">
        <f t="shared" si="96"/>
        <v>Blount 1982</v>
      </c>
      <c r="C3514">
        <v>480.15</v>
      </c>
      <c r="D3514">
        <v>1101</v>
      </c>
      <c r="E3514">
        <v>3.2911999999999999</v>
      </c>
      <c r="K3514">
        <v>8.5220000000000001E-3</v>
      </c>
      <c r="R3514">
        <f t="shared" si="98"/>
        <v>1</v>
      </c>
    </row>
    <row r="3515" spans="1:18">
      <c r="A3515">
        <f t="shared" si="97"/>
        <v>3514</v>
      </c>
      <c r="B3515" t="str">
        <f t="shared" si="96"/>
        <v>Blount 1982</v>
      </c>
      <c r="C3515">
        <v>480.15</v>
      </c>
      <c r="D3515">
        <v>1101</v>
      </c>
      <c r="E3515">
        <v>3.2911999999999999</v>
      </c>
      <c r="K3515">
        <v>8.1849999999999996E-3</v>
      </c>
      <c r="R3515">
        <f t="shared" si="98"/>
        <v>1</v>
      </c>
    </row>
    <row r="3516" spans="1:18">
      <c r="A3516">
        <f t="shared" si="97"/>
        <v>3515</v>
      </c>
      <c r="B3516" t="str">
        <f t="shared" ref="B3516:B3579" si="99">B3515</f>
        <v>Blount 1982</v>
      </c>
      <c r="C3516">
        <v>479.93</v>
      </c>
      <c r="D3516">
        <v>894</v>
      </c>
      <c r="E3516">
        <v>3.2911999999999999</v>
      </c>
      <c r="K3516">
        <v>8.0619999999999997E-3</v>
      </c>
      <c r="R3516">
        <f t="shared" si="98"/>
        <v>1</v>
      </c>
    </row>
    <row r="3517" spans="1:18">
      <c r="A3517">
        <f t="shared" si="97"/>
        <v>3516</v>
      </c>
      <c r="B3517" t="str">
        <f t="shared" si="99"/>
        <v>Blount 1982</v>
      </c>
      <c r="C3517">
        <v>479.65</v>
      </c>
      <c r="D3517">
        <v>893</v>
      </c>
      <c r="E3517">
        <v>3.2911999999999999</v>
      </c>
      <c r="K3517">
        <v>7.6319999999999999E-3</v>
      </c>
      <c r="R3517">
        <f t="shared" si="98"/>
        <v>1</v>
      </c>
    </row>
    <row r="3518" spans="1:18">
      <c r="A3518">
        <f t="shared" si="97"/>
        <v>3517</v>
      </c>
      <c r="B3518" t="str">
        <f t="shared" si="99"/>
        <v>Blount 1982</v>
      </c>
      <c r="C3518">
        <v>479.93</v>
      </c>
      <c r="D3518">
        <v>698</v>
      </c>
      <c r="E3518">
        <v>3.2911999999999999</v>
      </c>
      <c r="K3518">
        <v>7.0169999999999998E-3</v>
      </c>
      <c r="R3518">
        <f t="shared" si="98"/>
        <v>1</v>
      </c>
    </row>
    <row r="3519" spans="1:18">
      <c r="A3519">
        <f t="shared" si="97"/>
        <v>3518</v>
      </c>
      <c r="B3519" t="str">
        <f t="shared" si="99"/>
        <v>Blount 1982</v>
      </c>
      <c r="C3519">
        <v>479.93</v>
      </c>
      <c r="D3519">
        <v>698</v>
      </c>
      <c r="E3519">
        <v>3.2911999999999999</v>
      </c>
      <c r="K3519">
        <v>6.7710000000000001E-3</v>
      </c>
      <c r="R3519">
        <f t="shared" si="98"/>
        <v>1</v>
      </c>
    </row>
    <row r="3520" spans="1:18">
      <c r="A3520">
        <f t="shared" si="97"/>
        <v>3519</v>
      </c>
      <c r="B3520" t="str">
        <f t="shared" si="99"/>
        <v>Blount 1982</v>
      </c>
      <c r="C3520">
        <v>479.93</v>
      </c>
      <c r="D3520">
        <v>483</v>
      </c>
      <c r="E3520">
        <v>3.2911999999999999</v>
      </c>
      <c r="K3520">
        <v>6.0010000000000003E-3</v>
      </c>
      <c r="R3520">
        <f t="shared" si="98"/>
        <v>1</v>
      </c>
    </row>
    <row r="3521" spans="1:18">
      <c r="A3521">
        <f t="shared" si="97"/>
        <v>3520</v>
      </c>
      <c r="B3521" t="str">
        <f t="shared" si="99"/>
        <v>Blount 1982</v>
      </c>
      <c r="C3521">
        <v>479.93</v>
      </c>
      <c r="D3521">
        <v>483</v>
      </c>
      <c r="E3521">
        <v>3.2911999999999999</v>
      </c>
      <c r="K3521">
        <v>5.77E-3</v>
      </c>
      <c r="R3521">
        <f t="shared" si="98"/>
        <v>1</v>
      </c>
    </row>
    <row r="3522" spans="1:18">
      <c r="A3522">
        <f t="shared" si="97"/>
        <v>3521</v>
      </c>
      <c r="B3522" t="str">
        <f t="shared" si="99"/>
        <v>Blount 1982</v>
      </c>
      <c r="C3522">
        <v>479.93</v>
      </c>
      <c r="D3522">
        <v>350</v>
      </c>
      <c r="E3522">
        <v>3.2911999999999999</v>
      </c>
      <c r="K3522">
        <v>4.9519999999999998E-3</v>
      </c>
      <c r="R3522">
        <f t="shared" si="98"/>
        <v>1</v>
      </c>
    </row>
    <row r="3523" spans="1:18">
      <c r="A3523">
        <f t="shared" si="97"/>
        <v>3522</v>
      </c>
      <c r="B3523" t="str">
        <f t="shared" si="99"/>
        <v>Blount 1982</v>
      </c>
      <c r="C3523">
        <v>479.93</v>
      </c>
      <c r="D3523">
        <v>350</v>
      </c>
      <c r="E3523">
        <v>3.2911999999999999</v>
      </c>
      <c r="K3523">
        <v>5.4609999999999997E-3</v>
      </c>
      <c r="R3523">
        <f t="shared" si="98"/>
        <v>1</v>
      </c>
    </row>
    <row r="3524" spans="1:18">
      <c r="A3524">
        <f t="shared" ref="A3524:A3587" si="100">A3523+1</f>
        <v>3523</v>
      </c>
      <c r="B3524" t="str">
        <f t="shared" si="99"/>
        <v>Blount 1982</v>
      </c>
      <c r="C3524">
        <v>479.93</v>
      </c>
      <c r="D3524">
        <v>246</v>
      </c>
      <c r="E3524">
        <v>3.2911999999999999</v>
      </c>
      <c r="K3524">
        <v>3.947E-3</v>
      </c>
      <c r="R3524">
        <f t="shared" si="98"/>
        <v>1</v>
      </c>
    </row>
    <row r="3525" spans="1:18">
      <c r="A3525">
        <f t="shared" si="100"/>
        <v>3524</v>
      </c>
      <c r="B3525" t="str">
        <f t="shared" si="99"/>
        <v>Blount 1982</v>
      </c>
      <c r="C3525">
        <v>479.93</v>
      </c>
      <c r="D3525">
        <v>246</v>
      </c>
      <c r="E3525">
        <v>3.2911999999999999</v>
      </c>
      <c r="K3525">
        <v>3.885E-3</v>
      </c>
      <c r="R3525">
        <f t="shared" si="98"/>
        <v>1</v>
      </c>
    </row>
    <row r="3526" spans="1:18">
      <c r="A3526">
        <f t="shared" si="100"/>
        <v>3525</v>
      </c>
      <c r="B3526" t="str">
        <f t="shared" si="99"/>
        <v>Blount 1982</v>
      </c>
      <c r="C3526">
        <v>479.93</v>
      </c>
      <c r="D3526">
        <v>143</v>
      </c>
      <c r="E3526">
        <v>3.2911999999999999</v>
      </c>
      <c r="K3526">
        <v>3.0330000000000001E-3</v>
      </c>
      <c r="R3526">
        <f t="shared" si="98"/>
        <v>1</v>
      </c>
    </row>
    <row r="3527" spans="1:18">
      <c r="A3527">
        <f t="shared" si="100"/>
        <v>3526</v>
      </c>
      <c r="B3527" t="str">
        <f t="shared" si="99"/>
        <v>Blount 1982</v>
      </c>
      <c r="C3527">
        <v>479.93</v>
      </c>
      <c r="D3527">
        <v>143</v>
      </c>
      <c r="E3527">
        <v>3.2911999999999999</v>
      </c>
      <c r="K3527">
        <v>2.676E-3</v>
      </c>
      <c r="R3527">
        <f t="shared" si="98"/>
        <v>1</v>
      </c>
    </row>
    <row r="3528" spans="1:18">
      <c r="A3528">
        <f t="shared" si="100"/>
        <v>3527</v>
      </c>
      <c r="B3528" t="str">
        <f t="shared" si="99"/>
        <v>Blount 1982</v>
      </c>
      <c r="C3528">
        <v>478.93</v>
      </c>
      <c r="D3528">
        <v>1550</v>
      </c>
      <c r="E3528">
        <v>4.8295000000000003</v>
      </c>
      <c r="K3528">
        <v>7.8759999999999993E-3</v>
      </c>
      <c r="R3528">
        <f t="shared" si="98"/>
        <v>1</v>
      </c>
    </row>
    <row r="3529" spans="1:18">
      <c r="A3529">
        <f t="shared" si="100"/>
        <v>3528</v>
      </c>
      <c r="B3529" t="str">
        <f t="shared" si="99"/>
        <v>Blount 1982</v>
      </c>
      <c r="C3529">
        <v>478.93</v>
      </c>
      <c r="D3529">
        <v>1550</v>
      </c>
      <c r="E3529">
        <v>4.8295000000000003</v>
      </c>
      <c r="K3529">
        <v>8.371E-3</v>
      </c>
      <c r="R3529">
        <f t="shared" si="98"/>
        <v>1</v>
      </c>
    </row>
    <row r="3530" spans="1:18">
      <c r="A3530">
        <f t="shared" si="100"/>
        <v>3529</v>
      </c>
      <c r="B3530" t="str">
        <f t="shared" si="99"/>
        <v>Blount 1982</v>
      </c>
      <c r="C3530">
        <v>478.65</v>
      </c>
      <c r="D3530">
        <v>1325</v>
      </c>
      <c r="E3530">
        <v>4.8295000000000003</v>
      </c>
      <c r="K3530">
        <v>7.8100000000000001E-3</v>
      </c>
      <c r="R3530">
        <f t="shared" si="98"/>
        <v>1</v>
      </c>
    </row>
    <row r="3531" spans="1:18">
      <c r="A3531">
        <f t="shared" si="100"/>
        <v>3530</v>
      </c>
      <c r="B3531" t="str">
        <f t="shared" si="99"/>
        <v>Blount 1982</v>
      </c>
      <c r="C3531">
        <v>478.65</v>
      </c>
      <c r="D3531">
        <v>1316</v>
      </c>
      <c r="E3531">
        <v>4.6910999999999996</v>
      </c>
      <c r="K3531">
        <v>7.7460000000000003E-3</v>
      </c>
      <c r="R3531">
        <f t="shared" si="98"/>
        <v>1</v>
      </c>
    </row>
    <row r="3532" spans="1:18">
      <c r="A3532">
        <f t="shared" si="100"/>
        <v>3531</v>
      </c>
      <c r="B3532" t="str">
        <f t="shared" si="99"/>
        <v>Blount 1982</v>
      </c>
      <c r="C3532">
        <v>478.65</v>
      </c>
      <c r="D3532">
        <v>1316</v>
      </c>
      <c r="E3532">
        <v>4.6910999999999996</v>
      </c>
      <c r="K3532">
        <v>7.6150000000000002E-3</v>
      </c>
      <c r="R3532">
        <f t="shared" si="98"/>
        <v>1</v>
      </c>
    </row>
    <row r="3533" spans="1:18">
      <c r="A3533">
        <f t="shared" si="100"/>
        <v>3532</v>
      </c>
      <c r="B3533" t="str">
        <f t="shared" si="99"/>
        <v>Blount 1982</v>
      </c>
      <c r="C3533">
        <v>478.93</v>
      </c>
      <c r="D3533">
        <v>1078</v>
      </c>
      <c r="E3533">
        <v>4.5979000000000001</v>
      </c>
      <c r="K3533">
        <v>6.9459999999999999E-3</v>
      </c>
      <c r="R3533">
        <f t="shared" si="98"/>
        <v>1</v>
      </c>
    </row>
    <row r="3534" spans="1:18">
      <c r="A3534">
        <f t="shared" si="100"/>
        <v>3533</v>
      </c>
      <c r="B3534" t="str">
        <f t="shared" si="99"/>
        <v>Blount 1982</v>
      </c>
      <c r="C3534">
        <v>478.93</v>
      </c>
      <c r="D3534">
        <v>1078</v>
      </c>
      <c r="E3534">
        <v>4.5979000000000001</v>
      </c>
      <c r="K3534">
        <v>7.5510000000000004E-3</v>
      </c>
      <c r="R3534">
        <f t="shared" si="98"/>
        <v>1</v>
      </c>
    </row>
    <row r="3535" spans="1:18">
      <c r="A3535">
        <f t="shared" si="100"/>
        <v>3534</v>
      </c>
      <c r="B3535" t="str">
        <f t="shared" si="99"/>
        <v>Blount 1982</v>
      </c>
      <c r="C3535">
        <v>478.93</v>
      </c>
      <c r="D3535">
        <v>908</v>
      </c>
      <c r="E3535">
        <v>4.5896999999999997</v>
      </c>
      <c r="K3535">
        <v>5.8970000000000003E-3</v>
      </c>
      <c r="R3535">
        <f t="shared" si="98"/>
        <v>1</v>
      </c>
    </row>
    <row r="3536" spans="1:18">
      <c r="A3536">
        <f t="shared" si="100"/>
        <v>3535</v>
      </c>
      <c r="B3536" t="str">
        <f t="shared" si="99"/>
        <v>Blount 1982</v>
      </c>
      <c r="C3536">
        <v>478.93</v>
      </c>
      <c r="D3536">
        <v>908</v>
      </c>
      <c r="E3536">
        <v>4.5896999999999997</v>
      </c>
      <c r="K3536">
        <v>5.9950000000000003E-3</v>
      </c>
      <c r="R3536">
        <f t="shared" si="98"/>
        <v>1</v>
      </c>
    </row>
    <row r="3537" spans="1:18">
      <c r="A3537">
        <f t="shared" si="100"/>
        <v>3536</v>
      </c>
      <c r="B3537" t="str">
        <f t="shared" si="99"/>
        <v>Blount 1982</v>
      </c>
      <c r="C3537">
        <v>478.65</v>
      </c>
      <c r="D3537">
        <v>901</v>
      </c>
      <c r="E3537">
        <v>4.5678999999999998</v>
      </c>
      <c r="K3537">
        <v>5.9890000000000004E-3</v>
      </c>
      <c r="R3537">
        <f t="shared" si="98"/>
        <v>1</v>
      </c>
    </row>
    <row r="3538" spans="1:18">
      <c r="A3538">
        <f t="shared" si="100"/>
        <v>3537</v>
      </c>
      <c r="B3538" t="str">
        <f t="shared" si="99"/>
        <v>Blount 1982</v>
      </c>
      <c r="C3538">
        <v>478.65</v>
      </c>
      <c r="D3538">
        <v>901</v>
      </c>
      <c r="E3538">
        <v>4.5678999999999998</v>
      </c>
      <c r="K3538">
        <v>6.0870000000000004E-3</v>
      </c>
      <c r="R3538">
        <f t="shared" si="98"/>
        <v>1</v>
      </c>
    </row>
    <row r="3539" spans="1:18">
      <c r="A3539">
        <f t="shared" si="100"/>
        <v>3538</v>
      </c>
      <c r="B3539" t="str">
        <f t="shared" si="99"/>
        <v>Blount 1982</v>
      </c>
      <c r="C3539">
        <v>478.65</v>
      </c>
      <c r="D3539">
        <v>716</v>
      </c>
      <c r="E3539">
        <v>4.7933000000000003</v>
      </c>
      <c r="K3539">
        <v>5.7689999999999998E-3</v>
      </c>
      <c r="R3539">
        <f t="shared" si="98"/>
        <v>1</v>
      </c>
    </row>
    <row r="3540" spans="1:18">
      <c r="A3540">
        <f t="shared" si="100"/>
        <v>3539</v>
      </c>
      <c r="B3540" t="str">
        <f t="shared" si="99"/>
        <v>Blount 1982</v>
      </c>
      <c r="C3540">
        <v>478.93</v>
      </c>
      <c r="D3540">
        <v>719</v>
      </c>
      <c r="E3540">
        <v>4.7628000000000004</v>
      </c>
      <c r="K3540">
        <v>5.9919999999999999E-3</v>
      </c>
      <c r="R3540">
        <f t="shared" si="98"/>
        <v>1</v>
      </c>
    </row>
    <row r="3541" spans="1:18">
      <c r="A3541">
        <f t="shared" si="100"/>
        <v>3540</v>
      </c>
      <c r="B3541" t="str">
        <f t="shared" si="99"/>
        <v>Blount 1982</v>
      </c>
      <c r="C3541">
        <v>478.93</v>
      </c>
      <c r="D3541">
        <v>719</v>
      </c>
      <c r="E3541">
        <v>4.7628000000000004</v>
      </c>
      <c r="K3541">
        <v>5.9760000000000004E-3</v>
      </c>
      <c r="R3541">
        <f t="shared" si="98"/>
        <v>1</v>
      </c>
    </row>
    <row r="3542" spans="1:18">
      <c r="A3542">
        <f t="shared" si="100"/>
        <v>3541</v>
      </c>
      <c r="B3542" t="str">
        <f t="shared" si="99"/>
        <v>Blount 1982</v>
      </c>
      <c r="C3542">
        <v>478.93</v>
      </c>
      <c r="D3542">
        <v>489</v>
      </c>
      <c r="E3542">
        <v>4.6910999999999996</v>
      </c>
      <c r="K3542">
        <v>4.6560000000000004E-3</v>
      </c>
      <c r="R3542">
        <f t="shared" si="98"/>
        <v>1</v>
      </c>
    </row>
    <row r="3543" spans="1:18">
      <c r="A3543">
        <f t="shared" si="100"/>
        <v>3542</v>
      </c>
      <c r="B3543" t="str">
        <f t="shared" si="99"/>
        <v>Blount 1982</v>
      </c>
      <c r="C3543">
        <v>478.93</v>
      </c>
      <c r="D3543">
        <v>489</v>
      </c>
      <c r="E3543">
        <v>4.6910999999999996</v>
      </c>
      <c r="K3543">
        <v>4.1609999999999998E-3</v>
      </c>
      <c r="R3543">
        <f t="shared" si="98"/>
        <v>1</v>
      </c>
    </row>
    <row r="3544" spans="1:18">
      <c r="A3544">
        <f t="shared" si="100"/>
        <v>3543</v>
      </c>
      <c r="B3544" t="str">
        <f t="shared" si="99"/>
        <v>Blount 1982</v>
      </c>
      <c r="C3544">
        <v>478.93</v>
      </c>
      <c r="D3544">
        <v>344</v>
      </c>
      <c r="E3544">
        <v>4.5678999999999998</v>
      </c>
      <c r="K3544">
        <v>3.7929999999999999E-3</v>
      </c>
      <c r="R3544">
        <f t="shared" si="98"/>
        <v>1</v>
      </c>
    </row>
    <row r="3545" spans="1:18">
      <c r="A3545">
        <f t="shared" si="100"/>
        <v>3544</v>
      </c>
      <c r="B3545" t="str">
        <f t="shared" si="99"/>
        <v>Blount 1982</v>
      </c>
      <c r="C3545">
        <v>478.93</v>
      </c>
      <c r="D3545">
        <v>344</v>
      </c>
      <c r="E3545">
        <v>4.5678999999999998</v>
      </c>
      <c r="K3545">
        <v>3.398E-3</v>
      </c>
      <c r="R3545">
        <f t="shared" si="98"/>
        <v>1</v>
      </c>
    </row>
    <row r="3546" spans="1:18">
      <c r="A3546">
        <f t="shared" si="100"/>
        <v>3545</v>
      </c>
      <c r="B3546" t="str">
        <f t="shared" si="99"/>
        <v>Blount 1982</v>
      </c>
      <c r="C3546">
        <v>478.65</v>
      </c>
      <c r="D3546">
        <v>242</v>
      </c>
      <c r="E3546">
        <v>4.4462000000000002</v>
      </c>
      <c r="K3546">
        <v>2.9380000000000001E-3</v>
      </c>
      <c r="R3546">
        <f t="shared" si="98"/>
        <v>1</v>
      </c>
    </row>
    <row r="3547" spans="1:18">
      <c r="A3547">
        <f t="shared" si="100"/>
        <v>3546</v>
      </c>
      <c r="B3547" t="str">
        <f t="shared" si="99"/>
        <v>Blount 1982</v>
      </c>
      <c r="C3547">
        <v>478.65</v>
      </c>
      <c r="D3547">
        <v>242</v>
      </c>
      <c r="E3547">
        <v>4.4462000000000002</v>
      </c>
      <c r="K3547">
        <v>2.856E-3</v>
      </c>
      <c r="R3547">
        <f t="shared" si="98"/>
        <v>1</v>
      </c>
    </row>
    <row r="3548" spans="1:18">
      <c r="A3548">
        <f t="shared" si="100"/>
        <v>3547</v>
      </c>
      <c r="B3548" t="str">
        <f t="shared" si="99"/>
        <v>Blount 1982</v>
      </c>
      <c r="C3548">
        <v>476.93</v>
      </c>
      <c r="D3548">
        <v>1564</v>
      </c>
      <c r="E3548">
        <v>6.6593999999999998</v>
      </c>
      <c r="K3548">
        <v>7.9799999999999992E-3</v>
      </c>
      <c r="R3548">
        <f t="shared" si="98"/>
        <v>1</v>
      </c>
    </row>
    <row r="3549" spans="1:18">
      <c r="A3549">
        <f t="shared" si="100"/>
        <v>3548</v>
      </c>
      <c r="B3549" t="str">
        <f t="shared" si="99"/>
        <v>Blount 1982</v>
      </c>
      <c r="C3549">
        <v>476.93</v>
      </c>
      <c r="D3549">
        <v>1556</v>
      </c>
      <c r="E3549">
        <v>6.6593999999999998</v>
      </c>
      <c r="K3549">
        <v>7.4089999999999998E-3</v>
      </c>
      <c r="R3549">
        <f t="shared" si="98"/>
        <v>1</v>
      </c>
    </row>
    <row r="3550" spans="1:18">
      <c r="A3550">
        <f t="shared" si="100"/>
        <v>3549</v>
      </c>
      <c r="B3550" t="str">
        <f t="shared" si="99"/>
        <v>Blount 1982</v>
      </c>
      <c r="C3550">
        <v>476.93</v>
      </c>
      <c r="D3550">
        <v>1556</v>
      </c>
      <c r="E3550">
        <v>6.6593999999999998</v>
      </c>
      <c r="K3550">
        <v>7.4809999999999998E-3</v>
      </c>
      <c r="R3550">
        <f t="shared" si="98"/>
        <v>1</v>
      </c>
    </row>
    <row r="3551" spans="1:18">
      <c r="A3551">
        <f t="shared" si="100"/>
        <v>3550</v>
      </c>
      <c r="B3551" t="str">
        <f t="shared" si="99"/>
        <v>Blount 1982</v>
      </c>
      <c r="C3551">
        <v>477.15</v>
      </c>
      <c r="D3551">
        <v>1548</v>
      </c>
      <c r="E3551">
        <v>6.6593999999999998</v>
      </c>
      <c r="K3551">
        <v>7.659E-3</v>
      </c>
      <c r="R3551">
        <f t="shared" si="98"/>
        <v>1</v>
      </c>
    </row>
    <row r="3552" spans="1:18">
      <c r="A3552">
        <f t="shared" si="100"/>
        <v>3551</v>
      </c>
      <c r="B3552" t="str">
        <f t="shared" si="99"/>
        <v>Blount 1982</v>
      </c>
      <c r="C3552">
        <v>476.93</v>
      </c>
      <c r="D3552">
        <v>1532</v>
      </c>
      <c r="E3552">
        <v>6.6593999999999998</v>
      </c>
      <c r="K3552">
        <v>8.0700000000000008E-3</v>
      </c>
      <c r="R3552">
        <f t="shared" si="98"/>
        <v>1</v>
      </c>
    </row>
    <row r="3553" spans="1:18">
      <c r="A3553">
        <f t="shared" si="100"/>
        <v>3552</v>
      </c>
      <c r="B3553" t="str">
        <f t="shared" si="99"/>
        <v>Blount 1982</v>
      </c>
      <c r="C3553">
        <v>476.93</v>
      </c>
      <c r="D3553">
        <v>1532</v>
      </c>
      <c r="E3553">
        <v>6.6593999999999998</v>
      </c>
      <c r="K3553">
        <v>8.2660000000000008E-3</v>
      </c>
      <c r="R3553">
        <f t="shared" si="98"/>
        <v>1</v>
      </c>
    </row>
    <row r="3554" spans="1:18">
      <c r="A3554">
        <f t="shared" si="100"/>
        <v>3553</v>
      </c>
      <c r="B3554" t="str">
        <f t="shared" si="99"/>
        <v>Blount 1982</v>
      </c>
      <c r="C3554">
        <v>476.93</v>
      </c>
      <c r="D3554">
        <v>1558</v>
      </c>
      <c r="E3554">
        <v>6.6593999999999998</v>
      </c>
      <c r="K3554">
        <v>7.7130000000000002E-3</v>
      </c>
      <c r="R3554">
        <f t="shared" si="98"/>
        <v>1</v>
      </c>
    </row>
    <row r="3555" spans="1:18">
      <c r="A3555">
        <f t="shared" si="100"/>
        <v>3554</v>
      </c>
      <c r="B3555" t="str">
        <f t="shared" si="99"/>
        <v>Blount 1982</v>
      </c>
      <c r="C3555">
        <v>476.93</v>
      </c>
      <c r="D3555">
        <v>1558</v>
      </c>
      <c r="E3555">
        <v>6.6593999999999998</v>
      </c>
      <c r="K3555">
        <v>8.0339999999999995E-3</v>
      </c>
      <c r="R3555">
        <f t="shared" si="98"/>
        <v>1</v>
      </c>
    </row>
    <row r="3556" spans="1:18">
      <c r="A3556">
        <f t="shared" si="100"/>
        <v>3555</v>
      </c>
      <c r="B3556" t="str">
        <f t="shared" si="99"/>
        <v>Blount 1982</v>
      </c>
      <c r="C3556">
        <v>477.15</v>
      </c>
      <c r="D3556">
        <v>1335</v>
      </c>
      <c r="E3556">
        <v>6.6593999999999998</v>
      </c>
      <c r="K3556">
        <v>6.9090000000000002E-3</v>
      </c>
      <c r="R3556">
        <f t="shared" si="98"/>
        <v>1</v>
      </c>
    </row>
    <row r="3557" spans="1:18">
      <c r="A3557">
        <f t="shared" si="100"/>
        <v>3556</v>
      </c>
      <c r="B3557" t="str">
        <f t="shared" si="99"/>
        <v>Blount 1982</v>
      </c>
      <c r="C3557">
        <v>477.15</v>
      </c>
      <c r="D3557">
        <v>1335</v>
      </c>
      <c r="E3557">
        <v>6.6430999999999996</v>
      </c>
      <c r="K3557">
        <v>7.4939999999999998E-3</v>
      </c>
      <c r="R3557">
        <f t="shared" si="98"/>
        <v>1</v>
      </c>
    </row>
    <row r="3558" spans="1:18">
      <c r="A3558">
        <f t="shared" si="100"/>
        <v>3557</v>
      </c>
      <c r="B3558" t="str">
        <f t="shared" si="99"/>
        <v>Blount 1982</v>
      </c>
      <c r="C3558">
        <v>477.15</v>
      </c>
      <c r="D3558">
        <v>1122</v>
      </c>
      <c r="E3558">
        <v>6.6593999999999998</v>
      </c>
      <c r="K3558">
        <v>6.9090000000000002E-3</v>
      </c>
      <c r="R3558">
        <f t="shared" si="98"/>
        <v>1</v>
      </c>
    </row>
    <row r="3559" spans="1:18">
      <c r="A3559">
        <f t="shared" si="100"/>
        <v>3558</v>
      </c>
      <c r="B3559" t="str">
        <f t="shared" si="99"/>
        <v>Blount 1982</v>
      </c>
      <c r="C3559">
        <v>477.15</v>
      </c>
      <c r="D3559">
        <v>1122</v>
      </c>
      <c r="E3559">
        <v>6.6593999999999998</v>
      </c>
      <c r="K3559">
        <v>6.4270000000000004E-3</v>
      </c>
      <c r="R3559">
        <f t="shared" si="98"/>
        <v>1</v>
      </c>
    </row>
    <row r="3560" spans="1:18">
      <c r="A3560">
        <f t="shared" si="100"/>
        <v>3559</v>
      </c>
      <c r="B3560" t="str">
        <f t="shared" si="99"/>
        <v>Blount 1982</v>
      </c>
      <c r="C3560">
        <v>476.93</v>
      </c>
      <c r="D3560">
        <v>910</v>
      </c>
      <c r="E3560">
        <v>6.6593999999999998</v>
      </c>
      <c r="K3560">
        <v>5.9610000000000002E-3</v>
      </c>
      <c r="R3560">
        <f t="shared" si="98"/>
        <v>1</v>
      </c>
    </row>
    <row r="3561" spans="1:18">
      <c r="A3561">
        <f t="shared" si="100"/>
        <v>3560</v>
      </c>
      <c r="B3561" t="str">
        <f t="shared" si="99"/>
        <v>Blount 1982</v>
      </c>
      <c r="C3561">
        <v>476.93</v>
      </c>
      <c r="D3561">
        <v>910</v>
      </c>
      <c r="E3561">
        <v>6.6593999999999998</v>
      </c>
      <c r="K3561">
        <v>5.8900000000000003E-3</v>
      </c>
      <c r="R3561">
        <f t="shared" si="98"/>
        <v>1</v>
      </c>
    </row>
    <row r="3562" spans="1:18">
      <c r="A3562">
        <f t="shared" si="100"/>
        <v>3561</v>
      </c>
      <c r="B3562" t="str">
        <f t="shared" si="99"/>
        <v>Blount 1982</v>
      </c>
      <c r="C3562">
        <v>476.65</v>
      </c>
      <c r="D3562">
        <v>708</v>
      </c>
      <c r="E3562">
        <v>6.4012000000000002</v>
      </c>
      <c r="K3562">
        <v>5.2779999999999997E-3</v>
      </c>
      <c r="R3562">
        <f t="shared" si="98"/>
        <v>1</v>
      </c>
    </row>
    <row r="3563" spans="1:18">
      <c r="A3563">
        <f t="shared" si="100"/>
        <v>3562</v>
      </c>
      <c r="B3563" t="str">
        <f t="shared" si="99"/>
        <v>Blount 1982</v>
      </c>
      <c r="C3563">
        <v>476.65</v>
      </c>
      <c r="D3563">
        <v>708</v>
      </c>
      <c r="E3563">
        <v>6.4012000000000002</v>
      </c>
      <c r="K3563">
        <v>5.2249999999999996E-3</v>
      </c>
      <c r="R3563">
        <f t="shared" si="98"/>
        <v>1</v>
      </c>
    </row>
    <row r="3564" spans="1:18">
      <c r="A3564">
        <f t="shared" si="100"/>
        <v>3563</v>
      </c>
      <c r="B3564" t="str">
        <f t="shared" si="99"/>
        <v>Blount 1982</v>
      </c>
      <c r="C3564">
        <v>476.65</v>
      </c>
      <c r="D3564">
        <v>490</v>
      </c>
      <c r="E3564">
        <v>6.4012000000000002</v>
      </c>
      <c r="K3564">
        <v>4.3010000000000001E-3</v>
      </c>
      <c r="R3564">
        <f t="shared" si="98"/>
        <v>1</v>
      </c>
    </row>
    <row r="3565" spans="1:18">
      <c r="A3565">
        <f t="shared" si="100"/>
        <v>3564</v>
      </c>
      <c r="B3565" t="str">
        <f t="shared" si="99"/>
        <v>Blount 1982</v>
      </c>
      <c r="C3565">
        <v>476.65</v>
      </c>
      <c r="D3565">
        <v>356</v>
      </c>
      <c r="E3565">
        <v>5.8430999999999997</v>
      </c>
      <c r="K3565">
        <v>3.2109999999999999E-3</v>
      </c>
      <c r="R3565">
        <f t="shared" si="98"/>
        <v>1</v>
      </c>
    </row>
    <row r="3566" spans="1:18">
      <c r="A3566">
        <f t="shared" si="100"/>
        <v>3565</v>
      </c>
      <c r="B3566" t="str">
        <f t="shared" si="99"/>
        <v>Blount 1982</v>
      </c>
      <c r="C3566">
        <v>476.65</v>
      </c>
      <c r="D3566">
        <v>356</v>
      </c>
      <c r="E3566">
        <v>5.8430999999999997</v>
      </c>
      <c r="K3566">
        <v>2.9849999999999998E-3</v>
      </c>
      <c r="R3566">
        <f t="shared" ref="R3566:R3629" si="101">R3565</f>
        <v>1</v>
      </c>
    </row>
    <row r="3567" spans="1:18">
      <c r="A3567">
        <f t="shared" si="100"/>
        <v>3566</v>
      </c>
      <c r="B3567" t="str">
        <f t="shared" si="99"/>
        <v>Blount 1982</v>
      </c>
      <c r="C3567">
        <v>476.93</v>
      </c>
      <c r="D3567">
        <v>376</v>
      </c>
      <c r="E3567">
        <v>5.6407999999999996</v>
      </c>
      <c r="K3567">
        <v>3.3379999999999998E-3</v>
      </c>
      <c r="R3567">
        <f t="shared" si="101"/>
        <v>1</v>
      </c>
    </row>
    <row r="3568" spans="1:18">
      <c r="A3568">
        <f t="shared" si="100"/>
        <v>3567</v>
      </c>
      <c r="B3568" t="str">
        <f t="shared" si="99"/>
        <v>Blount 1982</v>
      </c>
      <c r="C3568">
        <v>476.93</v>
      </c>
      <c r="D3568">
        <v>376</v>
      </c>
      <c r="E3568">
        <v>5.6407999999999996</v>
      </c>
      <c r="K3568">
        <v>3.3210000000000002E-3</v>
      </c>
      <c r="R3568">
        <f t="shared" si="101"/>
        <v>1</v>
      </c>
    </row>
    <row r="3569" spans="1:18">
      <c r="A3569">
        <f t="shared" si="100"/>
        <v>3568</v>
      </c>
      <c r="B3569" t="str">
        <f t="shared" si="99"/>
        <v>Blount 1982</v>
      </c>
      <c r="C3569">
        <v>476.65</v>
      </c>
      <c r="D3569">
        <v>254</v>
      </c>
      <c r="E3569">
        <v>5.4774000000000003</v>
      </c>
      <c r="K3569">
        <v>2.6129999999999999E-3</v>
      </c>
      <c r="R3569">
        <f t="shared" si="101"/>
        <v>1</v>
      </c>
    </row>
    <row r="3570" spans="1:18">
      <c r="A3570">
        <f t="shared" si="100"/>
        <v>3569</v>
      </c>
      <c r="B3570" t="str">
        <f t="shared" si="99"/>
        <v>Blount 1982</v>
      </c>
      <c r="C3570">
        <v>476.65</v>
      </c>
      <c r="D3570">
        <v>254</v>
      </c>
      <c r="E3570">
        <v>5.4774000000000003</v>
      </c>
      <c r="K3570">
        <v>2.4580000000000001E-3</v>
      </c>
      <c r="R3570">
        <f t="shared" si="101"/>
        <v>1</v>
      </c>
    </row>
    <row r="3571" spans="1:18">
      <c r="A3571">
        <f t="shared" si="100"/>
        <v>3570</v>
      </c>
      <c r="B3571" t="str">
        <f t="shared" si="99"/>
        <v>Blount 1982</v>
      </c>
      <c r="C3571">
        <v>512.15</v>
      </c>
      <c r="D3571">
        <v>1306</v>
      </c>
      <c r="E3571">
        <v>0.85819999999999996</v>
      </c>
      <c r="K3571">
        <v>1.8301999999999999E-2</v>
      </c>
      <c r="R3571">
        <f t="shared" si="101"/>
        <v>1</v>
      </c>
    </row>
    <row r="3572" spans="1:18">
      <c r="A3572">
        <f t="shared" si="100"/>
        <v>3571</v>
      </c>
      <c r="B3572" t="str">
        <f t="shared" si="99"/>
        <v>Blount 1982</v>
      </c>
      <c r="C3572">
        <v>512.15</v>
      </c>
      <c r="D3572">
        <v>1320</v>
      </c>
      <c r="E3572">
        <v>0.85629999999999995</v>
      </c>
      <c r="K3572">
        <v>2.0302000000000001E-2</v>
      </c>
      <c r="R3572">
        <f t="shared" si="101"/>
        <v>1</v>
      </c>
    </row>
    <row r="3573" spans="1:18">
      <c r="A3573">
        <f t="shared" si="100"/>
        <v>3572</v>
      </c>
      <c r="B3573" t="str">
        <f t="shared" si="99"/>
        <v>Blount 1982</v>
      </c>
      <c r="C3573">
        <v>512.15</v>
      </c>
      <c r="D3573">
        <v>1320</v>
      </c>
      <c r="E3573">
        <v>0.85629999999999995</v>
      </c>
      <c r="K3573">
        <v>1.9109999999999999E-2</v>
      </c>
      <c r="R3573">
        <f t="shared" si="101"/>
        <v>1</v>
      </c>
    </row>
    <row r="3574" spans="1:18">
      <c r="A3574">
        <f t="shared" si="100"/>
        <v>3573</v>
      </c>
      <c r="B3574" t="str">
        <f t="shared" si="99"/>
        <v>Blount 1982</v>
      </c>
      <c r="C3574">
        <v>512.15</v>
      </c>
      <c r="D3574">
        <v>1325</v>
      </c>
      <c r="E3574">
        <v>0.85440000000000005</v>
      </c>
      <c r="K3574">
        <v>1.8630000000000001E-2</v>
      </c>
      <c r="R3574">
        <f t="shared" si="101"/>
        <v>1</v>
      </c>
    </row>
    <row r="3575" spans="1:18">
      <c r="A3575">
        <f t="shared" si="100"/>
        <v>3574</v>
      </c>
      <c r="B3575" t="str">
        <f t="shared" si="99"/>
        <v>Blount 1982</v>
      </c>
      <c r="C3575">
        <v>512.15</v>
      </c>
      <c r="D3575">
        <v>1101</v>
      </c>
      <c r="E3575">
        <v>0.85250000000000004</v>
      </c>
      <c r="K3575">
        <v>1.7153000000000002E-2</v>
      </c>
      <c r="R3575">
        <f t="shared" si="101"/>
        <v>1</v>
      </c>
    </row>
    <row r="3576" spans="1:18">
      <c r="A3576">
        <f t="shared" si="100"/>
        <v>3575</v>
      </c>
      <c r="B3576" t="str">
        <f t="shared" si="99"/>
        <v>Blount 1982</v>
      </c>
      <c r="C3576">
        <v>512.15</v>
      </c>
      <c r="D3576">
        <v>1101</v>
      </c>
      <c r="E3576">
        <v>0.85250000000000004</v>
      </c>
      <c r="K3576">
        <v>1.6539999999999999E-2</v>
      </c>
      <c r="R3576">
        <f t="shared" si="101"/>
        <v>1</v>
      </c>
    </row>
    <row r="3577" spans="1:18">
      <c r="A3577">
        <f t="shared" si="100"/>
        <v>3576</v>
      </c>
      <c r="B3577" t="str">
        <f t="shared" si="99"/>
        <v>Blount 1982</v>
      </c>
      <c r="C3577">
        <v>512.15</v>
      </c>
      <c r="D3577">
        <v>919</v>
      </c>
      <c r="E3577">
        <v>0.83179999999999998</v>
      </c>
      <c r="K3577">
        <v>1.72E-2</v>
      </c>
      <c r="R3577">
        <f t="shared" si="101"/>
        <v>1</v>
      </c>
    </row>
    <row r="3578" spans="1:18">
      <c r="A3578">
        <f t="shared" si="100"/>
        <v>3577</v>
      </c>
      <c r="B3578" t="str">
        <f t="shared" si="99"/>
        <v>Blount 1982</v>
      </c>
      <c r="C3578">
        <v>512.15</v>
      </c>
      <c r="D3578">
        <v>919</v>
      </c>
      <c r="E3578">
        <v>0.83179999999999998</v>
      </c>
      <c r="K3578">
        <v>1.6868000000000001E-2</v>
      </c>
      <c r="R3578">
        <f t="shared" si="101"/>
        <v>1</v>
      </c>
    </row>
    <row r="3579" spans="1:18">
      <c r="A3579">
        <f t="shared" si="100"/>
        <v>3578</v>
      </c>
      <c r="B3579" t="str">
        <f t="shared" si="99"/>
        <v>Blount 1982</v>
      </c>
      <c r="C3579">
        <v>512.15</v>
      </c>
      <c r="D3579">
        <v>936</v>
      </c>
      <c r="E3579">
        <v>0.82809999999999995</v>
      </c>
      <c r="K3579">
        <v>1.4557E-2</v>
      </c>
      <c r="R3579">
        <f t="shared" si="101"/>
        <v>1</v>
      </c>
    </row>
    <row r="3580" spans="1:18">
      <c r="A3580">
        <f t="shared" si="100"/>
        <v>3579</v>
      </c>
      <c r="B3580" t="str">
        <f t="shared" ref="B3580:B3623" si="102">B3579</f>
        <v>Blount 1982</v>
      </c>
      <c r="C3580">
        <v>512.15</v>
      </c>
      <c r="D3580">
        <v>980</v>
      </c>
      <c r="E3580">
        <v>0.82240000000000002</v>
      </c>
      <c r="K3580">
        <v>1.61E-2</v>
      </c>
      <c r="R3580">
        <f t="shared" si="101"/>
        <v>1</v>
      </c>
    </row>
    <row r="3581" spans="1:18">
      <c r="A3581">
        <f t="shared" si="100"/>
        <v>3580</v>
      </c>
      <c r="B3581" t="str">
        <f t="shared" si="102"/>
        <v>Blount 1982</v>
      </c>
      <c r="C3581">
        <v>512.15</v>
      </c>
      <c r="D3581">
        <v>1000</v>
      </c>
      <c r="E3581">
        <v>0.82240000000000002</v>
      </c>
      <c r="K3581">
        <v>1.5953999999999999E-2</v>
      </c>
      <c r="R3581">
        <f t="shared" si="101"/>
        <v>1</v>
      </c>
    </row>
    <row r="3582" spans="1:18">
      <c r="A3582">
        <f t="shared" si="100"/>
        <v>3581</v>
      </c>
      <c r="B3582" t="str">
        <f t="shared" si="102"/>
        <v>Blount 1982</v>
      </c>
      <c r="C3582">
        <v>512.15</v>
      </c>
      <c r="D3582">
        <v>1000</v>
      </c>
      <c r="E3582">
        <v>0.82240000000000002</v>
      </c>
      <c r="K3582">
        <v>1.6167000000000001E-2</v>
      </c>
      <c r="R3582">
        <f t="shared" si="101"/>
        <v>1</v>
      </c>
    </row>
    <row r="3583" spans="1:18">
      <c r="A3583">
        <f t="shared" si="100"/>
        <v>3582</v>
      </c>
      <c r="B3583" t="str">
        <f t="shared" si="102"/>
        <v>Blount 1982</v>
      </c>
      <c r="C3583">
        <v>512.15</v>
      </c>
      <c r="D3583">
        <v>660</v>
      </c>
      <c r="E3583">
        <v>0.82240000000000002</v>
      </c>
      <c r="K3583">
        <v>1.3776999999999999E-2</v>
      </c>
      <c r="R3583">
        <f t="shared" si="101"/>
        <v>1</v>
      </c>
    </row>
    <row r="3584" spans="1:18">
      <c r="A3584">
        <f t="shared" si="100"/>
        <v>3583</v>
      </c>
      <c r="B3584" t="str">
        <f t="shared" si="102"/>
        <v>Blount 1982</v>
      </c>
      <c r="C3584">
        <v>512.15</v>
      </c>
      <c r="D3584">
        <v>660</v>
      </c>
      <c r="E3584">
        <v>0.82240000000000002</v>
      </c>
      <c r="K3584">
        <v>1.371E-2</v>
      </c>
      <c r="R3584">
        <f t="shared" si="101"/>
        <v>1</v>
      </c>
    </row>
    <row r="3585" spans="1:18">
      <c r="A3585">
        <f t="shared" si="100"/>
        <v>3584</v>
      </c>
      <c r="B3585" t="str">
        <f t="shared" si="102"/>
        <v>Blount 1982</v>
      </c>
      <c r="C3585">
        <v>512.15</v>
      </c>
      <c r="D3585">
        <v>510</v>
      </c>
      <c r="E3585">
        <v>0.81299999999999994</v>
      </c>
      <c r="K3585">
        <v>1.2551E-2</v>
      </c>
      <c r="R3585">
        <f t="shared" si="101"/>
        <v>1</v>
      </c>
    </row>
    <row r="3586" spans="1:18">
      <c r="A3586">
        <f t="shared" si="100"/>
        <v>3585</v>
      </c>
      <c r="B3586" t="str">
        <f t="shared" si="102"/>
        <v>Blount 1982</v>
      </c>
      <c r="C3586">
        <v>512.15</v>
      </c>
      <c r="D3586">
        <v>510</v>
      </c>
      <c r="E3586">
        <v>0.81299999999999994</v>
      </c>
      <c r="K3586">
        <v>1.1516999999999999E-2</v>
      </c>
      <c r="R3586">
        <f t="shared" si="101"/>
        <v>1</v>
      </c>
    </row>
    <row r="3587" spans="1:18">
      <c r="A3587">
        <f t="shared" si="100"/>
        <v>3586</v>
      </c>
      <c r="B3587" t="str">
        <f t="shared" si="102"/>
        <v>Blount 1982</v>
      </c>
      <c r="C3587">
        <v>512.15</v>
      </c>
      <c r="D3587">
        <v>346</v>
      </c>
      <c r="E3587">
        <v>0.80930000000000002</v>
      </c>
      <c r="K3587">
        <v>1.0168999999999999E-2</v>
      </c>
      <c r="R3587">
        <f t="shared" si="101"/>
        <v>1</v>
      </c>
    </row>
    <row r="3588" spans="1:18">
      <c r="A3588">
        <f t="shared" ref="A3588:A3651" si="103">A3587+1</f>
        <v>3587</v>
      </c>
      <c r="B3588" t="str">
        <f t="shared" si="102"/>
        <v>Blount 1982</v>
      </c>
      <c r="C3588">
        <v>512.15</v>
      </c>
      <c r="D3588">
        <v>360</v>
      </c>
      <c r="E3588">
        <v>0.78869999999999996</v>
      </c>
      <c r="K3588">
        <v>9.2010000000000008E-3</v>
      </c>
      <c r="R3588">
        <f t="shared" si="101"/>
        <v>1</v>
      </c>
    </row>
    <row r="3589" spans="1:18">
      <c r="A3589">
        <f t="shared" si="103"/>
        <v>3588</v>
      </c>
      <c r="B3589" t="str">
        <f t="shared" si="102"/>
        <v>Blount 1982</v>
      </c>
      <c r="C3589">
        <v>512.15</v>
      </c>
      <c r="D3589">
        <v>366</v>
      </c>
      <c r="E3589">
        <v>0.78300000000000003</v>
      </c>
      <c r="K3589">
        <v>9.2250000000000006E-3</v>
      </c>
      <c r="R3589">
        <f t="shared" si="101"/>
        <v>1</v>
      </c>
    </row>
    <row r="3590" spans="1:18">
      <c r="A3590">
        <f t="shared" si="103"/>
        <v>3589</v>
      </c>
      <c r="B3590" t="str">
        <f t="shared" si="102"/>
        <v>Blount 1982</v>
      </c>
      <c r="C3590">
        <v>512.15</v>
      </c>
      <c r="D3590">
        <v>366</v>
      </c>
      <c r="E3590">
        <v>0.78300000000000003</v>
      </c>
      <c r="K3590">
        <v>9.2390000000000007E-3</v>
      </c>
      <c r="R3590">
        <f t="shared" si="101"/>
        <v>1</v>
      </c>
    </row>
    <row r="3591" spans="1:18">
      <c r="A3591">
        <f t="shared" si="103"/>
        <v>3590</v>
      </c>
      <c r="B3591" t="str">
        <f t="shared" si="102"/>
        <v>Blount 1982</v>
      </c>
      <c r="C3591">
        <v>511.15</v>
      </c>
      <c r="D3591">
        <v>246</v>
      </c>
      <c r="E3591">
        <v>0.78300000000000003</v>
      </c>
      <c r="K3591">
        <v>8.4829999999999992E-3</v>
      </c>
      <c r="R3591">
        <f t="shared" si="101"/>
        <v>1</v>
      </c>
    </row>
    <row r="3592" spans="1:18">
      <c r="A3592">
        <f t="shared" si="103"/>
        <v>3591</v>
      </c>
      <c r="B3592" t="str">
        <f t="shared" si="102"/>
        <v>Blount 1982</v>
      </c>
      <c r="C3592">
        <v>511.15</v>
      </c>
      <c r="D3592">
        <v>246</v>
      </c>
      <c r="E3592">
        <v>0.78300000000000003</v>
      </c>
      <c r="K3592">
        <v>7.3619999999999996E-3</v>
      </c>
      <c r="R3592">
        <f t="shared" si="101"/>
        <v>1</v>
      </c>
    </row>
    <row r="3593" spans="1:18">
      <c r="A3593">
        <f t="shared" si="103"/>
        <v>3592</v>
      </c>
      <c r="B3593" t="str">
        <f t="shared" si="102"/>
        <v>Blount 1982</v>
      </c>
      <c r="C3593">
        <v>511.15</v>
      </c>
      <c r="D3593">
        <v>140</v>
      </c>
      <c r="E3593">
        <v>0.77370000000000005</v>
      </c>
      <c r="K3593">
        <v>5.6509999999999998E-3</v>
      </c>
      <c r="R3593">
        <f t="shared" si="101"/>
        <v>1</v>
      </c>
    </row>
    <row r="3594" spans="1:18">
      <c r="A3594">
        <f t="shared" si="103"/>
        <v>3593</v>
      </c>
      <c r="B3594" t="str">
        <f t="shared" si="102"/>
        <v>Blount 1982</v>
      </c>
      <c r="C3594">
        <v>511.15</v>
      </c>
      <c r="D3594">
        <v>140</v>
      </c>
      <c r="E3594">
        <v>0.77370000000000005</v>
      </c>
      <c r="K3594">
        <v>5.0530000000000002E-3</v>
      </c>
      <c r="R3594">
        <f t="shared" si="101"/>
        <v>1</v>
      </c>
    </row>
    <row r="3595" spans="1:18">
      <c r="A3595">
        <f t="shared" si="103"/>
        <v>3594</v>
      </c>
      <c r="B3595" t="str">
        <f t="shared" si="102"/>
        <v>Blount 1982</v>
      </c>
      <c r="C3595">
        <v>511.15</v>
      </c>
      <c r="D3595">
        <v>141</v>
      </c>
      <c r="E3595">
        <v>0.77370000000000005</v>
      </c>
      <c r="K3595">
        <v>4.7949999999999998E-3</v>
      </c>
      <c r="R3595">
        <f t="shared" si="101"/>
        <v>1</v>
      </c>
    </row>
    <row r="3596" spans="1:18">
      <c r="A3596">
        <f t="shared" si="103"/>
        <v>3595</v>
      </c>
      <c r="B3596" t="str">
        <f t="shared" si="102"/>
        <v>Blount 1982</v>
      </c>
      <c r="C3596">
        <v>511.93</v>
      </c>
      <c r="D3596">
        <v>1324</v>
      </c>
      <c r="E3596">
        <v>3.2118000000000002</v>
      </c>
      <c r="K3596">
        <v>1.2083E-2</v>
      </c>
      <c r="R3596">
        <f t="shared" si="101"/>
        <v>1</v>
      </c>
    </row>
    <row r="3597" spans="1:18">
      <c r="A3597">
        <f t="shared" si="103"/>
        <v>3596</v>
      </c>
      <c r="B3597" t="str">
        <f t="shared" si="102"/>
        <v>Blount 1982</v>
      </c>
      <c r="C3597">
        <v>511.93</v>
      </c>
      <c r="D3597">
        <v>1324</v>
      </c>
      <c r="E3597">
        <v>3.2118000000000002</v>
      </c>
      <c r="K3597">
        <v>1.2007E-2</v>
      </c>
      <c r="R3597">
        <f t="shared" si="101"/>
        <v>1</v>
      </c>
    </row>
    <row r="3598" spans="1:18">
      <c r="A3598">
        <f t="shared" si="103"/>
        <v>3597</v>
      </c>
      <c r="B3598" t="str">
        <f t="shared" si="102"/>
        <v>Blount 1982</v>
      </c>
      <c r="C3598">
        <v>512.15</v>
      </c>
      <c r="D3598">
        <v>1115</v>
      </c>
      <c r="E3598">
        <v>3.2118000000000002</v>
      </c>
      <c r="K3598">
        <v>1.14E-2</v>
      </c>
      <c r="R3598">
        <f t="shared" si="101"/>
        <v>1</v>
      </c>
    </row>
    <row r="3599" spans="1:18">
      <c r="A3599">
        <f t="shared" si="103"/>
        <v>3598</v>
      </c>
      <c r="B3599" t="str">
        <f t="shared" si="102"/>
        <v>Blount 1982</v>
      </c>
      <c r="C3599">
        <v>512.15</v>
      </c>
      <c r="D3599">
        <v>1115</v>
      </c>
      <c r="E3599">
        <v>3.2118000000000002</v>
      </c>
      <c r="K3599">
        <v>1.1429999999999999E-2</v>
      </c>
      <c r="R3599">
        <f t="shared" si="101"/>
        <v>1</v>
      </c>
    </row>
    <row r="3600" spans="1:18">
      <c r="A3600">
        <f t="shared" si="103"/>
        <v>3599</v>
      </c>
      <c r="B3600" t="str">
        <f t="shared" si="102"/>
        <v>Blount 1982</v>
      </c>
      <c r="C3600">
        <v>511.65</v>
      </c>
      <c r="D3600">
        <v>908</v>
      </c>
      <c r="E3600">
        <v>3.2118000000000002</v>
      </c>
      <c r="K3600">
        <v>1.0137E-2</v>
      </c>
      <c r="R3600">
        <f t="shared" si="101"/>
        <v>1</v>
      </c>
    </row>
    <row r="3601" spans="1:18">
      <c r="A3601">
        <f t="shared" si="103"/>
        <v>3600</v>
      </c>
      <c r="B3601" t="str">
        <f t="shared" si="102"/>
        <v>Blount 1982</v>
      </c>
      <c r="C3601">
        <v>511.65</v>
      </c>
      <c r="D3601">
        <v>908</v>
      </c>
      <c r="E3601">
        <v>3.2118000000000002</v>
      </c>
      <c r="K3601">
        <v>1.0716E-2</v>
      </c>
      <c r="R3601">
        <f t="shared" si="101"/>
        <v>1</v>
      </c>
    </row>
    <row r="3602" spans="1:18">
      <c r="A3602">
        <f t="shared" si="103"/>
        <v>3601</v>
      </c>
      <c r="B3602" t="str">
        <f t="shared" si="102"/>
        <v>Blount 1982</v>
      </c>
      <c r="C3602">
        <v>511.93</v>
      </c>
      <c r="D3602">
        <v>687</v>
      </c>
      <c r="E3602">
        <v>3.2959999999999998</v>
      </c>
      <c r="K3602">
        <v>8.9840000000000007E-3</v>
      </c>
      <c r="R3602">
        <f t="shared" si="101"/>
        <v>1</v>
      </c>
    </row>
    <row r="3603" spans="1:18">
      <c r="A3603">
        <f t="shared" si="103"/>
        <v>3602</v>
      </c>
      <c r="B3603" t="str">
        <f t="shared" si="102"/>
        <v>Blount 1982</v>
      </c>
      <c r="C3603">
        <v>511.93</v>
      </c>
      <c r="D3603">
        <v>687</v>
      </c>
      <c r="E3603">
        <v>3.2959999999999998</v>
      </c>
      <c r="K3603">
        <v>8.9230000000000004E-3</v>
      </c>
      <c r="R3603">
        <f t="shared" si="101"/>
        <v>1</v>
      </c>
    </row>
    <row r="3604" spans="1:18">
      <c r="A3604">
        <f t="shared" si="103"/>
        <v>3603</v>
      </c>
      <c r="B3604" t="str">
        <f t="shared" si="102"/>
        <v>Blount 1982</v>
      </c>
      <c r="C3604">
        <v>511.93</v>
      </c>
      <c r="D3604">
        <v>488</v>
      </c>
      <c r="E3604">
        <v>3.2959999999999998</v>
      </c>
      <c r="K3604">
        <v>7.28E-3</v>
      </c>
      <c r="R3604">
        <f t="shared" si="101"/>
        <v>1</v>
      </c>
    </row>
    <row r="3605" spans="1:18">
      <c r="A3605">
        <f t="shared" si="103"/>
        <v>3604</v>
      </c>
      <c r="B3605" t="str">
        <f t="shared" si="102"/>
        <v>Blount 1982</v>
      </c>
      <c r="C3605">
        <v>511.93</v>
      </c>
      <c r="D3605">
        <v>488</v>
      </c>
      <c r="E3605">
        <v>3.2959999999999998</v>
      </c>
      <c r="K3605">
        <v>6.8490000000000001E-3</v>
      </c>
      <c r="R3605">
        <f t="shared" si="101"/>
        <v>1</v>
      </c>
    </row>
    <row r="3606" spans="1:18">
      <c r="A3606">
        <f t="shared" si="103"/>
        <v>3605</v>
      </c>
      <c r="B3606" t="str">
        <f t="shared" si="102"/>
        <v>Blount 1982</v>
      </c>
      <c r="C3606">
        <v>510.65</v>
      </c>
      <c r="D3606">
        <v>345</v>
      </c>
      <c r="E3606">
        <v>3.2959999999999998</v>
      </c>
      <c r="K3606">
        <v>6.6340000000000001E-3</v>
      </c>
      <c r="R3606">
        <f t="shared" si="101"/>
        <v>1</v>
      </c>
    </row>
    <row r="3607" spans="1:18">
      <c r="A3607">
        <f t="shared" si="103"/>
        <v>3606</v>
      </c>
      <c r="B3607" t="str">
        <f t="shared" si="102"/>
        <v>Blount 1982</v>
      </c>
      <c r="C3607">
        <v>510.65</v>
      </c>
      <c r="D3607">
        <v>345</v>
      </c>
      <c r="E3607">
        <v>3.2959999999999998</v>
      </c>
      <c r="K3607">
        <v>6.6800000000000002E-3</v>
      </c>
      <c r="R3607">
        <f t="shared" si="101"/>
        <v>1</v>
      </c>
    </row>
    <row r="3608" spans="1:18">
      <c r="A3608">
        <f t="shared" si="103"/>
        <v>3607</v>
      </c>
      <c r="B3608" t="str">
        <f t="shared" si="102"/>
        <v>Blount 1982</v>
      </c>
      <c r="C3608">
        <v>511.93</v>
      </c>
      <c r="D3608">
        <v>242</v>
      </c>
      <c r="E3608">
        <v>3.2959999999999998</v>
      </c>
      <c r="K3608">
        <v>4.9220000000000002E-3</v>
      </c>
      <c r="R3608">
        <f t="shared" si="101"/>
        <v>1</v>
      </c>
    </row>
    <row r="3609" spans="1:18">
      <c r="A3609">
        <f t="shared" si="103"/>
        <v>3608</v>
      </c>
      <c r="B3609" t="str">
        <f t="shared" si="102"/>
        <v>Blount 1982</v>
      </c>
      <c r="C3609">
        <v>511.93</v>
      </c>
      <c r="D3609">
        <v>242</v>
      </c>
      <c r="E3609">
        <v>3.2959999999999998</v>
      </c>
      <c r="K3609">
        <v>5.0460000000000001E-3</v>
      </c>
      <c r="R3609">
        <f t="shared" si="101"/>
        <v>1</v>
      </c>
    </row>
    <row r="3610" spans="1:18">
      <c r="A3610">
        <f t="shared" si="103"/>
        <v>3609</v>
      </c>
      <c r="B3610" t="str">
        <f t="shared" si="102"/>
        <v>Blount 1982</v>
      </c>
      <c r="C3610">
        <v>511.93</v>
      </c>
      <c r="D3610">
        <v>238</v>
      </c>
      <c r="E3610">
        <v>3.2959999999999998</v>
      </c>
      <c r="K3610">
        <v>4.9680000000000002E-3</v>
      </c>
      <c r="R3610">
        <f t="shared" si="101"/>
        <v>1</v>
      </c>
    </row>
    <row r="3611" spans="1:18">
      <c r="A3611">
        <f t="shared" si="103"/>
        <v>3610</v>
      </c>
      <c r="B3611" t="str">
        <f t="shared" si="102"/>
        <v>Blount 1982</v>
      </c>
      <c r="C3611">
        <v>511.93</v>
      </c>
      <c r="D3611">
        <v>238</v>
      </c>
      <c r="E3611">
        <v>3.2959999999999998</v>
      </c>
      <c r="K3611">
        <v>4.9220000000000002E-3</v>
      </c>
      <c r="R3611">
        <f t="shared" si="101"/>
        <v>1</v>
      </c>
    </row>
    <row r="3612" spans="1:18">
      <c r="A3612">
        <f t="shared" si="103"/>
        <v>3611</v>
      </c>
      <c r="B3612" t="str">
        <f t="shared" si="102"/>
        <v>Blount 1982</v>
      </c>
      <c r="C3612">
        <v>512.15</v>
      </c>
      <c r="D3612">
        <v>1326</v>
      </c>
      <c r="E3612">
        <v>5.7823000000000002</v>
      </c>
      <c r="K3612">
        <v>1.0266000000000001E-2</v>
      </c>
      <c r="R3612">
        <f t="shared" si="101"/>
        <v>1</v>
      </c>
    </row>
    <row r="3613" spans="1:18">
      <c r="A3613">
        <f t="shared" si="103"/>
        <v>3612</v>
      </c>
      <c r="B3613" t="str">
        <f t="shared" si="102"/>
        <v>Blount 1982</v>
      </c>
      <c r="C3613">
        <v>512.15</v>
      </c>
      <c r="D3613">
        <v>1326</v>
      </c>
      <c r="E3613">
        <v>5.7823000000000002</v>
      </c>
      <c r="K3613">
        <v>1.0095E-2</v>
      </c>
      <c r="R3613">
        <f t="shared" si="101"/>
        <v>1</v>
      </c>
    </row>
    <row r="3614" spans="1:18">
      <c r="A3614">
        <f t="shared" si="103"/>
        <v>3613</v>
      </c>
      <c r="B3614" t="str">
        <f t="shared" si="102"/>
        <v>Blount 1982</v>
      </c>
      <c r="C3614">
        <v>513.15</v>
      </c>
      <c r="D3614">
        <v>1126</v>
      </c>
      <c r="E3614">
        <v>5.7641999999999998</v>
      </c>
      <c r="K3614">
        <v>9.1109999999999993E-3</v>
      </c>
      <c r="R3614">
        <f t="shared" si="101"/>
        <v>1</v>
      </c>
    </row>
    <row r="3615" spans="1:18">
      <c r="A3615">
        <f t="shared" si="103"/>
        <v>3614</v>
      </c>
      <c r="B3615" t="str">
        <f t="shared" si="102"/>
        <v>Blount 1982</v>
      </c>
      <c r="C3615">
        <v>513.15</v>
      </c>
      <c r="D3615">
        <v>1126</v>
      </c>
      <c r="E3615">
        <v>5.7641999999999998</v>
      </c>
      <c r="K3615">
        <v>1.0309E-2</v>
      </c>
      <c r="R3615">
        <f t="shared" si="101"/>
        <v>1</v>
      </c>
    </row>
    <row r="3616" spans="1:18">
      <c r="A3616">
        <f t="shared" si="103"/>
        <v>3615</v>
      </c>
      <c r="B3616" t="str">
        <f t="shared" si="102"/>
        <v>Blount 1982</v>
      </c>
      <c r="C3616">
        <v>513.15</v>
      </c>
      <c r="D3616">
        <v>1094</v>
      </c>
      <c r="E3616">
        <v>5.6798000000000002</v>
      </c>
      <c r="K3616">
        <v>9.3349999999999995E-3</v>
      </c>
      <c r="R3616">
        <f t="shared" si="101"/>
        <v>1</v>
      </c>
    </row>
    <row r="3617" spans="1:18">
      <c r="A3617">
        <f t="shared" si="103"/>
        <v>3616</v>
      </c>
      <c r="B3617" t="str">
        <f t="shared" si="102"/>
        <v>Blount 1982</v>
      </c>
      <c r="C3617">
        <v>513.15</v>
      </c>
      <c r="D3617">
        <v>1094</v>
      </c>
      <c r="E3617">
        <v>5.6798000000000002</v>
      </c>
      <c r="K3617">
        <v>9.0270000000000003E-3</v>
      </c>
      <c r="R3617">
        <f t="shared" si="101"/>
        <v>1</v>
      </c>
    </row>
    <row r="3618" spans="1:18">
      <c r="A3618">
        <f t="shared" si="103"/>
        <v>3617</v>
      </c>
      <c r="B3618" t="str">
        <f t="shared" si="102"/>
        <v>Blount 1982</v>
      </c>
      <c r="C3618">
        <v>513.15</v>
      </c>
      <c r="D3618">
        <v>906</v>
      </c>
      <c r="E3618">
        <v>5.6169000000000002</v>
      </c>
      <c r="K3618">
        <v>8.9009999999999992E-3</v>
      </c>
      <c r="R3618">
        <f t="shared" si="101"/>
        <v>1</v>
      </c>
    </row>
    <row r="3619" spans="1:18">
      <c r="A3619">
        <f t="shared" si="103"/>
        <v>3618</v>
      </c>
      <c r="B3619" t="str">
        <f t="shared" si="102"/>
        <v>Blount 1982</v>
      </c>
      <c r="C3619">
        <v>513.15</v>
      </c>
      <c r="D3619">
        <v>906</v>
      </c>
      <c r="E3619">
        <v>5.6169000000000002</v>
      </c>
      <c r="K3619">
        <v>9.0709999999999992E-3</v>
      </c>
      <c r="R3619">
        <f t="shared" si="101"/>
        <v>1</v>
      </c>
    </row>
    <row r="3620" spans="1:18">
      <c r="A3620">
        <f t="shared" si="103"/>
        <v>3619</v>
      </c>
      <c r="B3620" t="str">
        <f t="shared" si="102"/>
        <v>Blount 1982</v>
      </c>
      <c r="C3620">
        <v>513.15</v>
      </c>
      <c r="D3620">
        <v>914</v>
      </c>
      <c r="E3620">
        <v>5.4774000000000003</v>
      </c>
      <c r="K3620">
        <v>8.6960000000000006E-3</v>
      </c>
      <c r="R3620">
        <f t="shared" si="101"/>
        <v>1</v>
      </c>
    </row>
    <row r="3621" spans="1:18">
      <c r="A3621">
        <f t="shared" si="103"/>
        <v>3620</v>
      </c>
      <c r="B3621" t="str">
        <f t="shared" si="102"/>
        <v>Blount 1982</v>
      </c>
      <c r="C3621">
        <v>513.15</v>
      </c>
      <c r="D3621">
        <v>914</v>
      </c>
      <c r="E3621">
        <v>5.4774000000000003</v>
      </c>
      <c r="K3621">
        <v>8.7130000000000003E-3</v>
      </c>
      <c r="R3621">
        <f t="shared" si="101"/>
        <v>1</v>
      </c>
    </row>
    <row r="3622" spans="1:18">
      <c r="A3622">
        <f t="shared" si="103"/>
        <v>3621</v>
      </c>
      <c r="B3622" t="str">
        <f t="shared" si="102"/>
        <v>Blount 1982</v>
      </c>
      <c r="C3622">
        <v>513.15</v>
      </c>
      <c r="D3622">
        <v>710</v>
      </c>
      <c r="E3622">
        <v>5.0659999999999998</v>
      </c>
      <c r="K3622">
        <v>7.3920000000000001E-3</v>
      </c>
      <c r="R3622">
        <f t="shared" si="101"/>
        <v>1</v>
      </c>
    </row>
    <row r="3623" spans="1:18">
      <c r="A3623">
        <f t="shared" si="103"/>
        <v>3622</v>
      </c>
      <c r="B3623" t="str">
        <f t="shared" si="102"/>
        <v>Blount 1982</v>
      </c>
      <c r="C3623">
        <v>513.15</v>
      </c>
      <c r="D3623">
        <v>710</v>
      </c>
      <c r="E3623">
        <v>5.0659999999999998</v>
      </c>
      <c r="K3623">
        <v>7.175E-3</v>
      </c>
      <c r="R3623">
        <f t="shared" si="101"/>
        <v>1</v>
      </c>
    </row>
    <row r="3624" spans="1:18">
      <c r="A3624">
        <f t="shared" si="103"/>
        <v>3623</v>
      </c>
      <c r="B3624" t="s">
        <v>82</v>
      </c>
      <c r="C3624">
        <v>324.64999999999998</v>
      </c>
      <c r="D3624">
        <v>101.33</v>
      </c>
      <c r="E3624">
        <v>0</v>
      </c>
      <c r="K3624" s="3">
        <v>1.4270000000000001E-3</v>
      </c>
      <c r="R3624">
        <f t="shared" si="101"/>
        <v>1</v>
      </c>
    </row>
    <row r="3625" spans="1:18">
      <c r="A3625">
        <f t="shared" si="103"/>
        <v>3624</v>
      </c>
      <c r="B3625" t="str">
        <f t="shared" ref="B3625:B3627" si="104">B3624</f>
        <v>O'Sullivan 1970</v>
      </c>
      <c r="C3625">
        <v>324.64999999999998</v>
      </c>
      <c r="D3625">
        <v>101.33</v>
      </c>
      <c r="E3625">
        <v>1</v>
      </c>
      <c r="K3625" s="3">
        <v>1.0759999999999999E-3</v>
      </c>
      <c r="R3625">
        <f t="shared" si="101"/>
        <v>1</v>
      </c>
    </row>
    <row r="3626" spans="1:18">
      <c r="A3626">
        <f t="shared" si="103"/>
        <v>3625</v>
      </c>
      <c r="B3626" t="str">
        <f t="shared" si="104"/>
        <v>O'Sullivan 1970</v>
      </c>
      <c r="C3626">
        <v>324.64999999999998</v>
      </c>
      <c r="D3626">
        <v>202.65</v>
      </c>
      <c r="E3626">
        <v>0</v>
      </c>
      <c r="K3626" s="3">
        <v>2.2790000000000002E-3</v>
      </c>
      <c r="R3626">
        <f t="shared" si="101"/>
        <v>1</v>
      </c>
    </row>
    <row r="3627" spans="1:18">
      <c r="A3627">
        <f t="shared" si="103"/>
        <v>3626</v>
      </c>
      <c r="B3627" t="str">
        <f t="shared" si="104"/>
        <v>O'Sullivan 1970</v>
      </c>
      <c r="C3627">
        <v>324.64999999999998</v>
      </c>
      <c r="D3627">
        <v>202.65</v>
      </c>
      <c r="E3627">
        <v>1</v>
      </c>
      <c r="K3627" s="3">
        <v>1.6949999999999999E-3</v>
      </c>
      <c r="R3627">
        <f t="shared" si="101"/>
        <v>1</v>
      </c>
    </row>
    <row r="3628" spans="1:18">
      <c r="A3628">
        <f t="shared" si="103"/>
        <v>3627</v>
      </c>
      <c r="B3628" t="str">
        <f t="shared" ref="B3628:B3691" si="105">B3627</f>
        <v>O'Sullivan 1970</v>
      </c>
      <c r="C3628">
        <v>324.64999999999998</v>
      </c>
      <c r="D3628">
        <v>202.65</v>
      </c>
      <c r="E3628">
        <v>4</v>
      </c>
      <c r="K3628" s="3">
        <v>8.0500000000000005E-4</v>
      </c>
      <c r="R3628">
        <f t="shared" si="101"/>
        <v>1</v>
      </c>
    </row>
    <row r="3629" spans="1:18">
      <c r="A3629">
        <f t="shared" si="103"/>
        <v>3628</v>
      </c>
      <c r="B3629" t="str">
        <f t="shared" si="105"/>
        <v>O'Sullivan 1970</v>
      </c>
      <c r="C3629">
        <v>324.64999999999998</v>
      </c>
      <c r="D3629">
        <v>303.98</v>
      </c>
      <c r="E3629">
        <v>0</v>
      </c>
      <c r="K3629" s="3">
        <v>2.8700000000000002E-3</v>
      </c>
      <c r="R3629">
        <f t="shared" si="101"/>
        <v>1</v>
      </c>
    </row>
    <row r="3630" spans="1:18">
      <c r="A3630">
        <f t="shared" si="103"/>
        <v>3629</v>
      </c>
      <c r="B3630" t="str">
        <f t="shared" si="105"/>
        <v>O'Sullivan 1970</v>
      </c>
      <c r="C3630">
        <v>324.64999999999998</v>
      </c>
      <c r="D3630">
        <v>303.98</v>
      </c>
      <c r="E3630">
        <v>1</v>
      </c>
      <c r="K3630" s="3">
        <v>2.1380000000000001E-3</v>
      </c>
      <c r="R3630">
        <f t="shared" ref="R3630:R3673" si="106">R3629</f>
        <v>1</v>
      </c>
    </row>
    <row r="3631" spans="1:18">
      <c r="A3631">
        <f t="shared" si="103"/>
        <v>3630</v>
      </c>
      <c r="B3631" t="str">
        <f t="shared" si="105"/>
        <v>O'Sullivan 1970</v>
      </c>
      <c r="C3631">
        <v>324.64999999999998</v>
      </c>
      <c r="D3631">
        <v>303.98</v>
      </c>
      <c r="E3631">
        <v>4</v>
      </c>
      <c r="K3631" s="3">
        <v>9.9700000000000006E-4</v>
      </c>
      <c r="R3631">
        <f t="shared" si="106"/>
        <v>1</v>
      </c>
    </row>
    <row r="3632" spans="1:18">
      <c r="A3632">
        <f t="shared" si="103"/>
        <v>3631</v>
      </c>
      <c r="B3632" t="str">
        <f t="shared" si="105"/>
        <v>O'Sullivan 1970</v>
      </c>
      <c r="C3632">
        <v>324.64999999999998</v>
      </c>
      <c r="D3632">
        <v>405.3</v>
      </c>
      <c r="E3632">
        <v>0</v>
      </c>
      <c r="K3632" s="3">
        <v>3.3400000000000001E-3</v>
      </c>
      <c r="R3632">
        <f t="shared" si="106"/>
        <v>1</v>
      </c>
    </row>
    <row r="3633" spans="1:18">
      <c r="A3633">
        <f t="shared" si="103"/>
        <v>3632</v>
      </c>
      <c r="B3633" t="str">
        <f t="shared" si="105"/>
        <v>O'Sullivan 1970</v>
      </c>
      <c r="C3633">
        <v>324.64999999999998</v>
      </c>
      <c r="D3633">
        <v>405.3</v>
      </c>
      <c r="E3633">
        <v>1</v>
      </c>
      <c r="K3633" s="3">
        <v>2.5000000000000001E-3</v>
      </c>
      <c r="R3633">
        <f t="shared" si="106"/>
        <v>1</v>
      </c>
    </row>
    <row r="3634" spans="1:18">
      <c r="A3634">
        <f t="shared" si="103"/>
        <v>3633</v>
      </c>
      <c r="B3634" t="str">
        <f t="shared" si="105"/>
        <v>O'Sullivan 1970</v>
      </c>
      <c r="C3634">
        <v>324.64999999999998</v>
      </c>
      <c r="D3634">
        <v>405.3</v>
      </c>
      <c r="E3634">
        <v>4</v>
      </c>
      <c r="K3634" s="3">
        <v>1.1540000000000001E-3</v>
      </c>
      <c r="R3634">
        <f t="shared" si="106"/>
        <v>1</v>
      </c>
    </row>
    <row r="3635" spans="1:18">
      <c r="A3635">
        <f t="shared" si="103"/>
        <v>3634</v>
      </c>
      <c r="B3635" t="str">
        <f t="shared" si="105"/>
        <v>O'Sullivan 1970</v>
      </c>
      <c r="C3635">
        <v>324.64999999999998</v>
      </c>
      <c r="D3635">
        <v>506.63</v>
      </c>
      <c r="E3635">
        <v>0</v>
      </c>
      <c r="K3635" s="3">
        <v>3.7299999999999998E-3</v>
      </c>
      <c r="R3635">
        <f t="shared" si="106"/>
        <v>1</v>
      </c>
    </row>
    <row r="3636" spans="1:18">
      <c r="A3636">
        <f t="shared" si="103"/>
        <v>3635</v>
      </c>
      <c r="B3636" t="str">
        <f t="shared" si="105"/>
        <v>O'Sullivan 1970</v>
      </c>
      <c r="C3636">
        <v>324.64999999999998</v>
      </c>
      <c r="D3636">
        <v>506.63</v>
      </c>
      <c r="E3636">
        <v>1</v>
      </c>
      <c r="K3636" s="3">
        <v>2.7899999999999999E-3</v>
      </c>
      <c r="R3636">
        <f t="shared" si="106"/>
        <v>1</v>
      </c>
    </row>
    <row r="3637" spans="1:18">
      <c r="A3637">
        <f t="shared" si="103"/>
        <v>3636</v>
      </c>
      <c r="B3637" t="str">
        <f t="shared" si="105"/>
        <v>O'Sullivan 1970</v>
      </c>
      <c r="C3637">
        <v>324.64999999999998</v>
      </c>
      <c r="D3637">
        <v>506.63</v>
      </c>
      <c r="E3637">
        <v>4</v>
      </c>
      <c r="K3637" s="3">
        <v>1.3029999999999999E-3</v>
      </c>
      <c r="R3637">
        <f t="shared" si="106"/>
        <v>1</v>
      </c>
    </row>
    <row r="3638" spans="1:18">
      <c r="A3638">
        <f t="shared" si="103"/>
        <v>3637</v>
      </c>
      <c r="B3638" t="str">
        <f t="shared" si="105"/>
        <v>O'Sullivan 1970</v>
      </c>
      <c r="C3638">
        <v>324.64999999999998</v>
      </c>
      <c r="D3638">
        <v>607.95000000000005</v>
      </c>
      <c r="E3638">
        <v>0</v>
      </c>
      <c r="K3638" s="3">
        <v>4.0899999999999999E-3</v>
      </c>
      <c r="R3638">
        <f t="shared" si="106"/>
        <v>1</v>
      </c>
    </row>
    <row r="3639" spans="1:18">
      <c r="A3639">
        <f t="shared" si="103"/>
        <v>3638</v>
      </c>
      <c r="B3639" t="str">
        <f t="shared" si="105"/>
        <v>O'Sullivan 1970</v>
      </c>
      <c r="C3639">
        <v>324.64999999999998</v>
      </c>
      <c r="D3639">
        <v>607.95000000000005</v>
      </c>
      <c r="E3639">
        <v>1</v>
      </c>
      <c r="K3639" s="3">
        <v>3.0699999999999998E-3</v>
      </c>
      <c r="R3639">
        <f t="shared" si="106"/>
        <v>1</v>
      </c>
    </row>
    <row r="3640" spans="1:18">
      <c r="A3640">
        <f t="shared" si="103"/>
        <v>3639</v>
      </c>
      <c r="B3640" t="str">
        <f t="shared" si="105"/>
        <v>O'Sullivan 1970</v>
      </c>
      <c r="C3640">
        <v>324.64999999999998</v>
      </c>
      <c r="D3640">
        <v>607.95000000000005</v>
      </c>
      <c r="E3640">
        <v>4</v>
      </c>
      <c r="K3640" s="3">
        <v>1.444E-3</v>
      </c>
      <c r="R3640">
        <f t="shared" si="106"/>
        <v>1</v>
      </c>
    </row>
    <row r="3641" spans="1:18">
      <c r="A3641">
        <f t="shared" si="103"/>
        <v>3640</v>
      </c>
      <c r="B3641" t="str">
        <f t="shared" si="105"/>
        <v>O'Sullivan 1970</v>
      </c>
      <c r="C3641">
        <v>375.65</v>
      </c>
      <c r="D3641">
        <v>102.34</v>
      </c>
      <c r="E3641">
        <v>0</v>
      </c>
      <c r="K3641" s="3">
        <v>1.3550000000000001E-3</v>
      </c>
      <c r="R3641">
        <f t="shared" si="106"/>
        <v>1</v>
      </c>
    </row>
    <row r="3642" spans="1:18">
      <c r="A3642">
        <f t="shared" si="103"/>
        <v>3641</v>
      </c>
      <c r="B3642" t="str">
        <f t="shared" si="105"/>
        <v>O'Sullivan 1970</v>
      </c>
      <c r="C3642">
        <v>375.65</v>
      </c>
      <c r="D3642">
        <v>203.66</v>
      </c>
      <c r="E3642">
        <v>0</v>
      </c>
      <c r="K3642" s="3">
        <v>2.2049999999999999E-3</v>
      </c>
      <c r="R3642">
        <f t="shared" si="106"/>
        <v>1</v>
      </c>
    </row>
    <row r="3643" spans="1:18">
      <c r="A3643">
        <f t="shared" si="103"/>
        <v>3642</v>
      </c>
      <c r="B3643" t="str">
        <f t="shared" si="105"/>
        <v>O'Sullivan 1970</v>
      </c>
      <c r="C3643">
        <v>375.65</v>
      </c>
      <c r="D3643">
        <v>203.66</v>
      </c>
      <c r="E3643">
        <v>1</v>
      </c>
      <c r="K3643" s="3">
        <v>1.6930000000000001E-3</v>
      </c>
      <c r="R3643">
        <f t="shared" si="106"/>
        <v>1</v>
      </c>
    </row>
    <row r="3644" spans="1:18">
      <c r="A3644">
        <f t="shared" si="103"/>
        <v>3643</v>
      </c>
      <c r="B3644" t="str">
        <f t="shared" si="105"/>
        <v>O'Sullivan 1970</v>
      </c>
      <c r="C3644">
        <v>375.65</v>
      </c>
      <c r="D3644">
        <v>203.66</v>
      </c>
      <c r="E3644">
        <v>4</v>
      </c>
      <c r="K3644" s="3">
        <v>8.2600000000000002E-4</v>
      </c>
      <c r="R3644">
        <f t="shared" si="106"/>
        <v>1</v>
      </c>
    </row>
    <row r="3645" spans="1:18">
      <c r="A3645">
        <f t="shared" si="103"/>
        <v>3644</v>
      </c>
      <c r="B3645" t="str">
        <f t="shared" si="105"/>
        <v>O'Sullivan 1970</v>
      </c>
      <c r="C3645">
        <v>375.65</v>
      </c>
      <c r="D3645">
        <v>306</v>
      </c>
      <c r="E3645">
        <v>0</v>
      </c>
      <c r="K3645" s="3">
        <v>2.8700000000000002E-3</v>
      </c>
      <c r="R3645">
        <f t="shared" si="106"/>
        <v>1</v>
      </c>
    </row>
    <row r="3646" spans="1:18">
      <c r="A3646">
        <f t="shared" si="103"/>
        <v>3645</v>
      </c>
      <c r="B3646" t="str">
        <f t="shared" si="105"/>
        <v>O'Sullivan 1970</v>
      </c>
      <c r="C3646">
        <v>375.65</v>
      </c>
      <c r="D3646">
        <v>306</v>
      </c>
      <c r="E3646">
        <v>1</v>
      </c>
      <c r="K3646" s="3">
        <v>2.2190000000000001E-3</v>
      </c>
      <c r="R3646">
        <f t="shared" si="106"/>
        <v>1</v>
      </c>
    </row>
    <row r="3647" spans="1:18">
      <c r="A3647">
        <f t="shared" si="103"/>
        <v>3646</v>
      </c>
      <c r="B3647" t="str">
        <f t="shared" si="105"/>
        <v>O'Sullivan 1970</v>
      </c>
      <c r="C3647">
        <v>375.65</v>
      </c>
      <c r="D3647">
        <v>306</v>
      </c>
      <c r="E3647">
        <v>4</v>
      </c>
      <c r="K3647" s="3">
        <v>1.0790000000000001E-3</v>
      </c>
      <c r="R3647">
        <f t="shared" si="106"/>
        <v>1</v>
      </c>
    </row>
    <row r="3648" spans="1:18">
      <c r="A3648">
        <f t="shared" si="103"/>
        <v>3647</v>
      </c>
      <c r="B3648" t="str">
        <f t="shared" si="105"/>
        <v>O'Sullivan 1970</v>
      </c>
      <c r="C3648">
        <v>375.65</v>
      </c>
      <c r="D3648">
        <v>408.34</v>
      </c>
      <c r="E3648">
        <v>0</v>
      </c>
      <c r="K3648" s="3">
        <v>3.3300000000000001E-3</v>
      </c>
      <c r="R3648">
        <f t="shared" si="106"/>
        <v>1</v>
      </c>
    </row>
    <row r="3649" spans="1:18">
      <c r="A3649">
        <f t="shared" si="103"/>
        <v>3648</v>
      </c>
      <c r="B3649" t="str">
        <f t="shared" si="105"/>
        <v>O'Sullivan 1970</v>
      </c>
      <c r="C3649">
        <v>375.65</v>
      </c>
      <c r="D3649">
        <v>408.34</v>
      </c>
      <c r="E3649">
        <v>1</v>
      </c>
      <c r="K3649" s="3">
        <v>2.5699999999999998E-3</v>
      </c>
      <c r="R3649">
        <f t="shared" si="106"/>
        <v>1</v>
      </c>
    </row>
    <row r="3650" spans="1:18">
      <c r="A3650">
        <f t="shared" si="103"/>
        <v>3649</v>
      </c>
      <c r="B3650" t="str">
        <f t="shared" si="105"/>
        <v>O'Sullivan 1970</v>
      </c>
      <c r="C3650">
        <v>375.65</v>
      </c>
      <c r="D3650">
        <v>408.34</v>
      </c>
      <c r="E3650">
        <v>4</v>
      </c>
      <c r="K3650" s="3">
        <v>1.2110000000000001E-3</v>
      </c>
      <c r="R3650">
        <f t="shared" si="106"/>
        <v>1</v>
      </c>
    </row>
    <row r="3651" spans="1:18">
      <c r="A3651">
        <f t="shared" si="103"/>
        <v>3650</v>
      </c>
      <c r="B3651" t="str">
        <f t="shared" si="105"/>
        <v>O'Sullivan 1970</v>
      </c>
      <c r="C3651">
        <v>375.65</v>
      </c>
      <c r="D3651">
        <v>509.67</v>
      </c>
      <c r="E3651">
        <v>0</v>
      </c>
      <c r="K3651" s="3">
        <v>3.8500000000000001E-3</v>
      </c>
      <c r="R3651">
        <f t="shared" si="106"/>
        <v>1</v>
      </c>
    </row>
    <row r="3652" spans="1:18">
      <c r="A3652">
        <f t="shared" ref="A3652:A3715" si="107">A3651+1</f>
        <v>3651</v>
      </c>
      <c r="B3652" t="str">
        <f t="shared" si="105"/>
        <v>O'Sullivan 1970</v>
      </c>
      <c r="C3652">
        <v>375.65</v>
      </c>
      <c r="D3652">
        <v>509.67</v>
      </c>
      <c r="E3652">
        <v>1</v>
      </c>
      <c r="K3652" s="3">
        <v>2.8900000000000002E-3</v>
      </c>
      <c r="R3652">
        <f t="shared" si="106"/>
        <v>1</v>
      </c>
    </row>
    <row r="3653" spans="1:18">
      <c r="A3653">
        <f t="shared" si="107"/>
        <v>3652</v>
      </c>
      <c r="B3653" t="str">
        <f t="shared" si="105"/>
        <v>O'Sullivan 1970</v>
      </c>
      <c r="C3653">
        <v>375.65</v>
      </c>
      <c r="D3653">
        <v>509.67</v>
      </c>
      <c r="E3653">
        <v>4</v>
      </c>
      <c r="K3653" s="3">
        <v>1.3190000000000001E-3</v>
      </c>
      <c r="R3653">
        <f t="shared" si="106"/>
        <v>1</v>
      </c>
    </row>
    <row r="3654" spans="1:18">
      <c r="A3654">
        <f t="shared" si="107"/>
        <v>3653</v>
      </c>
      <c r="B3654" t="str">
        <f t="shared" si="105"/>
        <v>O'Sullivan 1970</v>
      </c>
      <c r="C3654">
        <v>375.65</v>
      </c>
      <c r="D3654">
        <v>612</v>
      </c>
      <c r="E3654">
        <v>0</v>
      </c>
      <c r="K3654" s="3">
        <v>4.1900000000000001E-3</v>
      </c>
      <c r="R3654">
        <f t="shared" si="106"/>
        <v>1</v>
      </c>
    </row>
    <row r="3655" spans="1:18">
      <c r="A3655">
        <f t="shared" si="107"/>
        <v>3654</v>
      </c>
      <c r="B3655" t="str">
        <f t="shared" si="105"/>
        <v>O'Sullivan 1970</v>
      </c>
      <c r="C3655">
        <v>375.65</v>
      </c>
      <c r="D3655">
        <v>612</v>
      </c>
      <c r="E3655">
        <v>1</v>
      </c>
      <c r="K3655" s="3">
        <v>3.2000000000000002E-3</v>
      </c>
      <c r="R3655">
        <f t="shared" si="106"/>
        <v>1</v>
      </c>
    </row>
    <row r="3656" spans="1:18">
      <c r="A3656">
        <f t="shared" si="107"/>
        <v>3655</v>
      </c>
      <c r="B3656" t="str">
        <f t="shared" si="105"/>
        <v>O'Sullivan 1970</v>
      </c>
      <c r="C3656">
        <v>375.65</v>
      </c>
      <c r="D3656">
        <v>612</v>
      </c>
      <c r="E3656">
        <v>4</v>
      </c>
      <c r="K3656" s="3">
        <v>1.433E-3</v>
      </c>
      <c r="R3656">
        <f t="shared" si="106"/>
        <v>1</v>
      </c>
    </row>
    <row r="3657" spans="1:18">
      <c r="A3657">
        <f t="shared" si="107"/>
        <v>3656</v>
      </c>
      <c r="B3657" t="str">
        <f t="shared" si="105"/>
        <v>O'Sullivan 1970</v>
      </c>
      <c r="C3657">
        <v>398.15</v>
      </c>
      <c r="D3657">
        <v>104.36</v>
      </c>
      <c r="E3657">
        <v>0</v>
      </c>
      <c r="K3657" s="3">
        <v>1.4339999999999999E-3</v>
      </c>
      <c r="R3657">
        <f t="shared" si="106"/>
        <v>1</v>
      </c>
    </row>
    <row r="3658" spans="1:18">
      <c r="A3658">
        <f t="shared" si="107"/>
        <v>3657</v>
      </c>
      <c r="B3658" t="str">
        <f t="shared" si="105"/>
        <v>O'Sullivan 1970</v>
      </c>
      <c r="C3658">
        <v>398.15</v>
      </c>
      <c r="D3658">
        <v>104.36</v>
      </c>
      <c r="E3658">
        <v>1</v>
      </c>
      <c r="K3658" s="3">
        <v>1.0579999999999999E-3</v>
      </c>
      <c r="R3658">
        <f t="shared" si="106"/>
        <v>1</v>
      </c>
    </row>
    <row r="3659" spans="1:18">
      <c r="A3659">
        <f t="shared" si="107"/>
        <v>3658</v>
      </c>
      <c r="B3659" t="str">
        <f t="shared" si="105"/>
        <v>O'Sullivan 1970</v>
      </c>
      <c r="C3659">
        <v>398.15</v>
      </c>
      <c r="D3659">
        <v>206.7</v>
      </c>
      <c r="E3659">
        <v>0</v>
      </c>
      <c r="K3659" s="3">
        <v>2.3210000000000001E-3</v>
      </c>
      <c r="R3659">
        <f t="shared" si="106"/>
        <v>1</v>
      </c>
    </row>
    <row r="3660" spans="1:18">
      <c r="A3660">
        <f t="shared" si="107"/>
        <v>3659</v>
      </c>
      <c r="B3660" t="str">
        <f t="shared" si="105"/>
        <v>O'Sullivan 1970</v>
      </c>
      <c r="C3660">
        <v>398.15</v>
      </c>
      <c r="D3660">
        <v>206.7</v>
      </c>
      <c r="E3660">
        <v>1</v>
      </c>
      <c r="K3660" s="3">
        <v>1.7520000000000001E-3</v>
      </c>
      <c r="R3660">
        <f t="shared" si="106"/>
        <v>1</v>
      </c>
    </row>
    <row r="3661" spans="1:18">
      <c r="A3661">
        <f t="shared" si="107"/>
        <v>3660</v>
      </c>
      <c r="B3661" t="str">
        <f t="shared" si="105"/>
        <v>O'Sullivan 1970</v>
      </c>
      <c r="C3661">
        <v>398.15</v>
      </c>
      <c r="D3661">
        <v>206.7</v>
      </c>
      <c r="E3661">
        <v>4</v>
      </c>
      <c r="K3661" s="3">
        <v>8.25E-4</v>
      </c>
      <c r="R3661">
        <f t="shared" si="106"/>
        <v>1</v>
      </c>
    </row>
    <row r="3662" spans="1:18">
      <c r="A3662">
        <f t="shared" si="107"/>
        <v>3661</v>
      </c>
      <c r="B3662" t="str">
        <f t="shared" si="105"/>
        <v>O'Sullivan 1970</v>
      </c>
      <c r="C3662">
        <v>398.15</v>
      </c>
      <c r="D3662">
        <v>309.04000000000002</v>
      </c>
      <c r="E3662">
        <v>0</v>
      </c>
      <c r="K3662" s="3">
        <v>2.96E-3</v>
      </c>
      <c r="R3662">
        <f t="shared" si="106"/>
        <v>1</v>
      </c>
    </row>
    <row r="3663" spans="1:18">
      <c r="A3663">
        <f t="shared" si="107"/>
        <v>3662</v>
      </c>
      <c r="B3663" t="str">
        <f t="shared" si="105"/>
        <v>O'Sullivan 1970</v>
      </c>
      <c r="C3663">
        <v>398.15</v>
      </c>
      <c r="D3663">
        <v>309.04000000000002</v>
      </c>
      <c r="E3663">
        <v>1</v>
      </c>
      <c r="K3663" s="3">
        <v>2.2230000000000001E-3</v>
      </c>
      <c r="R3663">
        <f t="shared" si="106"/>
        <v>1</v>
      </c>
    </row>
    <row r="3664" spans="1:18">
      <c r="A3664">
        <f t="shared" si="107"/>
        <v>3663</v>
      </c>
      <c r="B3664" t="str">
        <f t="shared" si="105"/>
        <v>O'Sullivan 1970</v>
      </c>
      <c r="C3664">
        <v>398.15</v>
      </c>
      <c r="D3664">
        <v>309.04000000000002</v>
      </c>
      <c r="E3664">
        <v>4</v>
      </c>
      <c r="K3664" s="3">
        <v>1.005E-3</v>
      </c>
      <c r="R3664">
        <f t="shared" si="106"/>
        <v>1</v>
      </c>
    </row>
    <row r="3665" spans="1:18">
      <c r="A3665">
        <f t="shared" si="107"/>
        <v>3664</v>
      </c>
      <c r="B3665" t="str">
        <f t="shared" si="105"/>
        <v>O'Sullivan 1970</v>
      </c>
      <c r="C3665">
        <v>398.15</v>
      </c>
      <c r="D3665">
        <v>410.37</v>
      </c>
      <c r="E3665">
        <v>0</v>
      </c>
      <c r="K3665" s="3">
        <v>3.4299999999999999E-3</v>
      </c>
      <c r="R3665">
        <f t="shared" si="106"/>
        <v>1</v>
      </c>
    </row>
    <row r="3666" spans="1:18">
      <c r="A3666">
        <f t="shared" si="107"/>
        <v>3665</v>
      </c>
      <c r="B3666" t="str">
        <f t="shared" si="105"/>
        <v>O'Sullivan 1970</v>
      </c>
      <c r="C3666">
        <v>398.15</v>
      </c>
      <c r="D3666">
        <v>410.37</v>
      </c>
      <c r="E3666">
        <v>1</v>
      </c>
      <c r="K3666" s="3">
        <v>2.5999999999999999E-3</v>
      </c>
      <c r="R3666">
        <f t="shared" si="106"/>
        <v>1</v>
      </c>
    </row>
    <row r="3667" spans="1:18">
      <c r="A3667">
        <f t="shared" si="107"/>
        <v>3666</v>
      </c>
      <c r="B3667" t="str">
        <f t="shared" si="105"/>
        <v>O'Sullivan 1970</v>
      </c>
      <c r="C3667">
        <v>398.15</v>
      </c>
      <c r="D3667">
        <v>410.37</v>
      </c>
      <c r="E3667">
        <v>4</v>
      </c>
      <c r="K3667" s="3">
        <v>1.1640000000000001E-3</v>
      </c>
      <c r="R3667">
        <f t="shared" si="106"/>
        <v>1</v>
      </c>
    </row>
    <row r="3668" spans="1:18">
      <c r="A3668">
        <f t="shared" si="107"/>
        <v>3667</v>
      </c>
      <c r="B3668" t="str">
        <f t="shared" si="105"/>
        <v>O'Sullivan 1970</v>
      </c>
      <c r="C3668">
        <v>398.15</v>
      </c>
      <c r="D3668">
        <v>513.72</v>
      </c>
      <c r="E3668">
        <v>0</v>
      </c>
      <c r="K3668" s="3">
        <v>3.96E-3</v>
      </c>
      <c r="R3668">
        <f t="shared" si="106"/>
        <v>1</v>
      </c>
    </row>
    <row r="3669" spans="1:18">
      <c r="A3669">
        <f t="shared" si="107"/>
        <v>3668</v>
      </c>
      <c r="B3669" t="str">
        <f t="shared" si="105"/>
        <v>O'Sullivan 1970</v>
      </c>
      <c r="C3669">
        <v>398.15</v>
      </c>
      <c r="D3669">
        <v>513.72</v>
      </c>
      <c r="E3669">
        <v>1</v>
      </c>
      <c r="K3669" s="3">
        <v>2.9399999999999999E-3</v>
      </c>
      <c r="R3669">
        <f t="shared" si="106"/>
        <v>1</v>
      </c>
    </row>
    <row r="3670" spans="1:18">
      <c r="A3670">
        <f t="shared" si="107"/>
        <v>3669</v>
      </c>
      <c r="B3670" t="str">
        <f t="shared" si="105"/>
        <v>O'Sullivan 1970</v>
      </c>
      <c r="C3670">
        <v>398.15</v>
      </c>
      <c r="D3670">
        <v>513.72</v>
      </c>
      <c r="E3670">
        <v>4</v>
      </c>
      <c r="K3670" s="3">
        <v>1.322E-3</v>
      </c>
      <c r="R3670">
        <f t="shared" si="106"/>
        <v>1</v>
      </c>
    </row>
    <row r="3671" spans="1:18">
      <c r="A3671">
        <f t="shared" si="107"/>
        <v>3670</v>
      </c>
      <c r="B3671" t="str">
        <f t="shared" si="105"/>
        <v>O'Sullivan 1970</v>
      </c>
      <c r="C3671">
        <v>398.15</v>
      </c>
      <c r="D3671">
        <v>616.05999999999995</v>
      </c>
      <c r="E3671">
        <v>0</v>
      </c>
      <c r="K3671" s="3">
        <v>4.3E-3</v>
      </c>
      <c r="R3671">
        <f t="shared" si="106"/>
        <v>1</v>
      </c>
    </row>
    <row r="3672" spans="1:18">
      <c r="A3672">
        <f t="shared" si="107"/>
        <v>3671</v>
      </c>
      <c r="B3672" t="str">
        <f t="shared" si="105"/>
        <v>O'Sullivan 1970</v>
      </c>
      <c r="C3672">
        <v>398.15</v>
      </c>
      <c r="D3672">
        <v>616.05999999999995</v>
      </c>
      <c r="E3672">
        <v>1</v>
      </c>
      <c r="K3672" s="3">
        <v>3.2499999999999999E-3</v>
      </c>
      <c r="R3672">
        <f t="shared" si="106"/>
        <v>1</v>
      </c>
    </row>
    <row r="3673" spans="1:18">
      <c r="A3673">
        <f t="shared" si="107"/>
        <v>3672</v>
      </c>
      <c r="B3673" t="str">
        <f t="shared" si="105"/>
        <v>O'Sullivan 1970</v>
      </c>
      <c r="C3673">
        <v>398.15</v>
      </c>
      <c r="D3673">
        <v>616.05999999999995</v>
      </c>
      <c r="E3673">
        <v>4</v>
      </c>
      <c r="K3673" s="3">
        <v>1.438E-3</v>
      </c>
      <c r="R3673">
        <f t="shared" si="106"/>
        <v>1</v>
      </c>
    </row>
    <row r="3674" spans="1:18">
      <c r="A3674">
        <f t="shared" si="107"/>
        <v>3673</v>
      </c>
      <c r="B3674" t="str">
        <f t="shared" si="105"/>
        <v>O'Sullivan 1970</v>
      </c>
      <c r="C3674">
        <v>324.64999999999998</v>
      </c>
      <c r="D3674">
        <v>101.33</v>
      </c>
      <c r="E3674">
        <v>0</v>
      </c>
      <c r="I3674" s="3">
        <v>7.9900000000000001E-4</v>
      </c>
      <c r="P3674">
        <v>1</v>
      </c>
    </row>
    <row r="3675" spans="1:18">
      <c r="A3675">
        <f t="shared" si="107"/>
        <v>3674</v>
      </c>
      <c r="B3675" t="str">
        <f t="shared" si="105"/>
        <v>O'Sullivan 1970</v>
      </c>
      <c r="C3675">
        <v>324.64999999999998</v>
      </c>
      <c r="D3675">
        <v>101.33</v>
      </c>
      <c r="E3675">
        <v>1</v>
      </c>
      <c r="I3675" s="3">
        <v>5.9299999999999999E-4</v>
      </c>
      <c r="P3675">
        <f>P3674</f>
        <v>1</v>
      </c>
    </row>
    <row r="3676" spans="1:18">
      <c r="A3676">
        <f t="shared" si="107"/>
        <v>3675</v>
      </c>
      <c r="B3676" t="str">
        <f t="shared" si="105"/>
        <v>O'Sullivan 1970</v>
      </c>
      <c r="C3676">
        <v>324.64999999999998</v>
      </c>
      <c r="D3676">
        <v>202.65</v>
      </c>
      <c r="E3676">
        <v>0</v>
      </c>
      <c r="I3676" s="3">
        <v>1.454E-3</v>
      </c>
      <c r="P3676">
        <f t="shared" ref="P3676:P3724" si="108">P3675</f>
        <v>1</v>
      </c>
    </row>
    <row r="3677" spans="1:18">
      <c r="A3677">
        <f t="shared" si="107"/>
        <v>3676</v>
      </c>
      <c r="B3677" t="str">
        <f t="shared" si="105"/>
        <v>O'Sullivan 1970</v>
      </c>
      <c r="C3677">
        <v>324.64999999999998</v>
      </c>
      <c r="D3677">
        <v>202.65</v>
      </c>
      <c r="E3677">
        <v>1</v>
      </c>
      <c r="I3677" s="3">
        <v>1.0759999999999999E-3</v>
      </c>
      <c r="P3677">
        <f t="shared" si="108"/>
        <v>1</v>
      </c>
    </row>
    <row r="3678" spans="1:18">
      <c r="A3678">
        <f t="shared" si="107"/>
        <v>3677</v>
      </c>
      <c r="B3678" t="str">
        <f t="shared" si="105"/>
        <v>O'Sullivan 1970</v>
      </c>
      <c r="C3678">
        <v>324.64999999999998</v>
      </c>
      <c r="D3678">
        <v>202.65</v>
      </c>
      <c r="E3678">
        <v>4</v>
      </c>
      <c r="I3678" s="3">
        <v>5.0000000000000001E-4</v>
      </c>
      <c r="P3678">
        <f t="shared" si="108"/>
        <v>1</v>
      </c>
    </row>
    <row r="3679" spans="1:18">
      <c r="A3679">
        <f t="shared" si="107"/>
        <v>3678</v>
      </c>
      <c r="B3679" t="str">
        <f t="shared" si="105"/>
        <v>O'Sullivan 1970</v>
      </c>
      <c r="C3679">
        <v>324.64999999999998</v>
      </c>
      <c r="D3679">
        <v>303.98</v>
      </c>
      <c r="E3679">
        <v>0</v>
      </c>
      <c r="I3679" s="3">
        <v>2.0170000000000001E-3</v>
      </c>
      <c r="P3679">
        <f t="shared" si="108"/>
        <v>1</v>
      </c>
    </row>
    <row r="3680" spans="1:18">
      <c r="A3680">
        <f t="shared" si="107"/>
        <v>3679</v>
      </c>
      <c r="B3680" t="str">
        <f t="shared" si="105"/>
        <v>O'Sullivan 1970</v>
      </c>
      <c r="C3680">
        <v>324.64999999999998</v>
      </c>
      <c r="D3680">
        <v>303.98</v>
      </c>
      <c r="E3680">
        <v>1</v>
      </c>
      <c r="I3680" s="3">
        <v>1.4970000000000001E-3</v>
      </c>
      <c r="P3680">
        <f t="shared" si="108"/>
        <v>1</v>
      </c>
    </row>
    <row r="3681" spans="1:16">
      <c r="A3681">
        <f t="shared" si="107"/>
        <v>3680</v>
      </c>
      <c r="B3681" t="str">
        <f t="shared" si="105"/>
        <v>O'Sullivan 1970</v>
      </c>
      <c r="C3681">
        <v>324.64999999999998</v>
      </c>
      <c r="D3681">
        <v>303.98</v>
      </c>
      <c r="E3681">
        <v>4</v>
      </c>
      <c r="I3681" s="3">
        <v>6.9999999999999999E-4</v>
      </c>
      <c r="P3681">
        <f t="shared" si="108"/>
        <v>1</v>
      </c>
    </row>
    <row r="3682" spans="1:16">
      <c r="A3682">
        <f t="shared" si="107"/>
        <v>3681</v>
      </c>
      <c r="B3682" t="str">
        <f t="shared" si="105"/>
        <v>O'Sullivan 1970</v>
      </c>
      <c r="C3682">
        <v>324.64999999999998</v>
      </c>
      <c r="D3682">
        <v>405.3</v>
      </c>
      <c r="E3682">
        <v>0</v>
      </c>
      <c r="I3682" s="3">
        <v>2.49E-3</v>
      </c>
      <c r="P3682">
        <f t="shared" si="108"/>
        <v>1</v>
      </c>
    </row>
    <row r="3683" spans="1:16">
      <c r="A3683">
        <f t="shared" si="107"/>
        <v>3682</v>
      </c>
      <c r="B3683" t="str">
        <f t="shared" si="105"/>
        <v>O'Sullivan 1970</v>
      </c>
      <c r="C3683">
        <v>324.64999999999998</v>
      </c>
      <c r="D3683">
        <v>405.3</v>
      </c>
      <c r="E3683">
        <v>1</v>
      </c>
      <c r="I3683" s="3">
        <v>1.8600000000000001E-3</v>
      </c>
      <c r="P3683">
        <f t="shared" si="108"/>
        <v>1</v>
      </c>
    </row>
    <row r="3684" spans="1:16">
      <c r="A3684">
        <f t="shared" si="107"/>
        <v>3683</v>
      </c>
      <c r="B3684" t="str">
        <f t="shared" si="105"/>
        <v>O'Sullivan 1970</v>
      </c>
      <c r="C3684">
        <v>324.64999999999998</v>
      </c>
      <c r="D3684">
        <v>405.3</v>
      </c>
      <c r="E3684">
        <v>4</v>
      </c>
      <c r="I3684" s="3">
        <v>8.7799999999999998E-4</v>
      </c>
      <c r="P3684">
        <f t="shared" si="108"/>
        <v>1</v>
      </c>
    </row>
    <row r="3685" spans="1:16">
      <c r="A3685">
        <f t="shared" si="107"/>
        <v>3684</v>
      </c>
      <c r="B3685" t="str">
        <f t="shared" si="105"/>
        <v>O'Sullivan 1970</v>
      </c>
      <c r="C3685">
        <v>324.64999999999998</v>
      </c>
      <c r="D3685">
        <v>506.63</v>
      </c>
      <c r="E3685">
        <v>0</v>
      </c>
      <c r="I3685" s="3">
        <v>2.9199999999999999E-3</v>
      </c>
      <c r="P3685">
        <f t="shared" si="108"/>
        <v>1</v>
      </c>
    </row>
    <row r="3686" spans="1:16">
      <c r="A3686">
        <f t="shared" si="107"/>
        <v>3685</v>
      </c>
      <c r="B3686" t="str">
        <f t="shared" si="105"/>
        <v>O'Sullivan 1970</v>
      </c>
      <c r="C3686">
        <v>324.64999999999998</v>
      </c>
      <c r="D3686">
        <v>506.63</v>
      </c>
      <c r="E3686">
        <v>1</v>
      </c>
      <c r="I3686" s="3">
        <v>2.2160000000000001E-3</v>
      </c>
      <c r="P3686">
        <f t="shared" si="108"/>
        <v>1</v>
      </c>
    </row>
    <row r="3687" spans="1:16">
      <c r="A3687">
        <f t="shared" si="107"/>
        <v>3686</v>
      </c>
      <c r="B3687" t="str">
        <f t="shared" si="105"/>
        <v>O'Sullivan 1970</v>
      </c>
      <c r="C3687">
        <v>324.64999999999998</v>
      </c>
      <c r="D3687">
        <v>506.63</v>
      </c>
      <c r="E3687">
        <v>4</v>
      </c>
      <c r="I3687" s="3">
        <v>1.034E-3</v>
      </c>
      <c r="P3687">
        <f t="shared" si="108"/>
        <v>1</v>
      </c>
    </row>
    <row r="3688" spans="1:16">
      <c r="A3688">
        <f t="shared" si="107"/>
        <v>3687</v>
      </c>
      <c r="B3688" t="str">
        <f t="shared" si="105"/>
        <v>O'Sullivan 1970</v>
      </c>
      <c r="C3688">
        <v>324.64999999999998</v>
      </c>
      <c r="D3688">
        <v>607.95000000000005</v>
      </c>
      <c r="E3688">
        <v>0</v>
      </c>
      <c r="I3688" s="3">
        <v>3.3500000000000001E-3</v>
      </c>
      <c r="P3688">
        <f t="shared" si="108"/>
        <v>1</v>
      </c>
    </row>
    <row r="3689" spans="1:16">
      <c r="A3689">
        <f t="shared" si="107"/>
        <v>3688</v>
      </c>
      <c r="B3689" t="str">
        <f t="shared" si="105"/>
        <v>O'Sullivan 1970</v>
      </c>
      <c r="C3689">
        <v>324.64999999999998</v>
      </c>
      <c r="D3689">
        <v>607.95000000000005</v>
      </c>
      <c r="E3689">
        <v>1</v>
      </c>
      <c r="I3689" s="3">
        <v>2.5300000000000001E-3</v>
      </c>
      <c r="P3689">
        <f t="shared" si="108"/>
        <v>1</v>
      </c>
    </row>
    <row r="3690" spans="1:16">
      <c r="A3690">
        <f t="shared" si="107"/>
        <v>3689</v>
      </c>
      <c r="B3690" t="str">
        <f t="shared" si="105"/>
        <v>O'Sullivan 1970</v>
      </c>
      <c r="C3690">
        <v>324.64999999999998</v>
      </c>
      <c r="D3690">
        <v>607.95000000000005</v>
      </c>
      <c r="E3690">
        <v>4</v>
      </c>
      <c r="I3690" s="3">
        <v>1.1789999999999999E-3</v>
      </c>
      <c r="P3690">
        <f t="shared" si="108"/>
        <v>1</v>
      </c>
    </row>
    <row r="3691" spans="1:16">
      <c r="A3691">
        <f t="shared" si="107"/>
        <v>3690</v>
      </c>
      <c r="B3691" t="str">
        <f t="shared" si="105"/>
        <v>O'Sullivan 1970</v>
      </c>
      <c r="C3691">
        <v>375.65</v>
      </c>
      <c r="D3691">
        <v>102.34</v>
      </c>
      <c r="E3691">
        <v>0</v>
      </c>
      <c r="I3691" s="3">
        <v>7.7700000000000002E-4</v>
      </c>
      <c r="P3691">
        <f t="shared" si="108"/>
        <v>1</v>
      </c>
    </row>
    <row r="3692" spans="1:16">
      <c r="A3692">
        <f t="shared" si="107"/>
        <v>3691</v>
      </c>
      <c r="B3692" t="str">
        <f t="shared" ref="B3692:B3755" si="109">B3691</f>
        <v>O'Sullivan 1970</v>
      </c>
      <c r="C3692">
        <v>375.65</v>
      </c>
      <c r="D3692">
        <v>102.34</v>
      </c>
      <c r="E3692">
        <v>1</v>
      </c>
      <c r="I3692" s="3">
        <v>6.0300000000000002E-4</v>
      </c>
      <c r="P3692">
        <f t="shared" si="108"/>
        <v>1</v>
      </c>
    </row>
    <row r="3693" spans="1:16">
      <c r="A3693">
        <f t="shared" si="107"/>
        <v>3692</v>
      </c>
      <c r="B3693" t="str">
        <f t="shared" si="109"/>
        <v>O'Sullivan 1970</v>
      </c>
      <c r="C3693">
        <v>375.65</v>
      </c>
      <c r="D3693">
        <v>203.66</v>
      </c>
      <c r="E3693">
        <v>0</v>
      </c>
      <c r="I3693" s="3">
        <v>1.4469999999999999E-3</v>
      </c>
      <c r="P3693">
        <f t="shared" si="108"/>
        <v>1</v>
      </c>
    </row>
    <row r="3694" spans="1:16">
      <c r="A3694">
        <f t="shared" si="107"/>
        <v>3693</v>
      </c>
      <c r="B3694" t="str">
        <f t="shared" si="109"/>
        <v>O'Sullivan 1970</v>
      </c>
      <c r="C3694">
        <v>375.65</v>
      </c>
      <c r="D3694">
        <v>203.66</v>
      </c>
      <c r="E3694">
        <v>1</v>
      </c>
      <c r="I3694" s="3">
        <v>1.1130000000000001E-3</v>
      </c>
      <c r="P3694">
        <f t="shared" si="108"/>
        <v>1</v>
      </c>
    </row>
    <row r="3695" spans="1:16">
      <c r="A3695">
        <f t="shared" si="107"/>
        <v>3694</v>
      </c>
      <c r="B3695" t="str">
        <f t="shared" si="109"/>
        <v>O'Sullivan 1970</v>
      </c>
      <c r="C3695">
        <v>375.65</v>
      </c>
      <c r="D3695">
        <v>203.66</v>
      </c>
      <c r="E3695">
        <v>4</v>
      </c>
      <c r="I3695" s="3">
        <v>5.2300000000000003E-4</v>
      </c>
      <c r="P3695">
        <f t="shared" si="108"/>
        <v>1</v>
      </c>
    </row>
    <row r="3696" spans="1:16">
      <c r="A3696">
        <f t="shared" si="107"/>
        <v>3695</v>
      </c>
      <c r="B3696" t="str">
        <f t="shared" si="109"/>
        <v>O'Sullivan 1970</v>
      </c>
      <c r="C3696">
        <v>375.65</v>
      </c>
      <c r="D3696">
        <v>306</v>
      </c>
      <c r="E3696">
        <v>0</v>
      </c>
      <c r="I3696" s="3">
        <v>2.0049999999999998E-3</v>
      </c>
      <c r="P3696">
        <f t="shared" si="108"/>
        <v>1</v>
      </c>
    </row>
    <row r="3697" spans="1:16">
      <c r="A3697">
        <f t="shared" si="107"/>
        <v>3696</v>
      </c>
      <c r="B3697" t="str">
        <f t="shared" si="109"/>
        <v>O'Sullivan 1970</v>
      </c>
      <c r="C3697">
        <v>375.65</v>
      </c>
      <c r="D3697">
        <v>306</v>
      </c>
      <c r="E3697">
        <v>1</v>
      </c>
      <c r="I3697" s="3">
        <v>1.5380000000000001E-3</v>
      </c>
      <c r="P3697">
        <f t="shared" si="108"/>
        <v>1</v>
      </c>
    </row>
    <row r="3698" spans="1:16">
      <c r="A3698">
        <f t="shared" si="107"/>
        <v>3697</v>
      </c>
      <c r="B3698" t="str">
        <f t="shared" si="109"/>
        <v>O'Sullivan 1970</v>
      </c>
      <c r="C3698">
        <v>375.65</v>
      </c>
      <c r="D3698">
        <v>306</v>
      </c>
      <c r="E3698">
        <v>4</v>
      </c>
      <c r="I3698" s="3">
        <v>7.3099999999999999E-4</v>
      </c>
      <c r="P3698">
        <f t="shared" si="108"/>
        <v>1</v>
      </c>
    </row>
    <row r="3699" spans="1:16">
      <c r="A3699">
        <f t="shared" si="107"/>
        <v>3698</v>
      </c>
      <c r="B3699" t="str">
        <f t="shared" si="109"/>
        <v>O'Sullivan 1970</v>
      </c>
      <c r="C3699">
        <v>375.65</v>
      </c>
      <c r="D3699">
        <v>408.34</v>
      </c>
      <c r="E3699">
        <v>0</v>
      </c>
      <c r="I3699" s="3">
        <v>2.5200000000000001E-3</v>
      </c>
      <c r="P3699">
        <f t="shared" si="108"/>
        <v>1</v>
      </c>
    </row>
    <row r="3700" spans="1:16">
      <c r="A3700">
        <f t="shared" si="107"/>
        <v>3699</v>
      </c>
      <c r="B3700" t="str">
        <f t="shared" si="109"/>
        <v>O'Sullivan 1970</v>
      </c>
      <c r="C3700">
        <v>375.65</v>
      </c>
      <c r="D3700">
        <v>408.34</v>
      </c>
      <c r="E3700">
        <v>1</v>
      </c>
      <c r="I3700" s="3">
        <v>1.92E-3</v>
      </c>
      <c r="P3700">
        <f t="shared" si="108"/>
        <v>1</v>
      </c>
    </row>
    <row r="3701" spans="1:16">
      <c r="A3701">
        <f t="shared" si="107"/>
        <v>3700</v>
      </c>
      <c r="B3701" t="str">
        <f t="shared" si="109"/>
        <v>O'Sullivan 1970</v>
      </c>
      <c r="C3701">
        <v>375.65</v>
      </c>
      <c r="D3701">
        <v>408.34</v>
      </c>
      <c r="E3701">
        <v>4</v>
      </c>
      <c r="I3701" s="3">
        <v>8.9899999999999995E-4</v>
      </c>
      <c r="P3701">
        <f t="shared" si="108"/>
        <v>1</v>
      </c>
    </row>
    <row r="3702" spans="1:16">
      <c r="A3702">
        <f t="shared" si="107"/>
        <v>3701</v>
      </c>
      <c r="B3702" t="str">
        <f t="shared" si="109"/>
        <v>O'Sullivan 1970</v>
      </c>
      <c r="C3702">
        <v>375.65</v>
      </c>
      <c r="D3702">
        <v>509.67</v>
      </c>
      <c r="E3702">
        <v>0</v>
      </c>
      <c r="I3702" s="3">
        <v>2.98E-3</v>
      </c>
      <c r="P3702">
        <f t="shared" si="108"/>
        <v>1</v>
      </c>
    </row>
    <row r="3703" spans="1:16">
      <c r="A3703">
        <f t="shared" si="107"/>
        <v>3702</v>
      </c>
      <c r="B3703" t="str">
        <f t="shared" si="109"/>
        <v>O'Sullivan 1970</v>
      </c>
      <c r="C3703">
        <v>375.65</v>
      </c>
      <c r="D3703">
        <v>509.67</v>
      </c>
      <c r="E3703">
        <v>1</v>
      </c>
      <c r="I3703" s="3">
        <v>2.2520000000000001E-3</v>
      </c>
      <c r="P3703">
        <f t="shared" si="108"/>
        <v>1</v>
      </c>
    </row>
    <row r="3704" spans="1:16">
      <c r="A3704">
        <f t="shared" si="107"/>
        <v>3703</v>
      </c>
      <c r="B3704" t="str">
        <f t="shared" si="109"/>
        <v>O'Sullivan 1970</v>
      </c>
      <c r="C3704">
        <v>375.65</v>
      </c>
      <c r="D3704">
        <v>509.67</v>
      </c>
      <c r="E3704">
        <v>4</v>
      </c>
      <c r="I3704" s="3">
        <v>1.047E-3</v>
      </c>
      <c r="P3704">
        <f t="shared" si="108"/>
        <v>1</v>
      </c>
    </row>
    <row r="3705" spans="1:16">
      <c r="A3705">
        <f t="shared" si="107"/>
        <v>3704</v>
      </c>
      <c r="B3705" t="str">
        <f t="shared" si="109"/>
        <v>O'Sullivan 1970</v>
      </c>
      <c r="C3705">
        <v>375.65</v>
      </c>
      <c r="D3705">
        <v>612</v>
      </c>
      <c r="E3705">
        <v>0</v>
      </c>
      <c r="I3705" s="3">
        <v>3.3700000000000002E-3</v>
      </c>
      <c r="P3705">
        <f t="shared" si="108"/>
        <v>1</v>
      </c>
    </row>
    <row r="3706" spans="1:16">
      <c r="A3706">
        <f t="shared" si="107"/>
        <v>3705</v>
      </c>
      <c r="B3706" t="str">
        <f t="shared" si="109"/>
        <v>O'Sullivan 1970</v>
      </c>
      <c r="C3706">
        <v>375.65</v>
      </c>
      <c r="D3706">
        <v>612</v>
      </c>
      <c r="E3706">
        <v>1</v>
      </c>
      <c r="I3706" s="3">
        <v>2.5999999999999999E-3</v>
      </c>
      <c r="P3706">
        <f t="shared" si="108"/>
        <v>1</v>
      </c>
    </row>
    <row r="3707" spans="1:16">
      <c r="A3707">
        <f t="shared" si="107"/>
        <v>3706</v>
      </c>
      <c r="B3707" t="str">
        <f t="shared" si="109"/>
        <v>O'Sullivan 1970</v>
      </c>
      <c r="C3707">
        <v>375.65</v>
      </c>
      <c r="D3707">
        <v>612</v>
      </c>
      <c r="E3707">
        <v>4</v>
      </c>
      <c r="I3707" s="3">
        <v>1.2049999999999999E-3</v>
      </c>
      <c r="P3707">
        <f t="shared" si="108"/>
        <v>1</v>
      </c>
    </row>
    <row r="3708" spans="1:16">
      <c r="A3708">
        <f t="shared" si="107"/>
        <v>3707</v>
      </c>
      <c r="B3708" t="str">
        <f t="shared" si="109"/>
        <v>O'Sullivan 1970</v>
      </c>
      <c r="C3708">
        <v>398.15</v>
      </c>
      <c r="D3708">
        <v>104.36</v>
      </c>
      <c r="E3708">
        <v>0</v>
      </c>
      <c r="I3708" s="3">
        <v>8.0800000000000002E-4</v>
      </c>
      <c r="P3708">
        <f t="shared" si="108"/>
        <v>1</v>
      </c>
    </row>
    <row r="3709" spans="1:16">
      <c r="A3709">
        <f t="shared" si="107"/>
        <v>3708</v>
      </c>
      <c r="B3709" t="str">
        <f t="shared" si="109"/>
        <v>O'Sullivan 1970</v>
      </c>
      <c r="C3709">
        <v>398.15</v>
      </c>
      <c r="D3709">
        <v>104.36</v>
      </c>
      <c r="E3709">
        <v>1</v>
      </c>
      <c r="I3709" s="3">
        <v>6.3199999999999997E-4</v>
      </c>
      <c r="P3709">
        <f t="shared" si="108"/>
        <v>1</v>
      </c>
    </row>
    <row r="3710" spans="1:16">
      <c r="A3710">
        <f t="shared" si="107"/>
        <v>3709</v>
      </c>
      <c r="B3710" t="str">
        <f t="shared" si="109"/>
        <v>O'Sullivan 1970</v>
      </c>
      <c r="C3710">
        <v>398.15</v>
      </c>
      <c r="D3710">
        <v>206.7</v>
      </c>
      <c r="E3710">
        <v>0</v>
      </c>
      <c r="I3710" s="3">
        <v>1.4920000000000001E-3</v>
      </c>
      <c r="P3710">
        <f t="shared" si="108"/>
        <v>1</v>
      </c>
    </row>
    <row r="3711" spans="1:16">
      <c r="A3711">
        <f t="shared" si="107"/>
        <v>3710</v>
      </c>
      <c r="B3711" t="str">
        <f t="shared" si="109"/>
        <v>O'Sullivan 1970</v>
      </c>
      <c r="C3711">
        <v>398.15</v>
      </c>
      <c r="D3711">
        <v>206.7</v>
      </c>
      <c r="E3711">
        <v>1</v>
      </c>
      <c r="I3711" s="3">
        <v>1.1019999999999999E-3</v>
      </c>
      <c r="P3711">
        <f t="shared" si="108"/>
        <v>1</v>
      </c>
    </row>
    <row r="3712" spans="1:16">
      <c r="A3712">
        <f t="shared" si="107"/>
        <v>3711</v>
      </c>
      <c r="B3712" t="str">
        <f t="shared" si="109"/>
        <v>O'Sullivan 1970</v>
      </c>
      <c r="C3712">
        <v>398.15</v>
      </c>
      <c r="D3712">
        <v>206.7</v>
      </c>
      <c r="E3712">
        <v>4</v>
      </c>
      <c r="I3712" s="3">
        <v>5.6700000000000001E-4</v>
      </c>
      <c r="P3712">
        <f t="shared" si="108"/>
        <v>1</v>
      </c>
    </row>
    <row r="3713" spans="1:18">
      <c r="A3713">
        <f t="shared" si="107"/>
        <v>3712</v>
      </c>
      <c r="B3713" t="str">
        <f t="shared" si="109"/>
        <v>O'Sullivan 1970</v>
      </c>
      <c r="C3713">
        <v>398.15</v>
      </c>
      <c r="D3713">
        <v>309.04000000000002</v>
      </c>
      <c r="E3713">
        <v>0</v>
      </c>
      <c r="I3713" s="3">
        <v>2.0470000000000002E-3</v>
      </c>
      <c r="P3713">
        <f t="shared" si="108"/>
        <v>1</v>
      </c>
    </row>
    <row r="3714" spans="1:18">
      <c r="A3714">
        <f t="shared" si="107"/>
        <v>3713</v>
      </c>
      <c r="B3714" t="str">
        <f t="shared" si="109"/>
        <v>O'Sullivan 1970</v>
      </c>
      <c r="C3714">
        <v>398.15</v>
      </c>
      <c r="D3714">
        <v>309.04000000000002</v>
      </c>
      <c r="E3714">
        <v>1</v>
      </c>
      <c r="I3714" s="3">
        <v>1.5330000000000001E-3</v>
      </c>
      <c r="P3714">
        <f t="shared" si="108"/>
        <v>1</v>
      </c>
    </row>
    <row r="3715" spans="1:18">
      <c r="A3715">
        <f t="shared" si="107"/>
        <v>3714</v>
      </c>
      <c r="B3715" t="str">
        <f t="shared" si="109"/>
        <v>O'Sullivan 1970</v>
      </c>
      <c r="C3715">
        <v>398.15</v>
      </c>
      <c r="D3715">
        <v>309.04000000000002</v>
      </c>
      <c r="E3715">
        <v>4</v>
      </c>
      <c r="I3715" s="3">
        <v>7.3999999999999999E-4</v>
      </c>
      <c r="P3715">
        <f t="shared" si="108"/>
        <v>1</v>
      </c>
    </row>
    <row r="3716" spans="1:18">
      <c r="A3716">
        <f t="shared" ref="A3716:A3779" si="110">A3715+1</f>
        <v>3715</v>
      </c>
      <c r="B3716" t="str">
        <f t="shared" si="109"/>
        <v>O'Sullivan 1970</v>
      </c>
      <c r="C3716">
        <v>398.15</v>
      </c>
      <c r="D3716">
        <v>410.37</v>
      </c>
      <c r="E3716">
        <v>0</v>
      </c>
      <c r="I3716" s="3">
        <v>2.5699999999999998E-3</v>
      </c>
      <c r="P3716">
        <f t="shared" si="108"/>
        <v>1</v>
      </c>
    </row>
    <row r="3717" spans="1:18">
      <c r="A3717">
        <f t="shared" si="110"/>
        <v>3716</v>
      </c>
      <c r="B3717" t="str">
        <f t="shared" si="109"/>
        <v>O'Sullivan 1970</v>
      </c>
      <c r="C3717">
        <v>398.15</v>
      </c>
      <c r="D3717">
        <v>410.37</v>
      </c>
      <c r="E3717">
        <v>1</v>
      </c>
      <c r="I3717" s="3">
        <v>1.8829999999999999E-3</v>
      </c>
      <c r="P3717">
        <f t="shared" si="108"/>
        <v>1</v>
      </c>
    </row>
    <row r="3718" spans="1:18">
      <c r="A3718">
        <f t="shared" si="110"/>
        <v>3717</v>
      </c>
      <c r="B3718" t="str">
        <f t="shared" si="109"/>
        <v>O'Sullivan 1970</v>
      </c>
      <c r="C3718">
        <v>398.15</v>
      </c>
      <c r="D3718">
        <v>410.37</v>
      </c>
      <c r="E3718">
        <v>4</v>
      </c>
      <c r="I3718" s="3">
        <v>9.2100000000000005E-4</v>
      </c>
      <c r="P3718">
        <f t="shared" si="108"/>
        <v>1</v>
      </c>
    </row>
    <row r="3719" spans="1:18">
      <c r="A3719">
        <f t="shared" si="110"/>
        <v>3718</v>
      </c>
      <c r="B3719" t="str">
        <f t="shared" si="109"/>
        <v>O'Sullivan 1970</v>
      </c>
      <c r="C3719">
        <v>398.15</v>
      </c>
      <c r="D3719">
        <v>513.72</v>
      </c>
      <c r="E3719">
        <v>0</v>
      </c>
      <c r="I3719" s="3">
        <v>3.0599999999999998E-3</v>
      </c>
      <c r="P3719">
        <f t="shared" si="108"/>
        <v>1</v>
      </c>
    </row>
    <row r="3720" spans="1:18">
      <c r="A3720">
        <f t="shared" si="110"/>
        <v>3719</v>
      </c>
      <c r="B3720" t="str">
        <f t="shared" si="109"/>
        <v>O'Sullivan 1970</v>
      </c>
      <c r="C3720">
        <v>398.15</v>
      </c>
      <c r="D3720">
        <v>513.72</v>
      </c>
      <c r="E3720">
        <v>1</v>
      </c>
      <c r="I3720" s="3">
        <v>2.2309999999999999E-3</v>
      </c>
      <c r="P3720">
        <f t="shared" si="108"/>
        <v>1</v>
      </c>
    </row>
    <row r="3721" spans="1:18">
      <c r="A3721">
        <f t="shared" si="110"/>
        <v>3720</v>
      </c>
      <c r="B3721" t="str">
        <f t="shared" si="109"/>
        <v>O'Sullivan 1970</v>
      </c>
      <c r="C3721">
        <v>398.15</v>
      </c>
      <c r="D3721">
        <v>513.72</v>
      </c>
      <c r="E3721">
        <v>4</v>
      </c>
      <c r="I3721" s="3">
        <v>1.041E-3</v>
      </c>
      <c r="P3721">
        <f t="shared" si="108"/>
        <v>1</v>
      </c>
    </row>
    <row r="3722" spans="1:18">
      <c r="A3722">
        <f t="shared" si="110"/>
        <v>3721</v>
      </c>
      <c r="B3722" t="str">
        <f t="shared" si="109"/>
        <v>O'Sullivan 1970</v>
      </c>
      <c r="C3722">
        <v>398.15</v>
      </c>
      <c r="D3722">
        <v>616.05999999999995</v>
      </c>
      <c r="E3722">
        <v>0</v>
      </c>
      <c r="I3722" s="3">
        <v>3.5100000000000001E-3</v>
      </c>
      <c r="P3722">
        <f t="shared" si="108"/>
        <v>1</v>
      </c>
    </row>
    <row r="3723" spans="1:18">
      <c r="A3723">
        <f t="shared" si="110"/>
        <v>3722</v>
      </c>
      <c r="B3723" t="str">
        <f t="shared" si="109"/>
        <v>O'Sullivan 1970</v>
      </c>
      <c r="C3723">
        <v>398.15</v>
      </c>
      <c r="D3723">
        <v>616.05999999999995</v>
      </c>
      <c r="E3723">
        <v>1</v>
      </c>
      <c r="I3723" s="3">
        <v>2.5500000000000002E-3</v>
      </c>
      <c r="P3723">
        <f t="shared" si="108"/>
        <v>1</v>
      </c>
    </row>
    <row r="3724" spans="1:18">
      <c r="A3724">
        <f t="shared" si="110"/>
        <v>3723</v>
      </c>
      <c r="B3724" t="str">
        <f t="shared" si="109"/>
        <v>O'Sullivan 1970</v>
      </c>
      <c r="C3724">
        <v>398.15</v>
      </c>
      <c r="D3724">
        <v>616.05999999999995</v>
      </c>
      <c r="E3724">
        <v>4</v>
      </c>
      <c r="I3724" s="3">
        <v>1.227E-3</v>
      </c>
      <c r="P3724">
        <f t="shared" si="108"/>
        <v>1</v>
      </c>
    </row>
    <row r="3725" spans="1:18">
      <c r="A3725">
        <f t="shared" si="110"/>
        <v>3724</v>
      </c>
      <c r="B3725" t="s">
        <v>111</v>
      </c>
      <c r="C3725">
        <v>297.04000000000002</v>
      </c>
      <c r="D3725">
        <v>132.52000000000001</v>
      </c>
      <c r="E3725">
        <v>0.90700000000000003</v>
      </c>
      <c r="K3725" s="3">
        <v>1.534917E-3</v>
      </c>
      <c r="R3725">
        <v>1</v>
      </c>
    </row>
    <row r="3726" spans="1:18">
      <c r="A3726">
        <f t="shared" si="110"/>
        <v>3725</v>
      </c>
      <c r="B3726" t="str">
        <f t="shared" si="109"/>
        <v>Blount 1982</v>
      </c>
      <c r="C3726">
        <v>297.04000000000002</v>
      </c>
      <c r="D3726">
        <v>69.98</v>
      </c>
      <c r="E3726">
        <v>0.90700000000000003</v>
      </c>
      <c r="K3726" s="3">
        <v>1.0949449999999999E-3</v>
      </c>
      <c r="R3726">
        <f t="shared" ref="R3726:R3788" si="111">R3725</f>
        <v>1</v>
      </c>
    </row>
    <row r="3727" spans="1:18">
      <c r="A3727">
        <f t="shared" si="110"/>
        <v>3726</v>
      </c>
      <c r="B3727" t="str">
        <f t="shared" si="109"/>
        <v>Blount 1982</v>
      </c>
      <c r="C3727">
        <v>297.04000000000002</v>
      </c>
      <c r="D3727">
        <v>69.64</v>
      </c>
      <c r="E3727">
        <v>0.90700000000000003</v>
      </c>
      <c r="K3727" s="3">
        <v>1.0682669999999999E-3</v>
      </c>
      <c r="R3727">
        <f t="shared" si="111"/>
        <v>1</v>
      </c>
    </row>
    <row r="3728" spans="1:18">
      <c r="A3728">
        <f t="shared" si="110"/>
        <v>3727</v>
      </c>
      <c r="B3728" t="str">
        <f t="shared" si="109"/>
        <v>Blount 1982</v>
      </c>
      <c r="C3728">
        <v>296.48</v>
      </c>
      <c r="D3728">
        <v>69.290000000000006</v>
      </c>
      <c r="E3728">
        <v>0.90700000000000003</v>
      </c>
      <c r="K3728" s="3">
        <v>1.1082830000000001E-3</v>
      </c>
      <c r="R3728">
        <f t="shared" si="111"/>
        <v>1</v>
      </c>
    </row>
    <row r="3729" spans="1:18">
      <c r="A3729">
        <f t="shared" si="110"/>
        <v>3728</v>
      </c>
      <c r="B3729" t="str">
        <f t="shared" si="109"/>
        <v>Blount 1982</v>
      </c>
      <c r="C3729">
        <v>296.48</v>
      </c>
      <c r="D3729">
        <v>69.290000000000006</v>
      </c>
      <c r="E3729">
        <v>0.90700000000000003</v>
      </c>
      <c r="K3729" s="3">
        <v>1.0816059999999999E-3</v>
      </c>
      <c r="R3729">
        <f t="shared" si="111"/>
        <v>1</v>
      </c>
    </row>
    <row r="3730" spans="1:18">
      <c r="A3730">
        <f t="shared" si="110"/>
        <v>3729</v>
      </c>
      <c r="B3730" t="str">
        <f t="shared" si="109"/>
        <v>Blount 1982</v>
      </c>
      <c r="C3730">
        <v>296.76</v>
      </c>
      <c r="D3730">
        <v>35.159999999999997</v>
      </c>
      <c r="E3730">
        <v>0.90700000000000003</v>
      </c>
      <c r="K3730" s="3">
        <v>6.1453270000000001E-4</v>
      </c>
      <c r="R3730">
        <f t="shared" si="111"/>
        <v>1</v>
      </c>
    </row>
    <row r="3731" spans="1:18">
      <c r="A3731">
        <f t="shared" si="110"/>
        <v>3730</v>
      </c>
      <c r="B3731" t="str">
        <f t="shared" si="109"/>
        <v>Blount 1982</v>
      </c>
      <c r="C3731">
        <v>296.76</v>
      </c>
      <c r="D3731">
        <v>35.159999999999997</v>
      </c>
      <c r="E3731">
        <v>0.90700000000000003</v>
      </c>
      <c r="K3731" s="3">
        <v>5.7447749999999995E-4</v>
      </c>
      <c r="R3731">
        <f t="shared" si="111"/>
        <v>1</v>
      </c>
    </row>
    <row r="3732" spans="1:18">
      <c r="A3732">
        <f t="shared" si="110"/>
        <v>3731</v>
      </c>
      <c r="B3732" t="str">
        <f t="shared" si="109"/>
        <v>Blount 1982</v>
      </c>
      <c r="C3732">
        <v>297.04000000000002</v>
      </c>
      <c r="D3732">
        <v>35.159999999999997</v>
      </c>
      <c r="E3732">
        <v>0.90700000000000003</v>
      </c>
      <c r="K3732" s="3">
        <v>7.2133090000000004E-4</v>
      </c>
      <c r="R3732">
        <f t="shared" si="111"/>
        <v>1</v>
      </c>
    </row>
    <row r="3733" spans="1:18">
      <c r="A3733">
        <f t="shared" si="110"/>
        <v>3732</v>
      </c>
      <c r="B3733" t="str">
        <f t="shared" si="109"/>
        <v>Blount 1982</v>
      </c>
      <c r="C3733">
        <v>296.76</v>
      </c>
      <c r="D3733">
        <v>34.82</v>
      </c>
      <c r="E3733">
        <v>0.90700000000000003</v>
      </c>
      <c r="K3733" s="3">
        <v>5.8782959999999999E-4</v>
      </c>
      <c r="R3733">
        <f t="shared" si="111"/>
        <v>1</v>
      </c>
    </row>
    <row r="3734" spans="1:18">
      <c r="A3734">
        <f t="shared" si="110"/>
        <v>3733</v>
      </c>
      <c r="B3734" t="str">
        <f t="shared" si="109"/>
        <v>Blount 1982</v>
      </c>
      <c r="C3734">
        <v>296.76</v>
      </c>
      <c r="D3734">
        <v>34.82</v>
      </c>
      <c r="E3734">
        <v>0.90700000000000003</v>
      </c>
      <c r="K3734" s="3">
        <v>7.480268E-4</v>
      </c>
      <c r="R3734">
        <f t="shared" si="111"/>
        <v>1</v>
      </c>
    </row>
    <row r="3735" spans="1:18">
      <c r="A3735">
        <f t="shared" si="110"/>
        <v>3734</v>
      </c>
      <c r="B3735" t="str">
        <f t="shared" si="109"/>
        <v>Blount 1982</v>
      </c>
      <c r="C3735">
        <v>296.76</v>
      </c>
      <c r="D3735">
        <v>17.79</v>
      </c>
      <c r="E3735">
        <v>0.90700000000000003</v>
      </c>
      <c r="K3735" s="3">
        <v>3.2071999999999998E-4</v>
      </c>
      <c r="R3735">
        <f t="shared" si="111"/>
        <v>1</v>
      </c>
    </row>
    <row r="3736" spans="1:18">
      <c r="A3736">
        <f t="shared" si="110"/>
        <v>3735</v>
      </c>
      <c r="B3736" t="str">
        <f t="shared" si="109"/>
        <v>Blount 1982</v>
      </c>
      <c r="C3736">
        <v>296.76</v>
      </c>
      <c r="D3736">
        <v>17.79</v>
      </c>
      <c r="E3736">
        <v>0.90700000000000003</v>
      </c>
      <c r="K3736" s="3">
        <v>2.8064129999999998E-4</v>
      </c>
      <c r="R3736">
        <f t="shared" si="111"/>
        <v>1</v>
      </c>
    </row>
    <row r="3737" spans="1:18">
      <c r="A3737">
        <f t="shared" si="110"/>
        <v>3736</v>
      </c>
      <c r="B3737" t="str">
        <f t="shared" si="109"/>
        <v>Blount 1982</v>
      </c>
      <c r="C3737">
        <v>296.48</v>
      </c>
      <c r="D3737">
        <v>17.579999999999998</v>
      </c>
      <c r="E3737">
        <v>0.90700000000000003</v>
      </c>
      <c r="K3737" s="3">
        <v>4.1422460000000003E-4</v>
      </c>
      <c r="R3737">
        <f t="shared" si="111"/>
        <v>1</v>
      </c>
    </row>
    <row r="3738" spans="1:18">
      <c r="A3738">
        <f t="shared" si="110"/>
        <v>3737</v>
      </c>
      <c r="B3738" t="str">
        <f t="shared" si="109"/>
        <v>Blount 1982</v>
      </c>
      <c r="C3738">
        <v>296.48</v>
      </c>
      <c r="D3738">
        <v>17.170000000000002</v>
      </c>
      <c r="E3738">
        <v>0.90700000000000003</v>
      </c>
      <c r="K3738" s="3">
        <v>2.9400120000000002E-4</v>
      </c>
      <c r="R3738">
        <f t="shared" si="111"/>
        <v>1</v>
      </c>
    </row>
    <row r="3739" spans="1:18">
      <c r="A3739">
        <f t="shared" si="110"/>
        <v>3738</v>
      </c>
      <c r="B3739" t="str">
        <f t="shared" si="109"/>
        <v>Blount 1982</v>
      </c>
      <c r="C3739">
        <v>296.48</v>
      </c>
      <c r="D3739">
        <v>17.170000000000002</v>
      </c>
      <c r="E3739">
        <v>0.90700000000000003</v>
      </c>
      <c r="K3739" s="3">
        <v>3.2071999999999998E-4</v>
      </c>
      <c r="R3739">
        <f t="shared" si="111"/>
        <v>1</v>
      </c>
    </row>
    <row r="3740" spans="1:18">
      <c r="A3740">
        <f t="shared" si="110"/>
        <v>3739</v>
      </c>
      <c r="B3740" t="str">
        <f t="shared" si="109"/>
        <v>Blount 1982</v>
      </c>
      <c r="C3740">
        <v>324.54000000000002</v>
      </c>
      <c r="D3740">
        <v>141</v>
      </c>
      <c r="E3740">
        <v>0.90700000000000003</v>
      </c>
      <c r="K3740" s="3">
        <v>1.52159E-3</v>
      </c>
      <c r="R3740">
        <f t="shared" si="111"/>
        <v>1</v>
      </c>
    </row>
    <row r="3741" spans="1:18">
      <c r="A3741">
        <f t="shared" si="110"/>
        <v>3740</v>
      </c>
      <c r="B3741" t="str">
        <f t="shared" si="109"/>
        <v>Blount 1982</v>
      </c>
      <c r="C3741">
        <v>324.54000000000002</v>
      </c>
      <c r="D3741">
        <v>141</v>
      </c>
      <c r="E3741">
        <v>0.90700000000000003</v>
      </c>
      <c r="K3741" s="3">
        <v>1.428293E-3</v>
      </c>
      <c r="R3741">
        <f t="shared" si="111"/>
        <v>1</v>
      </c>
    </row>
    <row r="3742" spans="1:18">
      <c r="A3742">
        <f t="shared" si="110"/>
        <v>3741</v>
      </c>
      <c r="B3742" t="str">
        <f t="shared" si="109"/>
        <v>Blount 1982</v>
      </c>
      <c r="C3742">
        <v>324.54000000000002</v>
      </c>
      <c r="D3742">
        <v>140.03</v>
      </c>
      <c r="E3742">
        <v>0.90700000000000003</v>
      </c>
      <c r="K3742" s="3">
        <v>1.348309E-3</v>
      </c>
      <c r="R3742">
        <f t="shared" si="111"/>
        <v>1</v>
      </c>
    </row>
    <row r="3743" spans="1:18">
      <c r="A3743">
        <f t="shared" si="110"/>
        <v>3742</v>
      </c>
      <c r="B3743" t="str">
        <f t="shared" si="109"/>
        <v>Blount 1982</v>
      </c>
      <c r="C3743">
        <v>324.54000000000002</v>
      </c>
      <c r="D3743">
        <v>140.03</v>
      </c>
      <c r="E3743">
        <v>0.90700000000000003</v>
      </c>
      <c r="K3743" s="3">
        <v>1.4549509999999999E-3</v>
      </c>
      <c r="R3743">
        <f t="shared" si="111"/>
        <v>1</v>
      </c>
    </row>
    <row r="3744" spans="1:18">
      <c r="A3744">
        <f t="shared" si="110"/>
        <v>3743</v>
      </c>
      <c r="B3744" t="str">
        <f t="shared" si="109"/>
        <v>Blount 1982</v>
      </c>
      <c r="C3744">
        <v>324.54000000000002</v>
      </c>
      <c r="D3744">
        <v>71.22</v>
      </c>
      <c r="E3744">
        <v>0.90700000000000003</v>
      </c>
      <c r="K3744" s="3">
        <v>9.0817269999999997E-4</v>
      </c>
      <c r="R3744">
        <f t="shared" si="111"/>
        <v>1</v>
      </c>
    </row>
    <row r="3745" spans="1:18">
      <c r="A3745">
        <f t="shared" si="110"/>
        <v>3744</v>
      </c>
      <c r="B3745" t="str">
        <f t="shared" si="109"/>
        <v>Blount 1982</v>
      </c>
      <c r="C3745">
        <v>324.54000000000002</v>
      </c>
      <c r="D3745">
        <v>71.22</v>
      </c>
      <c r="E3745">
        <v>0.90700000000000003</v>
      </c>
      <c r="K3745" s="3">
        <v>9.0817269999999997E-4</v>
      </c>
      <c r="R3745">
        <f t="shared" si="111"/>
        <v>1</v>
      </c>
    </row>
    <row r="3746" spans="1:18">
      <c r="A3746">
        <f t="shared" si="110"/>
        <v>3745</v>
      </c>
      <c r="B3746" t="str">
        <f t="shared" si="109"/>
        <v>Blount 1982</v>
      </c>
      <c r="C3746">
        <v>324.26</v>
      </c>
      <c r="D3746">
        <v>24.48</v>
      </c>
      <c r="E3746">
        <v>0.88900000000000001</v>
      </c>
      <c r="K3746" s="3">
        <v>3.206231E-4</v>
      </c>
      <c r="R3746">
        <f t="shared" si="111"/>
        <v>1</v>
      </c>
    </row>
    <row r="3747" spans="1:18">
      <c r="A3747">
        <f t="shared" si="110"/>
        <v>3746</v>
      </c>
      <c r="B3747" t="str">
        <f t="shared" si="109"/>
        <v>Blount 1982</v>
      </c>
      <c r="C3747">
        <v>324.26</v>
      </c>
      <c r="D3747">
        <v>24.48</v>
      </c>
      <c r="E3747">
        <v>0.88900000000000001</v>
      </c>
      <c r="K3747" s="3">
        <v>3.206231E-4</v>
      </c>
      <c r="R3747">
        <f t="shared" si="111"/>
        <v>1</v>
      </c>
    </row>
    <row r="3748" spans="1:18">
      <c r="A3748">
        <f t="shared" si="110"/>
        <v>3747</v>
      </c>
      <c r="B3748" t="str">
        <f t="shared" si="109"/>
        <v>Blount 1982</v>
      </c>
      <c r="C3748">
        <v>324.26</v>
      </c>
      <c r="D3748">
        <v>10.62</v>
      </c>
      <c r="E3748">
        <v>0.88900000000000001</v>
      </c>
      <c r="K3748" s="3">
        <v>1.202578E-4</v>
      </c>
      <c r="R3748">
        <f t="shared" si="111"/>
        <v>1</v>
      </c>
    </row>
    <row r="3749" spans="1:18">
      <c r="A3749">
        <f t="shared" si="110"/>
        <v>3748</v>
      </c>
      <c r="B3749" t="str">
        <f t="shared" si="109"/>
        <v>Blount 1982</v>
      </c>
      <c r="C3749">
        <v>324.26</v>
      </c>
      <c r="D3749">
        <v>10.62</v>
      </c>
      <c r="E3749">
        <v>0.88900000000000001</v>
      </c>
      <c r="K3749" s="3">
        <v>1.7369640000000001E-4</v>
      </c>
      <c r="R3749">
        <f t="shared" si="111"/>
        <v>1</v>
      </c>
    </row>
    <row r="3750" spans="1:18">
      <c r="A3750">
        <f t="shared" si="110"/>
        <v>3749</v>
      </c>
      <c r="B3750" t="str">
        <f t="shared" si="109"/>
        <v>Blount 1982</v>
      </c>
      <c r="C3750">
        <v>322.04000000000002</v>
      </c>
      <c r="D3750">
        <v>10.34</v>
      </c>
      <c r="E3750">
        <v>0.90700000000000003</v>
      </c>
      <c r="K3750" s="3">
        <v>1.069295E-4</v>
      </c>
      <c r="R3750">
        <f t="shared" si="111"/>
        <v>1</v>
      </c>
    </row>
    <row r="3751" spans="1:18">
      <c r="A3751">
        <f t="shared" si="110"/>
        <v>3750</v>
      </c>
      <c r="B3751" t="str">
        <f t="shared" si="109"/>
        <v>Blount 1982</v>
      </c>
      <c r="C3751">
        <v>322.04000000000002</v>
      </c>
      <c r="D3751">
        <v>8.9600000000000009</v>
      </c>
      <c r="E3751">
        <v>0.90700000000000003</v>
      </c>
      <c r="K3751" s="3">
        <v>1.202941E-4</v>
      </c>
      <c r="R3751">
        <f t="shared" si="111"/>
        <v>1</v>
      </c>
    </row>
    <row r="3752" spans="1:18">
      <c r="A3752">
        <f t="shared" si="110"/>
        <v>3751</v>
      </c>
      <c r="B3752" t="str">
        <f t="shared" si="109"/>
        <v>Blount 1982</v>
      </c>
      <c r="C3752">
        <v>322.04000000000002</v>
      </c>
      <c r="D3752">
        <v>8.9600000000000009</v>
      </c>
      <c r="E3752">
        <v>0.90700000000000003</v>
      </c>
      <c r="K3752" s="3">
        <v>1.3365830000000001E-4</v>
      </c>
      <c r="R3752">
        <f t="shared" si="111"/>
        <v>1</v>
      </c>
    </row>
    <row r="3753" spans="1:18">
      <c r="A3753">
        <f t="shared" si="110"/>
        <v>3752</v>
      </c>
      <c r="B3753" t="str">
        <f t="shared" si="109"/>
        <v>Blount 1982</v>
      </c>
      <c r="C3753">
        <v>322.04000000000002</v>
      </c>
      <c r="D3753">
        <v>8.9600000000000009</v>
      </c>
      <c r="E3753">
        <v>0.90700000000000003</v>
      </c>
      <c r="K3753" s="3">
        <v>9.3564600000000002E-5</v>
      </c>
      <c r="R3753">
        <f t="shared" si="111"/>
        <v>1</v>
      </c>
    </row>
    <row r="3754" spans="1:18">
      <c r="A3754">
        <f t="shared" si="110"/>
        <v>3753</v>
      </c>
      <c r="B3754" t="str">
        <f t="shared" si="109"/>
        <v>Blount 1982</v>
      </c>
      <c r="C3754">
        <v>322.04000000000002</v>
      </c>
      <c r="D3754">
        <v>8.9600000000000009</v>
      </c>
      <c r="E3754">
        <v>0.90700000000000003</v>
      </c>
      <c r="K3754" s="3">
        <v>1.069295E-4</v>
      </c>
      <c r="R3754">
        <f t="shared" si="111"/>
        <v>1</v>
      </c>
    </row>
    <row r="3755" spans="1:18">
      <c r="A3755">
        <f t="shared" si="110"/>
        <v>3754</v>
      </c>
      <c r="B3755" t="str">
        <f t="shared" si="109"/>
        <v>Blount 1982</v>
      </c>
      <c r="C3755">
        <v>342.59</v>
      </c>
      <c r="D3755">
        <v>136.24</v>
      </c>
      <c r="E3755">
        <v>0.80100000000000005</v>
      </c>
      <c r="K3755" s="3">
        <v>1.1994600000000001E-3</v>
      </c>
      <c r="R3755">
        <f t="shared" si="111"/>
        <v>1</v>
      </c>
    </row>
    <row r="3756" spans="1:18">
      <c r="A3756">
        <f t="shared" si="110"/>
        <v>3755</v>
      </c>
      <c r="B3756" t="str">
        <f t="shared" ref="B3756:B3819" si="112">B3755</f>
        <v>Blount 1982</v>
      </c>
      <c r="C3756">
        <v>342.59</v>
      </c>
      <c r="D3756">
        <v>136.24</v>
      </c>
      <c r="E3756">
        <v>0.80100000000000005</v>
      </c>
      <c r="K3756" s="3">
        <v>1.345864E-3</v>
      </c>
      <c r="R3756">
        <f t="shared" si="111"/>
        <v>1</v>
      </c>
    </row>
    <row r="3757" spans="1:18">
      <c r="A3757">
        <f t="shared" si="110"/>
        <v>3756</v>
      </c>
      <c r="B3757" t="str">
        <f t="shared" si="112"/>
        <v>Blount 1982</v>
      </c>
      <c r="C3757">
        <v>342.32</v>
      </c>
      <c r="D3757">
        <v>71.98</v>
      </c>
      <c r="E3757">
        <v>0.80100000000000005</v>
      </c>
      <c r="K3757" s="3">
        <v>7.9996009999999998E-4</v>
      </c>
      <c r="R3757">
        <f t="shared" si="111"/>
        <v>1</v>
      </c>
    </row>
    <row r="3758" spans="1:18">
      <c r="A3758">
        <f t="shared" si="110"/>
        <v>3757</v>
      </c>
      <c r="B3758" t="str">
        <f t="shared" si="112"/>
        <v>Blount 1982</v>
      </c>
      <c r="C3758">
        <v>342.32</v>
      </c>
      <c r="D3758">
        <v>71.98</v>
      </c>
      <c r="E3758">
        <v>0.80100000000000005</v>
      </c>
      <c r="K3758" s="3">
        <v>6.8004770000000005E-4</v>
      </c>
      <c r="R3758">
        <f t="shared" si="111"/>
        <v>1</v>
      </c>
    </row>
    <row r="3759" spans="1:18">
      <c r="A3759">
        <f t="shared" si="110"/>
        <v>3758</v>
      </c>
      <c r="B3759" t="str">
        <f t="shared" si="112"/>
        <v>Blount 1982</v>
      </c>
      <c r="C3759">
        <v>341.76</v>
      </c>
      <c r="D3759">
        <v>37.229999999999997</v>
      </c>
      <c r="E3759">
        <v>0.80100000000000005</v>
      </c>
      <c r="K3759" s="3">
        <v>4.401365E-4</v>
      </c>
      <c r="R3759">
        <f t="shared" si="111"/>
        <v>1</v>
      </c>
    </row>
    <row r="3760" spans="1:18">
      <c r="A3760">
        <f t="shared" si="110"/>
        <v>3759</v>
      </c>
      <c r="B3760" t="str">
        <f t="shared" si="112"/>
        <v>Blount 1982</v>
      </c>
      <c r="C3760">
        <v>341.76</v>
      </c>
      <c r="D3760">
        <v>17.309999999999999</v>
      </c>
      <c r="E3760">
        <v>0.85399999999999998</v>
      </c>
      <c r="K3760" s="3">
        <v>2.5368999999999999E-4</v>
      </c>
      <c r="R3760">
        <f t="shared" si="111"/>
        <v>1</v>
      </c>
    </row>
    <row r="3761" spans="1:18">
      <c r="A3761">
        <f t="shared" si="110"/>
        <v>3760</v>
      </c>
      <c r="B3761" t="str">
        <f t="shared" si="112"/>
        <v>Blount 1982</v>
      </c>
      <c r="C3761">
        <v>341.76</v>
      </c>
      <c r="D3761">
        <v>17.309999999999999</v>
      </c>
      <c r="E3761">
        <v>0.85399999999999998</v>
      </c>
      <c r="K3761" s="3">
        <v>2.2699189999999999E-4</v>
      </c>
      <c r="R3761">
        <f t="shared" si="111"/>
        <v>1</v>
      </c>
    </row>
    <row r="3762" spans="1:18">
      <c r="A3762">
        <f t="shared" si="110"/>
        <v>3761</v>
      </c>
      <c r="B3762" t="str">
        <f t="shared" si="112"/>
        <v>Blount 1982</v>
      </c>
      <c r="C3762">
        <v>342.04</v>
      </c>
      <c r="D3762">
        <v>18</v>
      </c>
      <c r="E3762">
        <v>0.85399999999999998</v>
      </c>
      <c r="K3762" s="3">
        <v>2.0029229999999999E-4</v>
      </c>
      <c r="R3762">
        <f t="shared" si="111"/>
        <v>1</v>
      </c>
    </row>
    <row r="3763" spans="1:18">
      <c r="A3763">
        <f t="shared" si="110"/>
        <v>3762</v>
      </c>
      <c r="B3763" t="str">
        <f t="shared" si="112"/>
        <v>Blount 1982</v>
      </c>
      <c r="C3763">
        <v>342.04</v>
      </c>
      <c r="D3763">
        <v>18</v>
      </c>
      <c r="E3763">
        <v>0.85399999999999998</v>
      </c>
      <c r="K3763" s="3">
        <v>2.1364229999999999E-4</v>
      </c>
      <c r="R3763">
        <f t="shared" si="111"/>
        <v>1</v>
      </c>
    </row>
    <row r="3764" spans="1:18">
      <c r="A3764">
        <f t="shared" si="110"/>
        <v>3763</v>
      </c>
      <c r="B3764" t="str">
        <f t="shared" si="112"/>
        <v>Blount 1982</v>
      </c>
      <c r="C3764">
        <v>342.04</v>
      </c>
      <c r="D3764">
        <v>16.55</v>
      </c>
      <c r="E3764">
        <v>0.85399999999999998</v>
      </c>
      <c r="K3764" s="3">
        <v>1.86942E-4</v>
      </c>
      <c r="R3764">
        <f t="shared" si="111"/>
        <v>1</v>
      </c>
    </row>
    <row r="3765" spans="1:18">
      <c r="A3765">
        <f t="shared" si="110"/>
        <v>3764</v>
      </c>
      <c r="B3765" t="str">
        <f t="shared" si="112"/>
        <v>Blount 1982</v>
      </c>
      <c r="C3765">
        <v>342.04</v>
      </c>
      <c r="D3765">
        <v>16.55</v>
      </c>
      <c r="E3765">
        <v>0.85399999999999998</v>
      </c>
      <c r="K3765" s="3">
        <v>1.7359130000000001E-4</v>
      </c>
      <c r="R3765">
        <f t="shared" si="111"/>
        <v>1</v>
      </c>
    </row>
    <row r="3766" spans="1:18">
      <c r="A3766">
        <f t="shared" si="110"/>
        <v>3765</v>
      </c>
      <c r="B3766" t="str">
        <f t="shared" si="112"/>
        <v>Blount 1982</v>
      </c>
      <c r="C3766">
        <v>342.04</v>
      </c>
      <c r="D3766">
        <v>10.27</v>
      </c>
      <c r="E3766">
        <v>0.85399999999999998</v>
      </c>
      <c r="K3766" s="3">
        <v>1.068325E-4</v>
      </c>
      <c r="R3766">
        <f t="shared" si="111"/>
        <v>1</v>
      </c>
    </row>
    <row r="3767" spans="1:18">
      <c r="A3767">
        <f t="shared" si="110"/>
        <v>3766</v>
      </c>
      <c r="B3767" t="str">
        <f t="shared" si="112"/>
        <v>Blount 1982</v>
      </c>
      <c r="C3767">
        <v>342.04</v>
      </c>
      <c r="D3767">
        <v>10.27</v>
      </c>
      <c r="E3767">
        <v>0.85399999999999998</v>
      </c>
      <c r="K3767" s="3">
        <v>1.068325E-4</v>
      </c>
      <c r="R3767">
        <f t="shared" si="111"/>
        <v>1</v>
      </c>
    </row>
    <row r="3768" spans="1:18">
      <c r="A3768">
        <f t="shared" si="110"/>
        <v>3767</v>
      </c>
      <c r="B3768" t="str">
        <f t="shared" si="112"/>
        <v>Blount 1982</v>
      </c>
      <c r="C3768">
        <v>298.98</v>
      </c>
      <c r="D3768">
        <v>34.47</v>
      </c>
      <c r="E3768">
        <v>1.86</v>
      </c>
      <c r="K3768" s="3">
        <v>4.6141779999999999E-4</v>
      </c>
      <c r="R3768">
        <f t="shared" si="111"/>
        <v>1</v>
      </c>
    </row>
    <row r="3769" spans="1:18">
      <c r="A3769">
        <f t="shared" si="110"/>
        <v>3768</v>
      </c>
      <c r="B3769" t="str">
        <f t="shared" si="112"/>
        <v>Blount 1982</v>
      </c>
      <c r="C3769">
        <v>298.98</v>
      </c>
      <c r="D3769">
        <v>34.47</v>
      </c>
      <c r="E3769">
        <v>1.86</v>
      </c>
      <c r="K3769" s="3">
        <v>4.6141779999999999E-4</v>
      </c>
      <c r="R3769">
        <f t="shared" si="111"/>
        <v>1</v>
      </c>
    </row>
    <row r="3770" spans="1:18">
      <c r="A3770">
        <f t="shared" si="110"/>
        <v>3769</v>
      </c>
      <c r="B3770" t="str">
        <f t="shared" si="112"/>
        <v>Blount 1982</v>
      </c>
      <c r="C3770">
        <v>298.70999999999998</v>
      </c>
      <c r="D3770">
        <v>34.200000000000003</v>
      </c>
      <c r="E3770">
        <v>1.86</v>
      </c>
      <c r="K3770" s="3">
        <v>4.4785270000000002E-4</v>
      </c>
      <c r="R3770">
        <f t="shared" si="111"/>
        <v>1</v>
      </c>
    </row>
    <row r="3771" spans="1:18">
      <c r="A3771">
        <f t="shared" si="110"/>
        <v>3770</v>
      </c>
      <c r="B3771" t="str">
        <f t="shared" si="112"/>
        <v>Blount 1982</v>
      </c>
      <c r="C3771">
        <v>298.70999999999998</v>
      </c>
      <c r="D3771">
        <v>34.200000000000003</v>
      </c>
      <c r="E3771">
        <v>1.86</v>
      </c>
      <c r="K3771" s="3">
        <v>4.4785270000000002E-4</v>
      </c>
      <c r="R3771">
        <f t="shared" si="111"/>
        <v>1</v>
      </c>
    </row>
    <row r="3772" spans="1:18">
      <c r="A3772">
        <f t="shared" si="110"/>
        <v>3771</v>
      </c>
      <c r="B3772" t="str">
        <f t="shared" si="112"/>
        <v>Blount 1982</v>
      </c>
      <c r="C3772">
        <v>298.70999999999998</v>
      </c>
      <c r="D3772">
        <v>21.51</v>
      </c>
      <c r="E3772">
        <v>1.86</v>
      </c>
      <c r="K3772" s="3">
        <v>3.5288719999999998E-4</v>
      </c>
      <c r="R3772">
        <f t="shared" si="111"/>
        <v>1</v>
      </c>
    </row>
    <row r="3773" spans="1:18">
      <c r="A3773">
        <f t="shared" si="110"/>
        <v>3772</v>
      </c>
      <c r="B3773" t="str">
        <f t="shared" si="112"/>
        <v>Blount 1982</v>
      </c>
      <c r="C3773">
        <v>298.70999999999998</v>
      </c>
      <c r="D3773">
        <v>21.51</v>
      </c>
      <c r="E3773">
        <v>1.86</v>
      </c>
      <c r="K3773" s="3">
        <v>3.393192E-4</v>
      </c>
      <c r="R3773">
        <f t="shared" si="111"/>
        <v>1</v>
      </c>
    </row>
    <row r="3774" spans="1:18">
      <c r="A3774">
        <f t="shared" si="110"/>
        <v>3773</v>
      </c>
      <c r="B3774" t="str">
        <f t="shared" si="112"/>
        <v>Blount 1982</v>
      </c>
      <c r="C3774">
        <v>298.70999999999998</v>
      </c>
      <c r="D3774">
        <v>8.6199999999999992</v>
      </c>
      <c r="E3774">
        <v>1.86</v>
      </c>
      <c r="K3774" s="3">
        <v>1.086072E-4</v>
      </c>
      <c r="R3774">
        <f t="shared" si="111"/>
        <v>1</v>
      </c>
    </row>
    <row r="3775" spans="1:18">
      <c r="A3775">
        <f t="shared" si="110"/>
        <v>3774</v>
      </c>
      <c r="B3775" t="str">
        <f t="shared" si="112"/>
        <v>Blount 1982</v>
      </c>
      <c r="C3775">
        <v>298.70999999999998</v>
      </c>
      <c r="D3775">
        <v>8.6199999999999992</v>
      </c>
      <c r="E3775">
        <v>1.86</v>
      </c>
      <c r="K3775" s="3">
        <v>1.4932880000000001E-4</v>
      </c>
      <c r="R3775">
        <f t="shared" si="111"/>
        <v>1</v>
      </c>
    </row>
    <row r="3776" spans="1:18">
      <c r="A3776">
        <f t="shared" si="110"/>
        <v>3775</v>
      </c>
      <c r="B3776" t="str">
        <f t="shared" si="112"/>
        <v>Blount 1982</v>
      </c>
      <c r="C3776">
        <v>298.70999999999998</v>
      </c>
      <c r="D3776">
        <v>8.6199999999999992</v>
      </c>
      <c r="E3776">
        <v>1.86</v>
      </c>
      <c r="K3776" s="3">
        <v>9.5032599999999995E-5</v>
      </c>
      <c r="R3776">
        <f t="shared" si="111"/>
        <v>1</v>
      </c>
    </row>
    <row r="3777" spans="1:18">
      <c r="A3777">
        <f t="shared" si="110"/>
        <v>3776</v>
      </c>
      <c r="B3777" t="str">
        <f t="shared" si="112"/>
        <v>Blount 1982</v>
      </c>
      <c r="C3777">
        <v>298.70999999999998</v>
      </c>
      <c r="D3777">
        <v>8.6199999999999992</v>
      </c>
      <c r="E3777">
        <v>1.86</v>
      </c>
      <c r="K3777" s="3">
        <v>1.900471E-4</v>
      </c>
      <c r="R3777">
        <f t="shared" si="111"/>
        <v>1</v>
      </c>
    </row>
    <row r="3778" spans="1:18">
      <c r="A3778">
        <f t="shared" si="110"/>
        <v>3777</v>
      </c>
      <c r="B3778" t="str">
        <f t="shared" si="112"/>
        <v>Blount 1982</v>
      </c>
      <c r="C3778">
        <v>298.70999999999998</v>
      </c>
      <c r="D3778">
        <v>8.6199999999999992</v>
      </c>
      <c r="E3778">
        <v>1.86</v>
      </c>
      <c r="K3778" s="3">
        <v>2.036192E-4</v>
      </c>
      <c r="R3778">
        <f t="shared" si="111"/>
        <v>1</v>
      </c>
    </row>
    <row r="3779" spans="1:18">
      <c r="A3779">
        <f t="shared" si="110"/>
        <v>3778</v>
      </c>
      <c r="B3779" t="str">
        <f t="shared" si="112"/>
        <v>Blount 1982</v>
      </c>
      <c r="C3779">
        <v>298.70999999999998</v>
      </c>
      <c r="D3779">
        <v>8.6199999999999992</v>
      </c>
      <c r="E3779">
        <v>1.86</v>
      </c>
      <c r="K3779" s="3">
        <v>1.764747E-4</v>
      </c>
      <c r="R3779">
        <f t="shared" si="111"/>
        <v>1</v>
      </c>
    </row>
    <row r="3780" spans="1:18">
      <c r="A3780">
        <f t="shared" ref="A3780:A3843" si="113">A3779+1</f>
        <v>3779</v>
      </c>
      <c r="B3780" t="str">
        <f t="shared" si="112"/>
        <v>Blount 1982</v>
      </c>
      <c r="C3780">
        <v>322.32</v>
      </c>
      <c r="D3780">
        <v>138.58000000000001</v>
      </c>
      <c r="E3780">
        <v>1.897</v>
      </c>
      <c r="K3780" s="3">
        <v>1.1534029999999999E-3</v>
      </c>
      <c r="R3780">
        <f t="shared" si="111"/>
        <v>1</v>
      </c>
    </row>
    <row r="3781" spans="1:18">
      <c r="A3781">
        <f t="shared" si="113"/>
        <v>3780</v>
      </c>
      <c r="B3781" t="str">
        <f t="shared" si="112"/>
        <v>Blount 1982</v>
      </c>
      <c r="C3781">
        <v>322.32</v>
      </c>
      <c r="D3781">
        <v>138.58000000000001</v>
      </c>
      <c r="E3781">
        <v>1.897</v>
      </c>
      <c r="K3781" s="3">
        <v>1.1534029999999999E-3</v>
      </c>
      <c r="R3781">
        <f t="shared" si="111"/>
        <v>1</v>
      </c>
    </row>
    <row r="3782" spans="1:18">
      <c r="A3782">
        <f t="shared" si="113"/>
        <v>3781</v>
      </c>
      <c r="B3782" t="str">
        <f t="shared" si="112"/>
        <v>Blount 1982</v>
      </c>
      <c r="C3782">
        <v>322.32</v>
      </c>
      <c r="D3782">
        <v>137.9</v>
      </c>
      <c r="E3782">
        <v>1.897</v>
      </c>
      <c r="K3782" s="3">
        <v>1.0991849999999999E-3</v>
      </c>
      <c r="R3782">
        <f t="shared" si="111"/>
        <v>1</v>
      </c>
    </row>
    <row r="3783" spans="1:18">
      <c r="A3783">
        <f t="shared" si="113"/>
        <v>3782</v>
      </c>
      <c r="B3783" t="str">
        <f t="shared" si="112"/>
        <v>Blount 1982</v>
      </c>
      <c r="C3783">
        <v>322.32</v>
      </c>
      <c r="D3783">
        <v>137.9</v>
      </c>
      <c r="E3783">
        <v>1.897</v>
      </c>
      <c r="K3783" s="3">
        <v>1.126295E-3</v>
      </c>
      <c r="R3783">
        <f t="shared" si="111"/>
        <v>1</v>
      </c>
    </row>
    <row r="3784" spans="1:18">
      <c r="A3784">
        <f t="shared" si="113"/>
        <v>3783</v>
      </c>
      <c r="B3784" t="str">
        <f t="shared" si="112"/>
        <v>Blount 1982</v>
      </c>
      <c r="C3784">
        <v>322.04000000000002</v>
      </c>
      <c r="D3784">
        <v>71.709999999999994</v>
      </c>
      <c r="E3784">
        <v>1.8779999999999999</v>
      </c>
      <c r="K3784" s="3">
        <v>7.7353229999999995E-4</v>
      </c>
      <c r="R3784">
        <f t="shared" si="111"/>
        <v>1</v>
      </c>
    </row>
    <row r="3785" spans="1:18">
      <c r="A3785">
        <f t="shared" si="113"/>
        <v>3784</v>
      </c>
      <c r="B3785" t="str">
        <f t="shared" si="112"/>
        <v>Blount 1982</v>
      </c>
      <c r="C3785">
        <v>322.04000000000002</v>
      </c>
      <c r="D3785">
        <v>71.709999999999994</v>
      </c>
      <c r="E3785">
        <v>1.8779999999999999</v>
      </c>
      <c r="K3785" s="3">
        <v>7.3284990000000003E-4</v>
      </c>
      <c r="R3785">
        <f t="shared" si="111"/>
        <v>1</v>
      </c>
    </row>
    <row r="3786" spans="1:18">
      <c r="A3786">
        <f t="shared" si="113"/>
        <v>3785</v>
      </c>
      <c r="B3786" t="str">
        <f t="shared" si="112"/>
        <v>Blount 1982</v>
      </c>
      <c r="C3786">
        <v>323.14999999999998</v>
      </c>
      <c r="D3786">
        <v>68.95</v>
      </c>
      <c r="E3786">
        <v>1.8779999999999999</v>
      </c>
      <c r="K3786" s="3">
        <v>6.9216419999999996E-4</v>
      </c>
      <c r="R3786">
        <f t="shared" si="111"/>
        <v>1</v>
      </c>
    </row>
    <row r="3787" spans="1:18">
      <c r="A3787">
        <f t="shared" si="113"/>
        <v>3786</v>
      </c>
      <c r="B3787" t="str">
        <f t="shared" si="112"/>
        <v>Blount 1982</v>
      </c>
      <c r="C3787">
        <v>323.14999999999998</v>
      </c>
      <c r="D3787">
        <v>68.95</v>
      </c>
      <c r="E3787">
        <v>1.8779999999999999</v>
      </c>
      <c r="K3787" s="3">
        <v>7.3284990000000003E-4</v>
      </c>
      <c r="R3787">
        <f t="shared" si="111"/>
        <v>1</v>
      </c>
    </row>
    <row r="3788" spans="1:18">
      <c r="A3788">
        <f t="shared" si="113"/>
        <v>3787</v>
      </c>
      <c r="B3788" t="str">
        <f t="shared" si="112"/>
        <v>Blount 1982</v>
      </c>
      <c r="C3788">
        <v>323.14999999999998</v>
      </c>
      <c r="D3788">
        <v>68.95</v>
      </c>
      <c r="E3788">
        <v>1.897</v>
      </c>
      <c r="K3788" s="3">
        <v>7.0592739999999999E-4</v>
      </c>
      <c r="R3788">
        <f t="shared" si="111"/>
        <v>1</v>
      </c>
    </row>
    <row r="3789" spans="1:18">
      <c r="A3789">
        <f t="shared" si="113"/>
        <v>3788</v>
      </c>
      <c r="B3789" t="str">
        <f t="shared" si="112"/>
        <v>Blount 1982</v>
      </c>
      <c r="C3789">
        <v>322.04000000000002</v>
      </c>
      <c r="D3789">
        <v>34.47</v>
      </c>
      <c r="E3789">
        <v>1.897</v>
      </c>
      <c r="K3789" s="3">
        <v>4.073875E-4</v>
      </c>
      <c r="R3789">
        <f t="shared" ref="R3789:R3852" si="114">R3788</f>
        <v>1</v>
      </c>
    </row>
    <row r="3790" spans="1:18">
      <c r="A3790">
        <f t="shared" si="113"/>
        <v>3789</v>
      </c>
      <c r="B3790" t="str">
        <f t="shared" si="112"/>
        <v>Blount 1982</v>
      </c>
      <c r="C3790">
        <v>322.04000000000002</v>
      </c>
      <c r="D3790">
        <v>34.47</v>
      </c>
      <c r="E3790">
        <v>1.897</v>
      </c>
      <c r="K3790" s="3">
        <v>3.9381319999999998E-4</v>
      </c>
      <c r="R3790">
        <f t="shared" si="114"/>
        <v>1</v>
      </c>
    </row>
    <row r="3791" spans="1:18">
      <c r="A3791">
        <f t="shared" si="113"/>
        <v>3790</v>
      </c>
      <c r="B3791" t="str">
        <f t="shared" si="112"/>
        <v>Blount 1982</v>
      </c>
      <c r="C3791">
        <v>322.04000000000002</v>
      </c>
      <c r="D3791">
        <v>34.47</v>
      </c>
      <c r="E3791">
        <v>1.897</v>
      </c>
      <c r="K3791" s="3">
        <v>4.073875E-4</v>
      </c>
      <c r="R3791">
        <f t="shared" si="114"/>
        <v>1</v>
      </c>
    </row>
    <row r="3792" spans="1:18">
      <c r="A3792">
        <f t="shared" si="113"/>
        <v>3791</v>
      </c>
      <c r="B3792" t="str">
        <f t="shared" si="112"/>
        <v>Blount 1982</v>
      </c>
      <c r="C3792">
        <v>323.43</v>
      </c>
      <c r="D3792">
        <v>34.47</v>
      </c>
      <c r="E3792">
        <v>1.897</v>
      </c>
      <c r="K3792" s="3">
        <v>4.073875E-4</v>
      </c>
      <c r="R3792">
        <f t="shared" si="114"/>
        <v>1</v>
      </c>
    </row>
    <row r="3793" spans="1:18">
      <c r="A3793">
        <f t="shared" si="113"/>
        <v>3792</v>
      </c>
      <c r="B3793" t="str">
        <f t="shared" si="112"/>
        <v>Blount 1982</v>
      </c>
      <c r="C3793">
        <v>323.70999999999998</v>
      </c>
      <c r="D3793">
        <v>34.47</v>
      </c>
      <c r="E3793">
        <v>1.897</v>
      </c>
      <c r="K3793" s="3">
        <v>3.5308829999999999E-4</v>
      </c>
      <c r="R3793">
        <f t="shared" si="114"/>
        <v>1</v>
      </c>
    </row>
    <row r="3794" spans="1:18">
      <c r="A3794">
        <f t="shared" si="113"/>
        <v>3793</v>
      </c>
      <c r="B3794" t="str">
        <f t="shared" si="112"/>
        <v>Blount 1982</v>
      </c>
      <c r="C3794">
        <v>323.70999999999998</v>
      </c>
      <c r="D3794">
        <v>34.47</v>
      </c>
      <c r="E3794">
        <v>1.897</v>
      </c>
      <c r="K3794" s="3">
        <v>3.3951260000000003E-4</v>
      </c>
      <c r="R3794">
        <f t="shared" si="114"/>
        <v>1</v>
      </c>
    </row>
    <row r="3795" spans="1:18">
      <c r="A3795">
        <f t="shared" si="113"/>
        <v>3794</v>
      </c>
      <c r="B3795" t="str">
        <f t="shared" si="112"/>
        <v>Blount 1982</v>
      </c>
      <c r="C3795">
        <v>323.70999999999998</v>
      </c>
      <c r="D3795">
        <v>9.17</v>
      </c>
      <c r="E3795">
        <v>1.897</v>
      </c>
      <c r="K3795" s="3">
        <v>9.5086780000000004E-5</v>
      </c>
      <c r="R3795">
        <f t="shared" si="114"/>
        <v>1</v>
      </c>
    </row>
    <row r="3796" spans="1:18">
      <c r="A3796">
        <f t="shared" si="113"/>
        <v>3795</v>
      </c>
      <c r="B3796" t="str">
        <f t="shared" si="112"/>
        <v>Blount 1982</v>
      </c>
      <c r="C3796">
        <v>323.70999999999998</v>
      </c>
      <c r="D3796">
        <v>9.17</v>
      </c>
      <c r="E3796">
        <v>1.897</v>
      </c>
      <c r="K3796" s="3">
        <v>9.5086780000000004E-5</v>
      </c>
      <c r="R3796">
        <f t="shared" si="114"/>
        <v>1</v>
      </c>
    </row>
    <row r="3797" spans="1:18">
      <c r="A3797">
        <f t="shared" si="113"/>
        <v>3796</v>
      </c>
      <c r="B3797" t="str">
        <f t="shared" si="112"/>
        <v>Blount 1982</v>
      </c>
      <c r="C3797">
        <v>323.70999999999998</v>
      </c>
      <c r="D3797">
        <v>8.9600000000000009</v>
      </c>
      <c r="E3797">
        <v>1.897</v>
      </c>
      <c r="K3797" s="3">
        <v>8.1504060000000002E-5</v>
      </c>
      <c r="R3797">
        <f t="shared" si="114"/>
        <v>1</v>
      </c>
    </row>
    <row r="3798" spans="1:18">
      <c r="A3798">
        <f t="shared" si="113"/>
        <v>3797</v>
      </c>
      <c r="B3798" t="str">
        <f t="shared" si="112"/>
        <v>Blount 1982</v>
      </c>
      <c r="C3798">
        <v>323.70999999999998</v>
      </c>
      <c r="D3798">
        <v>8.9600000000000009</v>
      </c>
      <c r="E3798">
        <v>1.897</v>
      </c>
      <c r="K3798" s="3">
        <v>1.358327E-4</v>
      </c>
      <c r="R3798">
        <f t="shared" si="114"/>
        <v>1</v>
      </c>
    </row>
    <row r="3799" spans="1:18">
      <c r="A3799">
        <f t="shared" si="113"/>
        <v>3798</v>
      </c>
      <c r="B3799" t="str">
        <f t="shared" si="112"/>
        <v>Blount 1982</v>
      </c>
      <c r="C3799">
        <v>322.32</v>
      </c>
      <c r="D3799">
        <v>137.9</v>
      </c>
      <c r="E3799">
        <v>2.99</v>
      </c>
      <c r="K3799" s="3">
        <v>8.4153410000000004E-4</v>
      </c>
      <c r="R3799">
        <f t="shared" si="114"/>
        <v>1</v>
      </c>
    </row>
    <row r="3800" spans="1:18">
      <c r="A3800">
        <f t="shared" si="113"/>
        <v>3799</v>
      </c>
      <c r="B3800" t="str">
        <f t="shared" si="112"/>
        <v>Blount 1982</v>
      </c>
      <c r="C3800">
        <v>322.32</v>
      </c>
      <c r="D3800">
        <v>137.9</v>
      </c>
      <c r="E3800">
        <v>2.99</v>
      </c>
      <c r="K3800" s="3">
        <v>8.9666720000000004E-4</v>
      </c>
      <c r="R3800">
        <f t="shared" si="114"/>
        <v>1</v>
      </c>
    </row>
    <row r="3801" spans="1:18">
      <c r="A3801">
        <f t="shared" si="113"/>
        <v>3800</v>
      </c>
      <c r="B3801" t="str">
        <f t="shared" si="112"/>
        <v>Blount 1982</v>
      </c>
      <c r="C3801">
        <v>322.32</v>
      </c>
      <c r="D3801">
        <v>137.9</v>
      </c>
      <c r="E3801">
        <v>2.99</v>
      </c>
      <c r="K3801" s="3">
        <v>8.1396530000000004E-4</v>
      </c>
      <c r="R3801">
        <f t="shared" si="114"/>
        <v>1</v>
      </c>
    </row>
    <row r="3802" spans="1:18">
      <c r="A3802">
        <f t="shared" si="113"/>
        <v>3801</v>
      </c>
      <c r="B3802" t="str">
        <f t="shared" si="112"/>
        <v>Blount 1982</v>
      </c>
      <c r="C3802">
        <v>322.32</v>
      </c>
      <c r="D3802">
        <v>137.9</v>
      </c>
      <c r="E3802">
        <v>2.99</v>
      </c>
      <c r="K3802" s="3">
        <v>8.8288449999999997E-4</v>
      </c>
      <c r="R3802">
        <f t="shared" si="114"/>
        <v>1</v>
      </c>
    </row>
    <row r="3803" spans="1:18">
      <c r="A3803">
        <f t="shared" si="113"/>
        <v>3802</v>
      </c>
      <c r="B3803" t="str">
        <f t="shared" si="112"/>
        <v>Blount 1982</v>
      </c>
      <c r="C3803">
        <v>322.58999999999997</v>
      </c>
      <c r="D3803">
        <v>137.9</v>
      </c>
      <c r="E3803">
        <v>2.99</v>
      </c>
      <c r="K3803" s="3">
        <v>8.0018030000000005E-4</v>
      </c>
      <c r="R3803">
        <f t="shared" si="114"/>
        <v>1</v>
      </c>
    </row>
    <row r="3804" spans="1:18">
      <c r="A3804">
        <f t="shared" si="113"/>
        <v>3803</v>
      </c>
      <c r="B3804" t="str">
        <f t="shared" si="112"/>
        <v>Blount 1982</v>
      </c>
      <c r="C3804">
        <v>322.58999999999997</v>
      </c>
      <c r="D3804">
        <v>137.9</v>
      </c>
      <c r="E3804">
        <v>2.99</v>
      </c>
      <c r="K3804" s="3">
        <v>8.5531789999999995E-4</v>
      </c>
      <c r="R3804">
        <f t="shared" si="114"/>
        <v>1</v>
      </c>
    </row>
    <row r="3805" spans="1:18">
      <c r="A3805">
        <f t="shared" si="113"/>
        <v>3804</v>
      </c>
      <c r="B3805" t="str">
        <f t="shared" si="112"/>
        <v>Blount 1982</v>
      </c>
      <c r="C3805">
        <v>322.04000000000002</v>
      </c>
      <c r="D3805">
        <v>68.95</v>
      </c>
      <c r="E3805">
        <v>2.99</v>
      </c>
      <c r="K3805" s="3">
        <v>5.6577739999999997E-4</v>
      </c>
      <c r="R3805">
        <f t="shared" si="114"/>
        <v>1</v>
      </c>
    </row>
    <row r="3806" spans="1:18">
      <c r="A3806">
        <f t="shared" si="113"/>
        <v>3805</v>
      </c>
      <c r="B3806" t="str">
        <f t="shared" si="112"/>
        <v>Blount 1982</v>
      </c>
      <c r="C3806">
        <v>322.04000000000002</v>
      </c>
      <c r="D3806">
        <v>68.95</v>
      </c>
      <c r="E3806">
        <v>2.99</v>
      </c>
      <c r="K3806" s="3">
        <v>5.3819329999999996E-4</v>
      </c>
      <c r="R3806">
        <f t="shared" si="114"/>
        <v>1</v>
      </c>
    </row>
    <row r="3807" spans="1:18">
      <c r="A3807">
        <f t="shared" si="113"/>
        <v>3806</v>
      </c>
      <c r="B3807" t="str">
        <f t="shared" si="112"/>
        <v>Blount 1982</v>
      </c>
      <c r="C3807">
        <v>322.87</v>
      </c>
      <c r="D3807">
        <v>68.95</v>
      </c>
      <c r="E3807">
        <v>2.99</v>
      </c>
      <c r="K3807" s="3">
        <v>6.0715059999999997E-4</v>
      </c>
      <c r="R3807">
        <f t="shared" si="114"/>
        <v>1</v>
      </c>
    </row>
    <row r="3808" spans="1:18">
      <c r="A3808">
        <f t="shared" si="113"/>
        <v>3807</v>
      </c>
      <c r="B3808" t="str">
        <f t="shared" si="112"/>
        <v>Blount 1982</v>
      </c>
      <c r="C3808">
        <v>322.87</v>
      </c>
      <c r="D3808">
        <v>68.95</v>
      </c>
      <c r="E3808">
        <v>2.99</v>
      </c>
      <c r="K3808" s="3">
        <v>5.6577739999999997E-4</v>
      </c>
      <c r="R3808">
        <f t="shared" si="114"/>
        <v>1</v>
      </c>
    </row>
    <row r="3809" spans="1:18">
      <c r="A3809">
        <f t="shared" si="113"/>
        <v>3808</v>
      </c>
      <c r="B3809" t="str">
        <f t="shared" si="112"/>
        <v>Blount 1982</v>
      </c>
      <c r="C3809">
        <v>322.87</v>
      </c>
      <c r="D3809">
        <v>68.95</v>
      </c>
      <c r="E3809">
        <v>2.9340000000000002</v>
      </c>
      <c r="K3809" s="3">
        <v>5.7910769999999995E-4</v>
      </c>
      <c r="R3809">
        <f t="shared" si="114"/>
        <v>1</v>
      </c>
    </row>
    <row r="3810" spans="1:18">
      <c r="A3810">
        <f t="shared" si="113"/>
        <v>3809</v>
      </c>
      <c r="B3810" t="str">
        <f t="shared" si="112"/>
        <v>Blount 1982</v>
      </c>
      <c r="C3810">
        <v>323.70999999999998</v>
      </c>
      <c r="D3810">
        <v>34.47</v>
      </c>
      <c r="E3810">
        <v>2.9340000000000002</v>
      </c>
      <c r="K3810" s="3">
        <v>3.3100080000000002E-4</v>
      </c>
      <c r="R3810">
        <f t="shared" si="114"/>
        <v>1</v>
      </c>
    </row>
    <row r="3811" spans="1:18">
      <c r="A3811">
        <f t="shared" si="113"/>
        <v>3810</v>
      </c>
      <c r="B3811" t="str">
        <f t="shared" si="112"/>
        <v>Blount 1982</v>
      </c>
      <c r="C3811">
        <v>323.70999999999998</v>
      </c>
      <c r="D3811">
        <v>34.47</v>
      </c>
      <c r="E3811">
        <v>2.9340000000000002</v>
      </c>
      <c r="K3811" s="3">
        <v>3.5857430000000001E-4</v>
      </c>
      <c r="R3811">
        <f t="shared" si="114"/>
        <v>1</v>
      </c>
    </row>
    <row r="3812" spans="1:18">
      <c r="A3812">
        <f t="shared" si="113"/>
        <v>3811</v>
      </c>
      <c r="B3812" t="str">
        <f t="shared" si="112"/>
        <v>Blount 1982</v>
      </c>
      <c r="C3812">
        <v>323.70999999999998</v>
      </c>
      <c r="D3812">
        <v>34.47</v>
      </c>
      <c r="E3812">
        <v>2.9340000000000002</v>
      </c>
      <c r="K3812" s="3">
        <v>3.3100080000000002E-4</v>
      </c>
      <c r="R3812">
        <f t="shared" si="114"/>
        <v>1</v>
      </c>
    </row>
    <row r="3813" spans="1:18">
      <c r="A3813">
        <f t="shared" si="113"/>
        <v>3812</v>
      </c>
      <c r="B3813" t="str">
        <f t="shared" si="112"/>
        <v>Blount 1982</v>
      </c>
      <c r="C3813">
        <v>323.70999999999998</v>
      </c>
      <c r="D3813">
        <v>34.47</v>
      </c>
      <c r="E3813">
        <v>2.9340000000000002</v>
      </c>
      <c r="K3813" s="3">
        <v>3.1721350000000001E-4</v>
      </c>
      <c r="R3813">
        <f t="shared" si="114"/>
        <v>1</v>
      </c>
    </row>
    <row r="3814" spans="1:18">
      <c r="A3814">
        <f t="shared" si="113"/>
        <v>3813</v>
      </c>
      <c r="B3814" t="str">
        <f t="shared" si="112"/>
        <v>Blount 1982</v>
      </c>
      <c r="C3814">
        <v>322.87</v>
      </c>
      <c r="D3814">
        <v>17.239999999999998</v>
      </c>
      <c r="E3814">
        <v>2.9340000000000002</v>
      </c>
      <c r="K3814" s="3">
        <v>2.0690119999999999E-4</v>
      </c>
      <c r="R3814">
        <f t="shared" si="114"/>
        <v>1</v>
      </c>
    </row>
    <row r="3815" spans="1:18">
      <c r="A3815">
        <f t="shared" si="113"/>
        <v>3814</v>
      </c>
      <c r="B3815" t="str">
        <f t="shared" si="112"/>
        <v>Blount 1982</v>
      </c>
      <c r="C3815">
        <v>322.87</v>
      </c>
      <c r="D3815">
        <v>17.239999999999998</v>
      </c>
      <c r="E3815">
        <v>2.9340000000000002</v>
      </c>
      <c r="K3815" s="3">
        <v>1.931104E-4</v>
      </c>
      <c r="R3815">
        <f t="shared" si="114"/>
        <v>1</v>
      </c>
    </row>
    <row r="3816" spans="1:18">
      <c r="A3816">
        <f t="shared" si="113"/>
        <v>3815</v>
      </c>
      <c r="B3816" t="str">
        <f t="shared" si="112"/>
        <v>Blount 1982</v>
      </c>
      <c r="C3816">
        <v>322.87</v>
      </c>
      <c r="D3816">
        <v>17.239999999999998</v>
      </c>
      <c r="E3816">
        <v>2.9340000000000002</v>
      </c>
      <c r="K3816" s="3">
        <v>2.0690119999999999E-4</v>
      </c>
      <c r="R3816">
        <f t="shared" si="114"/>
        <v>1</v>
      </c>
    </row>
    <row r="3817" spans="1:18">
      <c r="A3817">
        <f t="shared" si="113"/>
        <v>3816</v>
      </c>
      <c r="B3817" t="str">
        <f t="shared" si="112"/>
        <v>Blount 1982</v>
      </c>
      <c r="C3817">
        <v>322.87</v>
      </c>
      <c r="D3817">
        <v>17.239999999999998</v>
      </c>
      <c r="E3817">
        <v>2.9340000000000002</v>
      </c>
      <c r="K3817" s="3">
        <v>1.931104E-4</v>
      </c>
      <c r="R3817">
        <f t="shared" si="114"/>
        <v>1</v>
      </c>
    </row>
    <row r="3818" spans="1:18">
      <c r="A3818">
        <f t="shared" si="113"/>
        <v>3817</v>
      </c>
      <c r="B3818" t="str">
        <f t="shared" si="112"/>
        <v>Blount 1982</v>
      </c>
      <c r="C3818">
        <v>322.87</v>
      </c>
      <c r="D3818">
        <v>17.239999999999998</v>
      </c>
      <c r="E3818">
        <v>2.9340000000000002</v>
      </c>
      <c r="K3818" s="3">
        <v>2.0690119999999999E-4</v>
      </c>
      <c r="R3818">
        <f t="shared" si="114"/>
        <v>1</v>
      </c>
    </row>
    <row r="3819" spans="1:18">
      <c r="A3819">
        <f t="shared" si="113"/>
        <v>3818</v>
      </c>
      <c r="B3819" t="str">
        <f t="shared" si="112"/>
        <v>Blount 1982</v>
      </c>
      <c r="C3819">
        <v>323.14999999999998</v>
      </c>
      <c r="D3819">
        <v>8.9600000000000009</v>
      </c>
      <c r="E3819">
        <v>2.9340000000000002</v>
      </c>
      <c r="K3819" s="3">
        <v>6.8976579999999998E-5</v>
      </c>
      <c r="R3819">
        <f t="shared" si="114"/>
        <v>1</v>
      </c>
    </row>
    <row r="3820" spans="1:18">
      <c r="A3820">
        <f t="shared" si="113"/>
        <v>3819</v>
      </c>
      <c r="B3820" t="str">
        <f t="shared" ref="B3820:B3852" si="115">B3819</f>
        <v>Blount 1982</v>
      </c>
      <c r="C3820">
        <v>323.14999999999998</v>
      </c>
      <c r="D3820">
        <v>8.6199999999999992</v>
      </c>
      <c r="E3820">
        <v>2.99</v>
      </c>
      <c r="K3820" s="3">
        <v>7.3173119999999994E-5</v>
      </c>
      <c r="R3820">
        <f t="shared" si="114"/>
        <v>1</v>
      </c>
    </row>
    <row r="3821" spans="1:18">
      <c r="A3821">
        <f t="shared" si="113"/>
        <v>3820</v>
      </c>
      <c r="B3821" t="str">
        <f t="shared" si="115"/>
        <v>Blount 1982</v>
      </c>
      <c r="C3821">
        <v>323.14999999999998</v>
      </c>
      <c r="D3821">
        <v>8.6199999999999992</v>
      </c>
      <c r="E3821">
        <v>2.99</v>
      </c>
      <c r="K3821" s="3">
        <v>7.0412069999999994E-5</v>
      </c>
      <c r="R3821">
        <f t="shared" si="114"/>
        <v>1</v>
      </c>
    </row>
    <row r="3822" spans="1:18">
      <c r="A3822">
        <f t="shared" si="113"/>
        <v>3821</v>
      </c>
      <c r="B3822" t="str">
        <f t="shared" si="115"/>
        <v>Blount 1982</v>
      </c>
      <c r="C3822">
        <v>344.82</v>
      </c>
      <c r="D3822">
        <v>137.9</v>
      </c>
      <c r="E3822">
        <v>2.99</v>
      </c>
      <c r="K3822" s="3">
        <v>8.8288449999999997E-4</v>
      </c>
      <c r="R3822">
        <f t="shared" si="114"/>
        <v>1</v>
      </c>
    </row>
    <row r="3823" spans="1:18">
      <c r="A3823">
        <f t="shared" si="113"/>
        <v>3822</v>
      </c>
      <c r="B3823" t="str">
        <f t="shared" si="115"/>
        <v>Blount 1982</v>
      </c>
      <c r="C3823">
        <v>344.82</v>
      </c>
      <c r="D3823">
        <v>137.9</v>
      </c>
      <c r="E3823">
        <v>2.99</v>
      </c>
      <c r="K3823" s="3">
        <v>9.242314E-4</v>
      </c>
      <c r="R3823">
        <f t="shared" si="114"/>
        <v>1</v>
      </c>
    </row>
    <row r="3824" spans="1:18">
      <c r="A3824">
        <f t="shared" si="113"/>
        <v>3823</v>
      </c>
      <c r="B3824" t="str">
        <f t="shared" si="115"/>
        <v>Blount 1982</v>
      </c>
      <c r="C3824">
        <v>344.82</v>
      </c>
      <c r="D3824">
        <v>137.9</v>
      </c>
      <c r="E3824">
        <v>2.99</v>
      </c>
      <c r="K3824" s="3">
        <v>9.1044949999999998E-4</v>
      </c>
      <c r="R3824">
        <f t="shared" si="114"/>
        <v>1</v>
      </c>
    </row>
    <row r="3825" spans="1:18">
      <c r="A3825">
        <f t="shared" si="113"/>
        <v>3824</v>
      </c>
      <c r="B3825" t="str">
        <f t="shared" si="115"/>
        <v>Blount 1982</v>
      </c>
      <c r="C3825">
        <v>344.26</v>
      </c>
      <c r="D3825">
        <v>69.09</v>
      </c>
      <c r="E3825">
        <v>2.99</v>
      </c>
      <c r="K3825" s="3">
        <v>4.8302069999999999E-4</v>
      </c>
      <c r="R3825">
        <f t="shared" si="114"/>
        <v>1</v>
      </c>
    </row>
    <row r="3826" spans="1:18">
      <c r="A3826">
        <f t="shared" si="113"/>
        <v>3825</v>
      </c>
      <c r="B3826" t="str">
        <f t="shared" si="115"/>
        <v>Blount 1982</v>
      </c>
      <c r="C3826">
        <v>344.26</v>
      </c>
      <c r="D3826">
        <v>69.09</v>
      </c>
      <c r="E3826">
        <v>2.99</v>
      </c>
      <c r="K3826" s="3">
        <v>4.8302069999999999E-4</v>
      </c>
      <c r="R3826">
        <f t="shared" si="114"/>
        <v>1</v>
      </c>
    </row>
    <row r="3827" spans="1:18">
      <c r="A3827">
        <f t="shared" si="113"/>
        <v>3826</v>
      </c>
      <c r="B3827" t="str">
        <f t="shared" si="115"/>
        <v>Blount 1982</v>
      </c>
      <c r="C3827">
        <v>343.43</v>
      </c>
      <c r="D3827">
        <v>68.95</v>
      </c>
      <c r="E3827">
        <v>2.99</v>
      </c>
      <c r="K3827" s="3">
        <v>5.5198560000000005E-4</v>
      </c>
      <c r="R3827">
        <f t="shared" si="114"/>
        <v>1</v>
      </c>
    </row>
    <row r="3828" spans="1:18">
      <c r="A3828">
        <f t="shared" si="113"/>
        <v>3827</v>
      </c>
      <c r="B3828" t="str">
        <f t="shared" si="115"/>
        <v>Blount 1982</v>
      </c>
      <c r="C3828">
        <v>343.43</v>
      </c>
      <c r="D3828">
        <v>68.95</v>
      </c>
      <c r="E3828">
        <v>2.99</v>
      </c>
      <c r="K3828" s="3">
        <v>5.106078E-4</v>
      </c>
      <c r="R3828">
        <f t="shared" si="114"/>
        <v>1</v>
      </c>
    </row>
    <row r="3829" spans="1:18">
      <c r="A3829">
        <f t="shared" si="113"/>
        <v>3828</v>
      </c>
      <c r="B3829" t="str">
        <f t="shared" si="115"/>
        <v>Blount 1982</v>
      </c>
      <c r="C3829">
        <v>343.43</v>
      </c>
      <c r="D3829">
        <v>69.5</v>
      </c>
      <c r="E3829">
        <v>2.99</v>
      </c>
      <c r="K3829" s="3">
        <v>5.106078E-4</v>
      </c>
      <c r="R3829">
        <f t="shared" si="114"/>
        <v>1</v>
      </c>
    </row>
    <row r="3830" spans="1:18">
      <c r="A3830">
        <f t="shared" si="113"/>
        <v>3829</v>
      </c>
      <c r="B3830" t="str">
        <f t="shared" si="115"/>
        <v>Blount 1982</v>
      </c>
      <c r="C3830">
        <v>343.43</v>
      </c>
      <c r="D3830">
        <v>69.5</v>
      </c>
      <c r="E3830">
        <v>2.99</v>
      </c>
      <c r="K3830" s="3">
        <v>4.2784190000000002E-4</v>
      </c>
      <c r="R3830">
        <f t="shared" si="114"/>
        <v>1</v>
      </c>
    </row>
    <row r="3831" spans="1:18">
      <c r="A3831">
        <f t="shared" si="113"/>
        <v>3830</v>
      </c>
      <c r="B3831" t="str">
        <f t="shared" si="115"/>
        <v>Blount 1982</v>
      </c>
      <c r="C3831">
        <v>343.15</v>
      </c>
      <c r="D3831">
        <v>34.82</v>
      </c>
      <c r="E3831">
        <v>2.99</v>
      </c>
      <c r="K3831" s="3">
        <v>2.6226910000000001E-4</v>
      </c>
      <c r="R3831">
        <f t="shared" si="114"/>
        <v>1</v>
      </c>
    </row>
    <row r="3832" spans="1:18">
      <c r="A3832">
        <f t="shared" si="113"/>
        <v>3831</v>
      </c>
      <c r="B3832" t="str">
        <f t="shared" si="115"/>
        <v>Blount 1982</v>
      </c>
      <c r="C3832">
        <v>343.15</v>
      </c>
      <c r="D3832">
        <v>34.82</v>
      </c>
      <c r="E3832">
        <v>2.99</v>
      </c>
      <c r="K3832" s="3">
        <v>2.4846889999999999E-4</v>
      </c>
      <c r="R3832">
        <f t="shared" si="114"/>
        <v>1</v>
      </c>
    </row>
    <row r="3833" spans="1:18">
      <c r="A3833">
        <f t="shared" si="113"/>
        <v>3832</v>
      </c>
      <c r="B3833" t="str">
        <f t="shared" si="115"/>
        <v>Blount 1982</v>
      </c>
      <c r="C3833">
        <v>343.15</v>
      </c>
      <c r="D3833">
        <v>34.47</v>
      </c>
      <c r="E3833">
        <v>2.99</v>
      </c>
      <c r="K3833" s="3">
        <v>2.6226910000000001E-4</v>
      </c>
      <c r="R3833">
        <f t="shared" si="114"/>
        <v>1</v>
      </c>
    </row>
    <row r="3834" spans="1:18">
      <c r="A3834">
        <f t="shared" si="113"/>
        <v>3833</v>
      </c>
      <c r="B3834" t="str">
        <f t="shared" si="115"/>
        <v>Blount 1982</v>
      </c>
      <c r="C3834">
        <v>343.15</v>
      </c>
      <c r="D3834">
        <v>8.83</v>
      </c>
      <c r="E3834">
        <v>2.99</v>
      </c>
      <c r="K3834" s="3">
        <v>2.761376E-5</v>
      </c>
      <c r="R3834">
        <f t="shared" si="114"/>
        <v>1</v>
      </c>
    </row>
    <row r="3835" spans="1:18">
      <c r="A3835">
        <f t="shared" si="113"/>
        <v>3834</v>
      </c>
      <c r="B3835" t="str">
        <f t="shared" si="115"/>
        <v>Blount 1982</v>
      </c>
      <c r="C3835">
        <v>343.71</v>
      </c>
      <c r="D3835">
        <v>8.6199999999999992</v>
      </c>
      <c r="E3835">
        <v>2.99</v>
      </c>
      <c r="K3835" s="3">
        <v>8.2836699999999999E-5</v>
      </c>
      <c r="R3835">
        <f t="shared" si="114"/>
        <v>1</v>
      </c>
    </row>
    <row r="3836" spans="1:18">
      <c r="A3836">
        <f t="shared" si="113"/>
        <v>3835</v>
      </c>
      <c r="B3836" t="str">
        <f t="shared" si="115"/>
        <v>Blount 1982</v>
      </c>
      <c r="C3836">
        <v>343.71</v>
      </c>
      <c r="D3836">
        <v>8.6199999999999992</v>
      </c>
      <c r="E3836">
        <v>2.99</v>
      </c>
      <c r="K3836" s="3">
        <v>2.761376E-5</v>
      </c>
      <c r="R3836">
        <f t="shared" si="114"/>
        <v>1</v>
      </c>
    </row>
    <row r="3837" spans="1:18">
      <c r="A3837">
        <f t="shared" si="113"/>
        <v>3836</v>
      </c>
      <c r="B3837" t="str">
        <f t="shared" si="115"/>
        <v>Blount 1982</v>
      </c>
      <c r="C3837">
        <v>343.71</v>
      </c>
      <c r="D3837">
        <v>8.6199999999999992</v>
      </c>
      <c r="E3837">
        <v>2.99</v>
      </c>
      <c r="K3837" s="3">
        <v>2.761376E-5</v>
      </c>
      <c r="R3837">
        <f t="shared" si="114"/>
        <v>1</v>
      </c>
    </row>
    <row r="3838" spans="1:18">
      <c r="A3838">
        <f t="shared" si="113"/>
        <v>3837</v>
      </c>
      <c r="B3838" t="str">
        <f t="shared" si="115"/>
        <v>Blount 1982</v>
      </c>
      <c r="C3838">
        <v>343.71</v>
      </c>
      <c r="D3838">
        <v>8.6199999999999992</v>
      </c>
      <c r="E3838">
        <v>2.99</v>
      </c>
      <c r="K3838" s="3">
        <v>6.9031539999999994E-5</v>
      </c>
      <c r="R3838">
        <f t="shared" si="114"/>
        <v>1</v>
      </c>
    </row>
    <row r="3839" spans="1:18">
      <c r="A3839">
        <f t="shared" si="113"/>
        <v>3838</v>
      </c>
      <c r="B3839" t="str">
        <f t="shared" si="115"/>
        <v>Blount 1982</v>
      </c>
      <c r="C3839">
        <v>373.15</v>
      </c>
      <c r="D3839">
        <v>138.58000000000001</v>
      </c>
      <c r="E3839">
        <v>1.897</v>
      </c>
      <c r="K3839" s="3">
        <v>1.1127400000000001E-3</v>
      </c>
      <c r="R3839">
        <f t="shared" si="114"/>
        <v>1</v>
      </c>
    </row>
    <row r="3840" spans="1:18">
      <c r="A3840">
        <f t="shared" si="113"/>
        <v>3839</v>
      </c>
      <c r="B3840" t="str">
        <f t="shared" si="115"/>
        <v>Blount 1982</v>
      </c>
      <c r="C3840">
        <v>373.15</v>
      </c>
      <c r="D3840">
        <v>138.58000000000001</v>
      </c>
      <c r="E3840">
        <v>1.897</v>
      </c>
      <c r="K3840" s="3">
        <v>1.0991849999999999E-3</v>
      </c>
      <c r="R3840">
        <f t="shared" si="114"/>
        <v>1</v>
      </c>
    </row>
    <row r="3841" spans="1:18">
      <c r="A3841">
        <f t="shared" si="113"/>
        <v>3840</v>
      </c>
      <c r="B3841" t="str">
        <f t="shared" si="115"/>
        <v>Blount 1982</v>
      </c>
      <c r="C3841">
        <v>373.15</v>
      </c>
      <c r="D3841">
        <v>137.9</v>
      </c>
      <c r="E3841">
        <v>1.897</v>
      </c>
      <c r="K3841" s="3">
        <v>1.0449610000000001E-3</v>
      </c>
      <c r="R3841">
        <f t="shared" si="114"/>
        <v>1</v>
      </c>
    </row>
    <row r="3842" spans="1:18">
      <c r="A3842">
        <f t="shared" si="113"/>
        <v>3841</v>
      </c>
      <c r="B3842" t="str">
        <f t="shared" si="115"/>
        <v>Blount 1982</v>
      </c>
      <c r="C3842">
        <v>373.15</v>
      </c>
      <c r="D3842">
        <v>137.9</v>
      </c>
      <c r="E3842">
        <v>1.897</v>
      </c>
      <c r="K3842" s="3">
        <v>1.0449610000000001E-3</v>
      </c>
      <c r="R3842">
        <f t="shared" si="114"/>
        <v>1</v>
      </c>
    </row>
    <row r="3843" spans="1:18">
      <c r="A3843">
        <f t="shared" si="113"/>
        <v>3842</v>
      </c>
      <c r="B3843" t="str">
        <f t="shared" si="115"/>
        <v>Blount 1982</v>
      </c>
      <c r="C3843">
        <v>373.15</v>
      </c>
      <c r="D3843">
        <v>138.31</v>
      </c>
      <c r="E3843">
        <v>1.897</v>
      </c>
      <c r="K3843" s="3">
        <v>1.126295E-3</v>
      </c>
      <c r="R3843">
        <f t="shared" si="114"/>
        <v>1</v>
      </c>
    </row>
    <row r="3844" spans="1:18">
      <c r="A3844">
        <f t="shared" ref="A3844:A3852" si="116">A3843+1</f>
        <v>3843</v>
      </c>
      <c r="B3844" t="str">
        <f t="shared" si="115"/>
        <v>Blount 1982</v>
      </c>
      <c r="C3844">
        <v>373.15</v>
      </c>
      <c r="D3844">
        <v>69.64</v>
      </c>
      <c r="E3844">
        <v>1.897</v>
      </c>
      <c r="K3844" s="3">
        <v>6.3809309999999998E-4</v>
      </c>
      <c r="R3844">
        <f t="shared" si="114"/>
        <v>1</v>
      </c>
    </row>
    <row r="3845" spans="1:18">
      <c r="A3845">
        <f t="shared" si="116"/>
        <v>3844</v>
      </c>
      <c r="B3845" t="str">
        <f t="shared" si="115"/>
        <v>Blount 1982</v>
      </c>
      <c r="C3845">
        <v>373.15</v>
      </c>
      <c r="D3845">
        <v>69.64</v>
      </c>
      <c r="E3845">
        <v>1.897</v>
      </c>
      <c r="K3845" s="3">
        <v>5.5667970000000005E-4</v>
      </c>
      <c r="R3845">
        <f t="shared" si="114"/>
        <v>1</v>
      </c>
    </row>
    <row r="3846" spans="1:18">
      <c r="A3846">
        <f t="shared" si="116"/>
        <v>3845</v>
      </c>
      <c r="B3846" t="str">
        <f t="shared" si="115"/>
        <v>Blount 1982</v>
      </c>
      <c r="C3846">
        <v>373.15</v>
      </c>
      <c r="D3846">
        <v>69.36</v>
      </c>
      <c r="E3846">
        <v>1.897</v>
      </c>
      <c r="K3846" s="3">
        <v>6.2452510000000005E-4</v>
      </c>
      <c r="R3846">
        <f t="shared" si="114"/>
        <v>1</v>
      </c>
    </row>
    <row r="3847" spans="1:18">
      <c r="A3847">
        <f t="shared" si="116"/>
        <v>3846</v>
      </c>
      <c r="B3847" t="str">
        <f t="shared" si="115"/>
        <v>Blount 1982</v>
      </c>
      <c r="C3847">
        <v>373.15</v>
      </c>
      <c r="D3847">
        <v>69.36</v>
      </c>
      <c r="E3847">
        <v>1.897</v>
      </c>
      <c r="K3847" s="3">
        <v>6.1095680000000001E-4</v>
      </c>
      <c r="R3847">
        <f t="shared" si="114"/>
        <v>1</v>
      </c>
    </row>
    <row r="3848" spans="1:18">
      <c r="A3848">
        <f t="shared" si="116"/>
        <v>3847</v>
      </c>
      <c r="B3848" t="str">
        <f t="shared" si="115"/>
        <v>Blount 1982</v>
      </c>
      <c r="C3848">
        <v>373.15</v>
      </c>
      <c r="D3848">
        <v>34.47</v>
      </c>
      <c r="E3848">
        <v>1.897</v>
      </c>
      <c r="K3848" s="3">
        <v>3.666637E-4</v>
      </c>
      <c r="R3848">
        <f t="shared" si="114"/>
        <v>1</v>
      </c>
    </row>
    <row r="3849" spans="1:18">
      <c r="A3849">
        <f t="shared" si="116"/>
        <v>3848</v>
      </c>
      <c r="B3849" t="str">
        <f t="shared" si="115"/>
        <v>Blount 1982</v>
      </c>
      <c r="C3849">
        <v>373.15</v>
      </c>
      <c r="D3849">
        <v>34.47</v>
      </c>
      <c r="E3849">
        <v>1.897</v>
      </c>
      <c r="K3849" s="3">
        <v>3.2593649999999999E-4</v>
      </c>
      <c r="R3849">
        <f t="shared" si="114"/>
        <v>1</v>
      </c>
    </row>
    <row r="3850" spans="1:18">
      <c r="A3850">
        <f t="shared" si="116"/>
        <v>3849</v>
      </c>
      <c r="B3850" t="str">
        <f t="shared" si="115"/>
        <v>Blount 1982</v>
      </c>
      <c r="C3850">
        <v>373.15</v>
      </c>
      <c r="D3850">
        <v>34.47</v>
      </c>
      <c r="E3850">
        <v>1.897</v>
      </c>
      <c r="K3850" s="3">
        <v>2.987833E-4</v>
      </c>
      <c r="R3850">
        <f t="shared" si="114"/>
        <v>1</v>
      </c>
    </row>
    <row r="3851" spans="1:18">
      <c r="A3851">
        <f t="shared" si="116"/>
        <v>3850</v>
      </c>
      <c r="B3851" t="str">
        <f t="shared" si="115"/>
        <v>Blount 1982</v>
      </c>
      <c r="C3851">
        <v>373.15</v>
      </c>
      <c r="D3851">
        <v>34.47</v>
      </c>
      <c r="E3851">
        <v>1.897</v>
      </c>
      <c r="K3851" s="3">
        <v>2.987833E-4</v>
      </c>
      <c r="R3851">
        <f t="shared" si="114"/>
        <v>1</v>
      </c>
    </row>
    <row r="3852" spans="1:18">
      <c r="A3852">
        <f t="shared" si="116"/>
        <v>3851</v>
      </c>
      <c r="B3852" t="str">
        <f t="shared" si="115"/>
        <v>Blount 1982</v>
      </c>
      <c r="C3852">
        <v>373.15</v>
      </c>
      <c r="D3852">
        <v>34.47</v>
      </c>
      <c r="E3852">
        <v>1.897</v>
      </c>
      <c r="K3852" s="3">
        <v>3.666637E-4</v>
      </c>
      <c r="R3852">
        <f t="shared" si="114"/>
        <v>1</v>
      </c>
    </row>
  </sheetData>
  <autoFilter ref="A1:T3852" xr:uid="{CB09C70C-E205-4995-8A42-00323989B71D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4253-F011-4100-A1A5-51E34C8750D4}">
  <dimension ref="A1:T2186"/>
  <sheetViews>
    <sheetView workbookViewId="0">
      <pane ySplit="1" topLeftCell="A1857" activePane="bottomLeft" state="frozen"/>
      <selection pane="bottomLeft" activeCell="H1878" sqref="H1878"/>
    </sheetView>
  </sheetViews>
  <sheetFormatPr defaultRowHeight="14.5"/>
  <cols>
    <col min="1" max="1" width="10" customWidth="1"/>
    <col min="2" max="2" width="16" bestFit="1" customWidth="1"/>
    <col min="3" max="20" width="10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26</v>
      </c>
      <c r="C2">
        <v>310.93</v>
      </c>
      <c r="D2">
        <v>137.16</v>
      </c>
      <c r="E2">
        <v>0</v>
      </c>
      <c r="F2">
        <v>6.7100000000000005E-4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</row>
    <row r="3" spans="1:20">
      <c r="A3">
        <v>2</v>
      </c>
      <c r="B3" t="s">
        <v>26</v>
      </c>
      <c r="C3">
        <v>310.93</v>
      </c>
      <c r="D3">
        <v>134.85</v>
      </c>
      <c r="E3">
        <v>0</v>
      </c>
      <c r="F3">
        <v>6.7100000000000005E-4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</row>
    <row r="4" spans="1:20">
      <c r="A4">
        <v>3</v>
      </c>
      <c r="B4" t="s">
        <v>26</v>
      </c>
      <c r="C4">
        <v>310.93</v>
      </c>
      <c r="D4">
        <v>208.62</v>
      </c>
      <c r="E4">
        <v>0</v>
      </c>
      <c r="F4">
        <v>6.3000000000000003E-4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</row>
    <row r="5" spans="1:20">
      <c r="A5">
        <v>4</v>
      </c>
      <c r="B5" t="s">
        <v>26</v>
      </c>
      <c r="C5">
        <v>310.93</v>
      </c>
      <c r="D5">
        <v>208.18</v>
      </c>
      <c r="E5">
        <v>0</v>
      </c>
      <c r="F5">
        <v>6.4500000000000007E-4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</row>
    <row r="6" spans="1:20">
      <c r="A6">
        <v>5</v>
      </c>
      <c r="B6" t="s">
        <v>26</v>
      </c>
      <c r="C6">
        <v>310.93</v>
      </c>
      <c r="D6">
        <v>86.16</v>
      </c>
      <c r="E6">
        <v>0</v>
      </c>
      <c r="F6">
        <v>1.4670000000000002E-3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</row>
    <row r="7" spans="1:20">
      <c r="A7">
        <v>6</v>
      </c>
      <c r="B7" t="s">
        <v>26</v>
      </c>
      <c r="C7">
        <v>310.93</v>
      </c>
      <c r="D7">
        <v>82.97</v>
      </c>
      <c r="E7">
        <v>0</v>
      </c>
      <c r="F7">
        <v>1.2780000000000001E-3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</row>
    <row r="8" spans="1:20">
      <c r="A8">
        <v>7</v>
      </c>
      <c r="B8" t="s">
        <v>26</v>
      </c>
      <c r="C8">
        <v>310.93</v>
      </c>
      <c r="D8">
        <v>417.11</v>
      </c>
      <c r="E8">
        <v>0</v>
      </c>
      <c r="F8">
        <v>4.84E-4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</row>
    <row r="9" spans="1:20">
      <c r="A9">
        <v>8</v>
      </c>
      <c r="B9" t="s">
        <v>26</v>
      </c>
      <c r="C9">
        <v>310.93</v>
      </c>
      <c r="D9">
        <v>346.64</v>
      </c>
      <c r="E9">
        <v>0</v>
      </c>
      <c r="F9">
        <v>5.0600000000000005E-4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</row>
    <row r="10" spans="1:20">
      <c r="A10">
        <v>9</v>
      </c>
      <c r="B10" t="s">
        <v>26</v>
      </c>
      <c r="C10">
        <v>310.93</v>
      </c>
      <c r="D10">
        <v>279.17</v>
      </c>
      <c r="E10">
        <v>0</v>
      </c>
      <c r="F10">
        <v>4.2299999999999998E-4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</row>
    <row r="11" spans="1:20">
      <c r="A11">
        <v>10</v>
      </c>
      <c r="B11" t="s">
        <v>26</v>
      </c>
      <c r="C11">
        <v>310.93</v>
      </c>
      <c r="D11">
        <v>623.44000000000005</v>
      </c>
      <c r="E11">
        <v>0</v>
      </c>
      <c r="F11">
        <v>4.08E-4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</row>
    <row r="12" spans="1:20">
      <c r="A12">
        <v>11</v>
      </c>
      <c r="B12" t="s">
        <v>26</v>
      </c>
      <c r="C12">
        <v>310.93</v>
      </c>
      <c r="D12">
        <v>553.62</v>
      </c>
      <c r="E12">
        <v>0</v>
      </c>
      <c r="F12">
        <v>4.2700000000000002E-4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</row>
    <row r="13" spans="1:20">
      <c r="A13">
        <v>12</v>
      </c>
      <c r="B13" t="s">
        <v>26</v>
      </c>
      <c r="C13">
        <v>310.93</v>
      </c>
      <c r="D13">
        <v>485.21</v>
      </c>
      <c r="E13">
        <v>0</v>
      </c>
      <c r="F13">
        <v>4.2299999999999998E-4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</row>
    <row r="14" spans="1:20">
      <c r="A14">
        <v>13</v>
      </c>
      <c r="B14" t="s">
        <v>26</v>
      </c>
      <c r="C14">
        <v>344.26</v>
      </c>
      <c r="D14">
        <v>681.54</v>
      </c>
      <c r="E14">
        <v>0</v>
      </c>
      <c r="F14">
        <v>1.6919999999999999E-3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</row>
    <row r="15" spans="1:20">
      <c r="A15">
        <v>14</v>
      </c>
      <c r="B15" t="s">
        <v>26</v>
      </c>
      <c r="C15">
        <v>344.26</v>
      </c>
      <c r="D15">
        <v>417.93</v>
      </c>
      <c r="E15">
        <v>0</v>
      </c>
      <c r="F15">
        <v>1.89E-3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</row>
    <row r="16" spans="1:20">
      <c r="A16">
        <v>15</v>
      </c>
      <c r="B16" t="s">
        <v>26</v>
      </c>
      <c r="C16">
        <v>344.26</v>
      </c>
      <c r="D16">
        <v>351.52</v>
      </c>
      <c r="E16">
        <v>0</v>
      </c>
      <c r="F16">
        <v>2.1280000000000001E-3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</row>
    <row r="17" spans="1:20">
      <c r="A17">
        <v>16</v>
      </c>
      <c r="B17" t="s">
        <v>26</v>
      </c>
      <c r="C17">
        <v>344.26</v>
      </c>
      <c r="D17">
        <v>282.05</v>
      </c>
      <c r="E17">
        <v>0</v>
      </c>
      <c r="F17">
        <v>2.3010000000000001E-3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</row>
    <row r="18" spans="1:20">
      <c r="A18">
        <v>17</v>
      </c>
      <c r="B18" t="s">
        <v>26</v>
      </c>
      <c r="C18">
        <v>344.26</v>
      </c>
      <c r="D18">
        <v>210.63</v>
      </c>
      <c r="E18">
        <v>0</v>
      </c>
      <c r="F18">
        <v>2.7210000000000003E-3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</row>
    <row r="19" spans="1:20">
      <c r="A19">
        <v>18</v>
      </c>
      <c r="B19" t="s">
        <v>26</v>
      </c>
      <c r="C19">
        <v>344.26</v>
      </c>
      <c r="D19">
        <v>143.99</v>
      </c>
      <c r="E19">
        <v>0</v>
      </c>
      <c r="F19">
        <v>3.3940000000000003E-3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</row>
    <row r="20" spans="1:20">
      <c r="A20">
        <v>19</v>
      </c>
      <c r="B20" t="s">
        <v>26</v>
      </c>
      <c r="C20">
        <v>344.26</v>
      </c>
      <c r="D20">
        <v>96.45</v>
      </c>
      <c r="E20">
        <v>0</v>
      </c>
      <c r="F20">
        <v>4.5030000000000001E-3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</row>
    <row r="21" spans="1:20">
      <c r="A21">
        <v>20</v>
      </c>
      <c r="B21" t="s">
        <v>26</v>
      </c>
      <c r="C21">
        <v>344.26</v>
      </c>
      <c r="D21">
        <v>62.89</v>
      </c>
      <c r="E21">
        <v>0</v>
      </c>
      <c r="F21">
        <v>6.417E-3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</row>
    <row r="22" spans="1:20">
      <c r="A22">
        <v>21</v>
      </c>
      <c r="B22" t="s">
        <v>26</v>
      </c>
      <c r="C22">
        <v>344.26</v>
      </c>
      <c r="D22">
        <v>26.72</v>
      </c>
      <c r="E22">
        <v>0</v>
      </c>
      <c r="F22">
        <v>1.3350000000000001E-2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</row>
    <row r="23" spans="1:20">
      <c r="A23">
        <v>22</v>
      </c>
      <c r="B23" t="s">
        <v>26</v>
      </c>
      <c r="C23">
        <v>377.59</v>
      </c>
      <c r="D23">
        <v>279.01</v>
      </c>
      <c r="E23">
        <v>0</v>
      </c>
      <c r="F23">
        <v>7.123E-3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</row>
    <row r="24" spans="1:20">
      <c r="A24">
        <v>23</v>
      </c>
      <c r="B24" t="s">
        <v>26</v>
      </c>
      <c r="C24">
        <v>377.59</v>
      </c>
      <c r="D24">
        <v>209.23</v>
      </c>
      <c r="E24">
        <v>0</v>
      </c>
      <c r="F24">
        <v>8.4589999999999995E-3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</row>
    <row r="25" spans="1:20">
      <c r="A25">
        <v>24</v>
      </c>
      <c r="B25" t="s">
        <v>26</v>
      </c>
      <c r="C25">
        <v>377.59</v>
      </c>
      <c r="D25">
        <v>138.1</v>
      </c>
      <c r="E25">
        <v>0</v>
      </c>
      <c r="F25">
        <v>1.12E-2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</row>
    <row r="26" spans="1:20">
      <c r="A26">
        <v>25</v>
      </c>
      <c r="B26" t="s">
        <v>26</v>
      </c>
      <c r="C26">
        <v>377.59</v>
      </c>
      <c r="D26">
        <v>65.91</v>
      </c>
      <c r="E26">
        <v>0</v>
      </c>
      <c r="F26">
        <v>2.069E-2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</row>
    <row r="27" spans="1:20">
      <c r="A27">
        <v>26</v>
      </c>
      <c r="B27" t="s">
        <v>26</v>
      </c>
      <c r="C27">
        <v>377.59</v>
      </c>
      <c r="D27">
        <v>683.87</v>
      </c>
      <c r="E27">
        <v>0</v>
      </c>
      <c r="F27">
        <v>4.7220000000000005E-3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</row>
    <row r="28" spans="1:20">
      <c r="A28">
        <v>27</v>
      </c>
      <c r="B28" t="s">
        <v>26</v>
      </c>
      <c r="C28">
        <v>377.59</v>
      </c>
      <c r="D28">
        <v>623.29999999999995</v>
      </c>
      <c r="E28">
        <v>0</v>
      </c>
      <c r="F28">
        <v>4.62E-3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</row>
    <row r="29" spans="1:20">
      <c r="A29">
        <v>28</v>
      </c>
      <c r="B29" t="s">
        <v>26</v>
      </c>
      <c r="C29">
        <v>377.59</v>
      </c>
      <c r="D29">
        <v>547.24</v>
      </c>
      <c r="E29">
        <v>0</v>
      </c>
      <c r="F29">
        <v>5.2380000000000005E-3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</row>
    <row r="30" spans="1:20">
      <c r="A30">
        <v>29</v>
      </c>
      <c r="B30" t="s">
        <v>26</v>
      </c>
      <c r="C30">
        <v>377.59</v>
      </c>
      <c r="D30">
        <v>482.6</v>
      </c>
      <c r="E30">
        <v>0</v>
      </c>
      <c r="F30">
        <v>5.3360000000000005E-3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</row>
    <row r="31" spans="1:20">
      <c r="A31">
        <v>30</v>
      </c>
      <c r="B31" t="s">
        <v>26</v>
      </c>
      <c r="C31">
        <v>377.59</v>
      </c>
      <c r="D31">
        <v>417.81</v>
      </c>
      <c r="E31">
        <v>0</v>
      </c>
      <c r="F31">
        <v>5.7880000000000006E-3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</row>
    <row r="32" spans="1:20">
      <c r="A32">
        <v>31</v>
      </c>
      <c r="B32" t="s">
        <v>26</v>
      </c>
      <c r="C32">
        <v>377.59</v>
      </c>
      <c r="D32">
        <v>354.11</v>
      </c>
      <c r="E32">
        <v>0</v>
      </c>
      <c r="F32">
        <v>6.2529999999999999E-3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</row>
    <row r="33" spans="1:20">
      <c r="A33">
        <v>32</v>
      </c>
      <c r="B33" t="s">
        <v>26</v>
      </c>
      <c r="C33">
        <v>377.59</v>
      </c>
      <c r="D33">
        <v>622.53</v>
      </c>
      <c r="E33">
        <v>0</v>
      </c>
      <c r="F33">
        <v>4.8820000000000001E-3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</row>
    <row r="34" spans="1:20">
      <c r="A34">
        <v>33</v>
      </c>
      <c r="B34" t="s">
        <v>26</v>
      </c>
      <c r="C34">
        <v>377.59</v>
      </c>
      <c r="D34">
        <v>558.79</v>
      </c>
      <c r="E34">
        <v>0</v>
      </c>
      <c r="F34">
        <v>4.9429999999999995E-3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</row>
    <row r="35" spans="1:20">
      <c r="A35">
        <v>34</v>
      </c>
      <c r="B35" t="s">
        <v>26</v>
      </c>
      <c r="C35">
        <v>377.59</v>
      </c>
      <c r="D35">
        <v>93.15</v>
      </c>
      <c r="E35">
        <v>0</v>
      </c>
      <c r="F35">
        <v>1.545E-2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>
        <v>35</v>
      </c>
      <c r="B36" t="s">
        <v>26</v>
      </c>
      <c r="C36">
        <v>377.59</v>
      </c>
      <c r="D36">
        <v>29.87</v>
      </c>
      <c r="E36">
        <v>0</v>
      </c>
      <c r="F36">
        <v>4.2810000000000001E-2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>
        <f>A36+1</f>
        <v>36</v>
      </c>
      <c r="B37" t="s">
        <v>26</v>
      </c>
      <c r="C37">
        <v>410.93</v>
      </c>
      <c r="D37">
        <v>688.6</v>
      </c>
      <c r="E37">
        <v>0</v>
      </c>
      <c r="F37">
        <v>1.2060000000000001E-2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</row>
    <row r="38" spans="1:20">
      <c r="A38">
        <f t="shared" ref="A38:A101" si="0">A37+1</f>
        <v>37</v>
      </c>
      <c r="B38" t="s">
        <v>26</v>
      </c>
      <c r="C38">
        <v>410.93</v>
      </c>
      <c r="D38">
        <v>622.04</v>
      </c>
      <c r="E38">
        <v>0</v>
      </c>
      <c r="F38">
        <v>1.2529999999999999E-2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</row>
    <row r="39" spans="1:20">
      <c r="A39">
        <f t="shared" si="0"/>
        <v>38</v>
      </c>
      <c r="B39" t="s">
        <v>26</v>
      </c>
      <c r="C39">
        <v>410.93</v>
      </c>
      <c r="D39">
        <v>554.59</v>
      </c>
      <c r="E39">
        <v>0</v>
      </c>
      <c r="F39">
        <v>1.345E-2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</row>
    <row r="40" spans="1:20">
      <c r="A40">
        <f t="shared" si="0"/>
        <v>39</v>
      </c>
      <c r="B40" t="s">
        <v>26</v>
      </c>
      <c r="C40">
        <v>410.93</v>
      </c>
      <c r="D40">
        <v>483.34</v>
      </c>
      <c r="E40">
        <v>0</v>
      </c>
      <c r="F40">
        <v>1.4369999999999999E-2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</row>
    <row r="41" spans="1:20">
      <c r="A41">
        <f t="shared" si="0"/>
        <v>40</v>
      </c>
      <c r="B41" t="s">
        <v>26</v>
      </c>
      <c r="C41">
        <v>410.93</v>
      </c>
      <c r="D41">
        <v>421.06</v>
      </c>
      <c r="E41">
        <v>0</v>
      </c>
      <c r="F41">
        <v>1.545E-2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</row>
    <row r="42" spans="1:20">
      <c r="A42">
        <f t="shared" si="0"/>
        <v>41</v>
      </c>
      <c r="B42" t="s">
        <v>26</v>
      </c>
      <c r="C42">
        <v>410.93</v>
      </c>
      <c r="D42">
        <v>355.86</v>
      </c>
      <c r="E42">
        <v>0</v>
      </c>
      <c r="F42">
        <v>1.6710000000000003E-2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</row>
    <row r="43" spans="1:20">
      <c r="A43">
        <f t="shared" si="0"/>
        <v>42</v>
      </c>
      <c r="B43" t="s">
        <v>26</v>
      </c>
      <c r="C43">
        <v>410.93</v>
      </c>
      <c r="D43">
        <v>281.61</v>
      </c>
      <c r="E43">
        <v>0</v>
      </c>
      <c r="F43">
        <v>1.898E-2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</row>
    <row r="44" spans="1:20">
      <c r="A44">
        <f t="shared" si="0"/>
        <v>43</v>
      </c>
      <c r="B44" t="s">
        <v>26</v>
      </c>
      <c r="C44">
        <v>410.93</v>
      </c>
      <c r="D44">
        <v>140.66</v>
      </c>
      <c r="E44">
        <v>0</v>
      </c>
      <c r="F44">
        <v>3.1519999999999999E-2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</row>
    <row r="45" spans="1:20">
      <c r="A45">
        <f t="shared" si="0"/>
        <v>44</v>
      </c>
      <c r="B45" t="s">
        <v>26</v>
      </c>
      <c r="C45">
        <v>410.93</v>
      </c>
      <c r="D45">
        <v>98.7</v>
      </c>
      <c r="E45">
        <v>0</v>
      </c>
      <c r="F45">
        <v>4.1450000000000001E-2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>
        <f t="shared" si="0"/>
        <v>45</v>
      </c>
      <c r="B46" t="s">
        <v>26</v>
      </c>
      <c r="C46">
        <v>410.93</v>
      </c>
      <c r="D46">
        <v>65.459999999999994</v>
      </c>
      <c r="E46">
        <v>0</v>
      </c>
      <c r="F46">
        <v>5.8990000000000001E-2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</row>
    <row r="47" spans="1:20">
      <c r="A47">
        <f t="shared" si="0"/>
        <v>46</v>
      </c>
      <c r="B47" t="s">
        <v>26</v>
      </c>
      <c r="C47">
        <v>410.93</v>
      </c>
      <c r="D47">
        <v>34.06</v>
      </c>
      <c r="E47">
        <v>0</v>
      </c>
      <c r="F47">
        <v>0.11083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</row>
    <row r="48" spans="1:20">
      <c r="A48">
        <f t="shared" si="0"/>
        <v>47</v>
      </c>
      <c r="B48" t="s">
        <v>26</v>
      </c>
      <c r="C48">
        <v>444.26</v>
      </c>
      <c r="D48">
        <v>345.77</v>
      </c>
      <c r="E48">
        <v>0</v>
      </c>
      <c r="F48">
        <v>3.8350000000000002E-2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</row>
    <row r="49" spans="1:20">
      <c r="A49">
        <f t="shared" si="0"/>
        <v>48</v>
      </c>
      <c r="B49" t="s">
        <v>26</v>
      </c>
      <c r="C49">
        <v>444.26</v>
      </c>
      <c r="D49">
        <v>281.58999999999997</v>
      </c>
      <c r="E49">
        <v>0</v>
      </c>
      <c r="F49">
        <v>4.3840000000000004E-2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</row>
    <row r="50" spans="1:20">
      <c r="A50">
        <f t="shared" si="0"/>
        <v>49</v>
      </c>
      <c r="B50" t="s">
        <v>26</v>
      </c>
      <c r="C50">
        <v>444.26</v>
      </c>
      <c r="D50">
        <v>211.8</v>
      </c>
      <c r="E50">
        <v>0</v>
      </c>
      <c r="F50">
        <v>5.3620000000000001E-2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</row>
    <row r="51" spans="1:20">
      <c r="A51">
        <f t="shared" si="0"/>
        <v>50</v>
      </c>
      <c r="B51" t="s">
        <v>26</v>
      </c>
      <c r="C51">
        <v>444.26</v>
      </c>
      <c r="D51">
        <v>142.37</v>
      </c>
      <c r="E51">
        <v>0</v>
      </c>
      <c r="F51">
        <v>7.1059999999999998E-2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</row>
    <row r="52" spans="1:20">
      <c r="A52">
        <f t="shared" si="0"/>
        <v>51</v>
      </c>
      <c r="B52" t="s">
        <v>26</v>
      </c>
      <c r="C52">
        <v>444.26</v>
      </c>
      <c r="D52">
        <v>83.31</v>
      </c>
      <c r="E52">
        <v>0</v>
      </c>
      <c r="F52">
        <v>0.10935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</row>
    <row r="53" spans="1:20">
      <c r="A53">
        <f t="shared" si="0"/>
        <v>52</v>
      </c>
      <c r="B53" t="s">
        <v>26</v>
      </c>
      <c r="C53">
        <v>444.26</v>
      </c>
      <c r="D53">
        <v>34.42</v>
      </c>
      <c r="E53">
        <v>0</v>
      </c>
      <c r="F53">
        <v>0.25334000000000001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</row>
    <row r="54" spans="1:20">
      <c r="A54">
        <f t="shared" si="0"/>
        <v>53</v>
      </c>
      <c r="B54" t="s">
        <v>26</v>
      </c>
      <c r="C54">
        <v>444.26</v>
      </c>
      <c r="D54">
        <v>688.74</v>
      </c>
      <c r="E54">
        <v>0</v>
      </c>
      <c r="F54">
        <v>2.6159999999999999E-2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</row>
    <row r="55" spans="1:20">
      <c r="A55">
        <f t="shared" si="0"/>
        <v>54</v>
      </c>
      <c r="B55" t="s">
        <v>26</v>
      </c>
      <c r="C55">
        <v>444.26</v>
      </c>
      <c r="D55">
        <v>624.48</v>
      </c>
      <c r="E55">
        <v>0</v>
      </c>
      <c r="F55">
        <v>2.7649999999999997E-2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</row>
    <row r="56" spans="1:20">
      <c r="A56">
        <f t="shared" si="0"/>
        <v>55</v>
      </c>
      <c r="B56" t="s">
        <v>26</v>
      </c>
      <c r="C56">
        <v>444.26</v>
      </c>
      <c r="D56">
        <v>557.55999999999995</v>
      </c>
      <c r="E56">
        <v>0</v>
      </c>
      <c r="F56">
        <v>2.971E-2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</row>
    <row r="57" spans="1:20">
      <c r="A57">
        <f t="shared" si="0"/>
        <v>56</v>
      </c>
      <c r="B57" t="s">
        <v>26</v>
      </c>
      <c r="C57">
        <v>444.26</v>
      </c>
      <c r="D57">
        <v>487.64</v>
      </c>
      <c r="E57">
        <v>0</v>
      </c>
      <c r="F57">
        <v>3.1539999999999999E-2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</row>
    <row r="58" spans="1:20">
      <c r="A58">
        <f t="shared" si="0"/>
        <v>57</v>
      </c>
      <c r="B58" t="s">
        <v>26</v>
      </c>
      <c r="C58">
        <v>444.26</v>
      </c>
      <c r="D58">
        <v>418.71</v>
      </c>
      <c r="E58">
        <v>0</v>
      </c>
      <c r="F58">
        <v>3.4570000000000004E-2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</row>
    <row r="59" spans="1:20">
      <c r="A59">
        <f t="shared" si="0"/>
        <v>58</v>
      </c>
      <c r="B59" t="s">
        <v>26</v>
      </c>
      <c r="C59">
        <v>477.59</v>
      </c>
      <c r="D59">
        <v>348.01</v>
      </c>
      <c r="E59">
        <v>0</v>
      </c>
      <c r="F59">
        <v>7.961E-2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</row>
    <row r="60" spans="1:20">
      <c r="A60">
        <f t="shared" si="0"/>
        <v>59</v>
      </c>
      <c r="B60" t="s">
        <v>26</v>
      </c>
      <c r="C60">
        <v>477.59</v>
      </c>
      <c r="D60">
        <v>207.91</v>
      </c>
      <c r="E60">
        <v>0</v>
      </c>
      <c r="F60">
        <v>0.11359999999999999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</row>
    <row r="61" spans="1:20">
      <c r="A61">
        <f t="shared" si="0"/>
        <v>60</v>
      </c>
      <c r="B61" t="s">
        <v>26</v>
      </c>
      <c r="C61">
        <v>477.59</v>
      </c>
      <c r="D61">
        <v>140.44999999999999</v>
      </c>
      <c r="E61">
        <v>0</v>
      </c>
      <c r="F61">
        <v>0.15418000000000001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</row>
    <row r="62" spans="1:20">
      <c r="A62">
        <f t="shared" si="0"/>
        <v>61</v>
      </c>
      <c r="B62" t="s">
        <v>26</v>
      </c>
      <c r="C62">
        <v>477.59</v>
      </c>
      <c r="D62">
        <v>88.26</v>
      </c>
      <c r="E62">
        <v>0</v>
      </c>
      <c r="F62">
        <v>0.22827000000000003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</row>
    <row r="63" spans="1:20">
      <c r="A63">
        <f t="shared" si="0"/>
        <v>62</v>
      </c>
      <c r="B63" t="s">
        <v>26</v>
      </c>
      <c r="C63">
        <v>477.59</v>
      </c>
      <c r="D63">
        <v>64.13</v>
      </c>
      <c r="E63">
        <v>0</v>
      </c>
      <c r="F63">
        <v>0.30266999999999999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</row>
    <row r="64" spans="1:20">
      <c r="A64">
        <f t="shared" si="0"/>
        <v>63</v>
      </c>
      <c r="B64" t="s">
        <v>26</v>
      </c>
      <c r="C64">
        <v>477.59</v>
      </c>
      <c r="D64">
        <v>33.630000000000003</v>
      </c>
      <c r="E64">
        <v>0</v>
      </c>
      <c r="F64">
        <v>0.55557000000000001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</row>
    <row r="65" spans="1:20">
      <c r="A65">
        <f t="shared" si="0"/>
        <v>64</v>
      </c>
      <c r="B65" t="s">
        <v>26</v>
      </c>
      <c r="C65">
        <v>477.59</v>
      </c>
      <c r="D65">
        <v>687.33</v>
      </c>
      <c r="E65">
        <v>0</v>
      </c>
      <c r="F65">
        <v>5.3280000000000001E-2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</row>
    <row r="66" spans="1:20">
      <c r="A66">
        <f t="shared" si="0"/>
        <v>65</v>
      </c>
      <c r="B66" t="s">
        <v>26</v>
      </c>
      <c r="C66">
        <v>477.59</v>
      </c>
      <c r="D66">
        <v>625.79</v>
      </c>
      <c r="E66">
        <v>0</v>
      </c>
      <c r="F66">
        <v>5.6299999999999996E-2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</row>
    <row r="67" spans="1:20">
      <c r="A67">
        <f t="shared" si="0"/>
        <v>66</v>
      </c>
      <c r="B67" t="s">
        <v>26</v>
      </c>
      <c r="C67">
        <v>477.59</v>
      </c>
      <c r="D67">
        <v>556.74</v>
      </c>
      <c r="E67">
        <v>0</v>
      </c>
      <c r="F67">
        <v>6.0819999999999999E-2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</row>
    <row r="68" spans="1:20">
      <c r="A68">
        <f t="shared" si="0"/>
        <v>67</v>
      </c>
      <c r="B68" t="s">
        <v>26</v>
      </c>
      <c r="C68">
        <v>477.59</v>
      </c>
      <c r="D68">
        <v>485.25</v>
      </c>
      <c r="E68">
        <v>0</v>
      </c>
      <c r="F68">
        <v>6.5189999999999998E-2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</row>
    <row r="69" spans="1:20">
      <c r="A69">
        <f t="shared" si="0"/>
        <v>68</v>
      </c>
      <c r="B69" t="s">
        <v>26</v>
      </c>
      <c r="C69">
        <v>477.59</v>
      </c>
      <c r="D69">
        <v>414.31</v>
      </c>
      <c r="E69">
        <v>0</v>
      </c>
      <c r="F69">
        <v>7.0239999999999997E-2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</row>
    <row r="70" spans="1:20">
      <c r="A70">
        <f t="shared" si="0"/>
        <v>69</v>
      </c>
      <c r="B70" t="s">
        <v>26</v>
      </c>
      <c r="C70">
        <v>510.93</v>
      </c>
      <c r="D70">
        <v>539.41999999999996</v>
      </c>
      <c r="E70">
        <v>0</v>
      </c>
      <c r="F70">
        <v>0.11189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</row>
    <row r="71" spans="1:20">
      <c r="A71">
        <f t="shared" si="0"/>
        <v>70</v>
      </c>
      <c r="B71" t="s">
        <v>26</v>
      </c>
      <c r="C71">
        <v>510.93</v>
      </c>
      <c r="D71">
        <v>624.99</v>
      </c>
      <c r="E71">
        <v>0</v>
      </c>
      <c r="F71">
        <v>0.10641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</row>
    <row r="72" spans="1:20">
      <c r="A72">
        <f t="shared" si="0"/>
        <v>71</v>
      </c>
      <c r="B72" t="s">
        <v>26</v>
      </c>
      <c r="C72">
        <v>510.93</v>
      </c>
      <c r="D72">
        <v>485.31</v>
      </c>
      <c r="E72">
        <v>0</v>
      </c>
      <c r="F72">
        <v>0.12390999999999999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</row>
    <row r="73" spans="1:20">
      <c r="A73">
        <f t="shared" si="0"/>
        <v>72</v>
      </c>
      <c r="B73" t="s">
        <v>26</v>
      </c>
      <c r="C73">
        <v>510.93</v>
      </c>
      <c r="D73">
        <v>416.93</v>
      </c>
      <c r="E73">
        <v>0</v>
      </c>
      <c r="F73">
        <v>0.13388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</row>
    <row r="74" spans="1:20">
      <c r="A74">
        <f t="shared" si="0"/>
        <v>73</v>
      </c>
      <c r="B74" t="s">
        <v>26</v>
      </c>
      <c r="C74">
        <v>510.93</v>
      </c>
      <c r="D74">
        <v>356.03</v>
      </c>
      <c r="E74">
        <v>0</v>
      </c>
      <c r="F74">
        <v>0.14888999999999999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</row>
    <row r="75" spans="1:20">
      <c r="A75">
        <f t="shared" si="0"/>
        <v>74</v>
      </c>
      <c r="B75" t="s">
        <v>26</v>
      </c>
      <c r="C75">
        <v>510.93</v>
      </c>
      <c r="D75">
        <v>276.85000000000002</v>
      </c>
      <c r="E75">
        <v>0</v>
      </c>
      <c r="F75">
        <v>0.17565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</row>
    <row r="76" spans="1:20">
      <c r="A76">
        <f t="shared" si="0"/>
        <v>75</v>
      </c>
      <c r="B76" t="s">
        <v>26</v>
      </c>
      <c r="C76">
        <v>510.93</v>
      </c>
      <c r="D76">
        <v>210.06</v>
      </c>
      <c r="E76">
        <v>0</v>
      </c>
      <c r="F76">
        <v>0.21287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</row>
    <row r="77" spans="1:20">
      <c r="A77">
        <f t="shared" si="0"/>
        <v>76</v>
      </c>
      <c r="B77" t="s">
        <v>26</v>
      </c>
      <c r="C77">
        <v>510.93</v>
      </c>
      <c r="D77">
        <v>144.38999999999999</v>
      </c>
      <c r="E77">
        <v>0</v>
      </c>
      <c r="F77">
        <v>0.28510000000000002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</row>
    <row r="78" spans="1:20">
      <c r="A78">
        <f t="shared" si="0"/>
        <v>77</v>
      </c>
      <c r="B78" t="s">
        <v>26</v>
      </c>
      <c r="C78">
        <v>510.93</v>
      </c>
      <c r="D78">
        <v>95.1</v>
      </c>
      <c r="E78">
        <v>0</v>
      </c>
      <c r="F78">
        <v>0.40033000000000002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</row>
    <row r="79" spans="1:20">
      <c r="A79">
        <f t="shared" si="0"/>
        <v>78</v>
      </c>
      <c r="B79" t="s">
        <v>26</v>
      </c>
      <c r="C79">
        <v>510.93</v>
      </c>
      <c r="D79">
        <v>53.18</v>
      </c>
      <c r="E79">
        <v>0</v>
      </c>
      <c r="F79">
        <v>0.65459000000000001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</row>
    <row r="80" spans="1:20">
      <c r="A80">
        <f t="shared" si="0"/>
        <v>79</v>
      </c>
      <c r="B80" t="s">
        <v>20</v>
      </c>
      <c r="C80">
        <v>310.93</v>
      </c>
      <c r="D80">
        <v>6.89</v>
      </c>
      <c r="E80">
        <v>0</v>
      </c>
      <c r="F80">
        <v>1.0600000000000054E-2</v>
      </c>
      <c r="H80">
        <v>8.2000000000000007E-3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>
      <c r="A81">
        <f t="shared" si="0"/>
        <v>80</v>
      </c>
      <c r="B81" t="s">
        <v>20</v>
      </c>
      <c r="C81">
        <v>310.93</v>
      </c>
      <c r="D81">
        <v>10.34</v>
      </c>
      <c r="E81">
        <v>0</v>
      </c>
      <c r="F81">
        <v>7.4999999999999512E-3</v>
      </c>
      <c r="H81">
        <v>1.23E-2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>
      <c r="A82">
        <f t="shared" si="0"/>
        <v>81</v>
      </c>
      <c r="B82" t="s">
        <v>20</v>
      </c>
      <c r="C82">
        <v>310.93</v>
      </c>
      <c r="D82">
        <v>13.79</v>
      </c>
      <c r="E82">
        <v>0</v>
      </c>
      <c r="F82">
        <v>6.0000000000000053E-3</v>
      </c>
      <c r="H82">
        <v>1.6500000000000001E-2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>
      <c r="A83">
        <f t="shared" si="0"/>
        <v>82</v>
      </c>
      <c r="B83" t="s">
        <v>20</v>
      </c>
      <c r="C83">
        <v>310.93</v>
      </c>
      <c r="D83">
        <v>17.239999999999998</v>
      </c>
      <c r="E83">
        <v>0</v>
      </c>
      <c r="F83">
        <v>5.0999999999999934E-3</v>
      </c>
      <c r="H83">
        <v>2.07E-2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>
      <c r="A84">
        <f t="shared" si="0"/>
        <v>83</v>
      </c>
      <c r="B84" t="s">
        <v>20</v>
      </c>
      <c r="C84">
        <v>310.93</v>
      </c>
      <c r="D84">
        <v>20.68</v>
      </c>
      <c r="E84">
        <v>0</v>
      </c>
      <c r="F84">
        <v>4.6000000000000485E-3</v>
      </c>
      <c r="H84">
        <v>2.5000000000000001E-2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>
      <c r="A85">
        <f t="shared" si="0"/>
        <v>84</v>
      </c>
      <c r="B85" t="s">
        <v>20</v>
      </c>
      <c r="C85">
        <v>310.93</v>
      </c>
      <c r="D85">
        <v>26.9</v>
      </c>
      <c r="E85">
        <v>0</v>
      </c>
      <c r="F85">
        <v>4.0000000000000036E-3</v>
      </c>
      <c r="H85">
        <v>3.3300000000000003E-2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>
      <c r="A86">
        <f t="shared" si="0"/>
        <v>85</v>
      </c>
      <c r="B86" t="s">
        <v>20</v>
      </c>
      <c r="C86">
        <v>344.26</v>
      </c>
      <c r="D86">
        <v>6.89</v>
      </c>
      <c r="E86">
        <v>0</v>
      </c>
      <c r="F86">
        <v>5.0699999999999967E-2</v>
      </c>
      <c r="H86">
        <v>5.0000000000000001E-3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>
      <c r="A87">
        <f t="shared" si="0"/>
        <v>86</v>
      </c>
      <c r="B87" t="s">
        <v>20</v>
      </c>
      <c r="C87">
        <v>344.26</v>
      </c>
      <c r="D87">
        <v>10.34</v>
      </c>
      <c r="E87">
        <v>0</v>
      </c>
      <c r="F87">
        <v>3.5699999999999954E-2</v>
      </c>
      <c r="H87">
        <v>7.6E-3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>
      <c r="A88">
        <f t="shared" si="0"/>
        <v>87</v>
      </c>
      <c r="B88" t="s">
        <v>20</v>
      </c>
      <c r="C88">
        <v>344.26</v>
      </c>
      <c r="D88">
        <v>13.79</v>
      </c>
      <c r="E88">
        <v>0</v>
      </c>
      <c r="F88">
        <v>2.739999999999998E-2</v>
      </c>
      <c r="H88">
        <v>1.0200000000000001E-2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>
      <c r="A89">
        <f t="shared" si="0"/>
        <v>88</v>
      </c>
      <c r="B89" t="s">
        <v>20</v>
      </c>
      <c r="C89">
        <v>344.26</v>
      </c>
      <c r="D89">
        <v>17.239999999999998</v>
      </c>
      <c r="E89">
        <v>0</v>
      </c>
      <c r="F89">
        <v>2.2900000000000031E-2</v>
      </c>
      <c r="H89">
        <v>1.2800000000000001E-2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>
      <c r="A90">
        <f t="shared" si="0"/>
        <v>89</v>
      </c>
      <c r="B90" t="s">
        <v>20</v>
      </c>
      <c r="C90">
        <v>344.26</v>
      </c>
      <c r="D90">
        <v>20.68</v>
      </c>
      <c r="E90">
        <v>0</v>
      </c>
      <c r="F90">
        <v>1.9900000000000029E-2</v>
      </c>
      <c r="H90">
        <v>1.54E-2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>
        <f t="shared" si="0"/>
        <v>90</v>
      </c>
      <c r="B91" t="s">
        <v>20</v>
      </c>
      <c r="C91">
        <v>344.26</v>
      </c>
      <c r="D91">
        <v>27.58</v>
      </c>
      <c r="E91">
        <v>0</v>
      </c>
      <c r="F91">
        <v>1.6299999999999981E-2</v>
      </c>
      <c r="H91">
        <v>2.06E-2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>
      <c r="A92">
        <f t="shared" si="0"/>
        <v>91</v>
      </c>
      <c r="B92" t="s">
        <v>20</v>
      </c>
      <c r="C92">
        <v>344.26</v>
      </c>
      <c r="D92">
        <v>34.47</v>
      </c>
      <c r="E92">
        <v>0</v>
      </c>
      <c r="F92">
        <v>1.4399999999999968E-2</v>
      </c>
      <c r="H92">
        <v>2.58E-2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>
      <c r="A93">
        <f t="shared" si="0"/>
        <v>92</v>
      </c>
      <c r="B93" t="s">
        <v>20</v>
      </c>
      <c r="C93">
        <v>344.26</v>
      </c>
      <c r="D93">
        <v>41.37</v>
      </c>
      <c r="E93">
        <v>0</v>
      </c>
      <c r="F93">
        <v>1.3499999999999956E-2</v>
      </c>
      <c r="H93">
        <v>3.1E-2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>
      <c r="A94">
        <f t="shared" si="0"/>
        <v>93</v>
      </c>
      <c r="B94" t="s">
        <v>20</v>
      </c>
      <c r="C94">
        <v>344.26</v>
      </c>
      <c r="D94">
        <v>48.26</v>
      </c>
      <c r="E94">
        <v>0</v>
      </c>
      <c r="F94">
        <v>1.319999999999999E-2</v>
      </c>
      <c r="H94">
        <v>3.6400000000000002E-2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>
      <c r="A95">
        <f t="shared" si="0"/>
        <v>94</v>
      </c>
      <c r="B95" t="s">
        <v>20</v>
      </c>
      <c r="C95">
        <v>344.26</v>
      </c>
      <c r="D95">
        <v>52.36</v>
      </c>
      <c r="E95">
        <v>0</v>
      </c>
      <c r="F95">
        <v>1.3100000000000001E-2</v>
      </c>
      <c r="H95">
        <v>3.95E-2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>
      <c r="A96">
        <f t="shared" si="0"/>
        <v>95</v>
      </c>
      <c r="B96" t="s">
        <v>20</v>
      </c>
      <c r="C96">
        <v>377.59</v>
      </c>
      <c r="D96">
        <v>13.79</v>
      </c>
      <c r="E96">
        <v>0</v>
      </c>
      <c r="F96">
        <v>9.540000000000004E-2</v>
      </c>
      <c r="H96">
        <v>7.7000000000000002E-3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>
      <c r="A97">
        <f t="shared" si="0"/>
        <v>96</v>
      </c>
      <c r="B97" t="s">
        <v>20</v>
      </c>
      <c r="C97">
        <v>377.59</v>
      </c>
      <c r="D97">
        <v>27.58</v>
      </c>
      <c r="E97">
        <v>0</v>
      </c>
      <c r="F97">
        <v>5.2300000000000013E-2</v>
      </c>
      <c r="H97">
        <v>1.5599999999999999E-2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>
      <c r="A98">
        <f t="shared" si="0"/>
        <v>97</v>
      </c>
      <c r="B98" t="s">
        <v>20</v>
      </c>
      <c r="C98">
        <v>377.59</v>
      </c>
      <c r="D98">
        <v>41.37</v>
      </c>
      <c r="E98">
        <v>0</v>
      </c>
      <c r="F98">
        <v>4.0300000000000002E-2</v>
      </c>
      <c r="H98">
        <v>2.3E-2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f t="shared" si="0"/>
        <v>98</v>
      </c>
      <c r="B99" t="s">
        <v>20</v>
      </c>
      <c r="C99">
        <v>377.59</v>
      </c>
      <c r="D99">
        <v>55.16</v>
      </c>
      <c r="E99">
        <v>0</v>
      </c>
      <c r="F99">
        <v>3.5299999999999998E-2</v>
      </c>
      <c r="H99">
        <v>3.0099999999999998E-2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>
        <f t="shared" si="0"/>
        <v>99</v>
      </c>
      <c r="B100" t="s">
        <v>20</v>
      </c>
      <c r="C100">
        <v>377.59</v>
      </c>
      <c r="D100">
        <v>68.95</v>
      </c>
      <c r="E100">
        <v>0</v>
      </c>
      <c r="F100">
        <v>3.3599999999999963E-2</v>
      </c>
      <c r="H100">
        <v>3.7100000000000001E-2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>
        <f t="shared" si="0"/>
        <v>100</v>
      </c>
      <c r="B101" t="s">
        <v>20</v>
      </c>
      <c r="C101">
        <v>377.59</v>
      </c>
      <c r="D101">
        <v>86.18</v>
      </c>
      <c r="E101">
        <v>0</v>
      </c>
      <c r="F101">
        <v>3.3499999999999974E-2</v>
      </c>
      <c r="H101">
        <v>4.6300000000000001E-2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>
        <f t="shared" ref="A102:A165" si="1">A101+1</f>
        <v>101</v>
      </c>
      <c r="B102" t="s">
        <v>20</v>
      </c>
      <c r="C102">
        <v>377.59</v>
      </c>
      <c r="D102">
        <v>103.42</v>
      </c>
      <c r="E102">
        <v>0</v>
      </c>
      <c r="F102">
        <v>3.4900000000000042E-2</v>
      </c>
      <c r="H102">
        <v>5.7700000000000001E-2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>
        <f t="shared" si="1"/>
        <v>102</v>
      </c>
      <c r="B103" t="s">
        <v>20</v>
      </c>
      <c r="C103">
        <v>377.59</v>
      </c>
      <c r="D103">
        <v>120.66</v>
      </c>
      <c r="E103">
        <v>0</v>
      </c>
      <c r="F103">
        <v>3.7000000000000033E-2</v>
      </c>
      <c r="H103">
        <v>6.9000000000000006E-2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>
        <f t="shared" si="1"/>
        <v>103</v>
      </c>
      <c r="B104" t="s">
        <v>20</v>
      </c>
      <c r="C104">
        <v>377.59</v>
      </c>
      <c r="D104">
        <v>137.88999999999999</v>
      </c>
      <c r="E104">
        <v>0</v>
      </c>
      <c r="F104">
        <v>3.9799999999999947E-2</v>
      </c>
      <c r="H104">
        <v>8.2299999999999998E-2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>
        <f t="shared" si="1"/>
        <v>104</v>
      </c>
      <c r="B105" t="s">
        <v>20</v>
      </c>
      <c r="C105">
        <v>377.59</v>
      </c>
      <c r="D105">
        <v>155.13</v>
      </c>
      <c r="E105">
        <v>0</v>
      </c>
      <c r="F105">
        <v>4.3200000000000016E-2</v>
      </c>
      <c r="H105">
        <v>9.7299999999999998E-2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>
      <c r="A106">
        <f t="shared" si="1"/>
        <v>105</v>
      </c>
      <c r="B106" t="s">
        <v>20</v>
      </c>
      <c r="C106">
        <v>377.59</v>
      </c>
      <c r="D106">
        <v>172.37</v>
      </c>
      <c r="E106">
        <v>0</v>
      </c>
      <c r="F106">
        <v>4.6900000000000053E-2</v>
      </c>
      <c r="H106">
        <v>0.1145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>
      <c r="A107">
        <f t="shared" si="1"/>
        <v>106</v>
      </c>
      <c r="B107" t="s">
        <v>20</v>
      </c>
      <c r="C107">
        <v>377.59</v>
      </c>
      <c r="D107">
        <v>189.6</v>
      </c>
      <c r="E107">
        <v>0</v>
      </c>
      <c r="F107">
        <v>5.0899999999999945E-2</v>
      </c>
      <c r="H107">
        <v>0.1346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>
      <c r="A108">
        <f t="shared" si="1"/>
        <v>107</v>
      </c>
      <c r="B108" t="s">
        <v>20</v>
      </c>
      <c r="C108">
        <v>377.59</v>
      </c>
      <c r="D108">
        <v>206.84</v>
      </c>
      <c r="E108">
        <v>0</v>
      </c>
      <c r="F108">
        <v>5.4899999999999949E-2</v>
      </c>
      <c r="H108">
        <v>0.15859999999999999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>
        <f t="shared" si="1"/>
        <v>108</v>
      </c>
      <c r="B109" t="s">
        <v>20</v>
      </c>
      <c r="C109">
        <v>377.59</v>
      </c>
      <c r="D109">
        <v>241.31</v>
      </c>
      <c r="E109">
        <v>0</v>
      </c>
      <c r="F109">
        <v>6.2899999999999956E-2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>
      <c r="A110">
        <f t="shared" si="1"/>
        <v>109</v>
      </c>
      <c r="B110" t="s">
        <v>20</v>
      </c>
      <c r="C110">
        <v>377.59</v>
      </c>
      <c r="D110">
        <v>275.79000000000002</v>
      </c>
      <c r="E110">
        <v>0</v>
      </c>
      <c r="F110">
        <v>7.1200000000000041E-2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>
      <c r="A111">
        <f t="shared" si="1"/>
        <v>110</v>
      </c>
      <c r="B111" t="s">
        <v>20</v>
      </c>
      <c r="C111">
        <v>377.59</v>
      </c>
      <c r="D111">
        <v>310.26</v>
      </c>
      <c r="E111">
        <v>0</v>
      </c>
      <c r="F111">
        <v>7.9699999999999993E-2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>
        <f t="shared" si="1"/>
        <v>111</v>
      </c>
      <c r="B112" t="s">
        <v>20</v>
      </c>
      <c r="C112">
        <v>377.59</v>
      </c>
      <c r="D112">
        <v>344.73</v>
      </c>
      <c r="E112">
        <v>0</v>
      </c>
      <c r="F112">
        <v>8.8500000000000023E-2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>
      <c r="A113">
        <f t="shared" si="1"/>
        <v>112</v>
      </c>
      <c r="B113" t="s">
        <v>20</v>
      </c>
      <c r="C113">
        <v>410.93</v>
      </c>
      <c r="D113">
        <v>13.79</v>
      </c>
      <c r="E113">
        <v>0</v>
      </c>
      <c r="F113">
        <v>0.26249999999999996</v>
      </c>
      <c r="H113">
        <v>5.7000000000000002E-3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>
        <f t="shared" si="1"/>
        <v>113</v>
      </c>
      <c r="B114" t="s">
        <v>20</v>
      </c>
      <c r="C114">
        <v>410.93</v>
      </c>
      <c r="D114">
        <v>27.58</v>
      </c>
      <c r="E114">
        <v>0</v>
      </c>
      <c r="F114">
        <v>0.1411</v>
      </c>
      <c r="H114">
        <v>1.2699999999999999E-2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>
      <c r="A115">
        <f t="shared" si="1"/>
        <v>114</v>
      </c>
      <c r="B115" t="s">
        <v>20</v>
      </c>
      <c r="C115">
        <v>410.93</v>
      </c>
      <c r="D115">
        <v>41.37</v>
      </c>
      <c r="E115">
        <v>0</v>
      </c>
      <c r="F115">
        <v>0.10160000000000002</v>
      </c>
      <c r="H115">
        <v>1.9099999999999999E-2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>
      <c r="A116">
        <f t="shared" si="1"/>
        <v>115</v>
      </c>
      <c r="B116" t="s">
        <v>20</v>
      </c>
      <c r="C116">
        <v>410.93</v>
      </c>
      <c r="D116">
        <v>55.16</v>
      </c>
      <c r="E116">
        <v>0</v>
      </c>
      <c r="F116">
        <v>8.450000000000002E-2</v>
      </c>
      <c r="H116">
        <v>2.5000000000000001E-2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>
      <c r="A117">
        <f t="shared" si="1"/>
        <v>116</v>
      </c>
      <c r="B117" t="s">
        <v>20</v>
      </c>
      <c r="C117">
        <v>410.93</v>
      </c>
      <c r="D117">
        <v>68.95</v>
      </c>
      <c r="E117">
        <v>0</v>
      </c>
      <c r="F117">
        <v>7.5200000000000045E-2</v>
      </c>
      <c r="H117">
        <v>3.0800000000000001E-2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>
      <c r="A118">
        <f t="shared" si="1"/>
        <v>117</v>
      </c>
      <c r="B118" t="s">
        <v>20</v>
      </c>
      <c r="C118">
        <v>410.93</v>
      </c>
      <c r="D118">
        <v>86.18</v>
      </c>
      <c r="E118">
        <v>0</v>
      </c>
      <c r="F118">
        <v>6.9300000000000028E-2</v>
      </c>
      <c r="H118">
        <v>3.8199999999999998E-2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>
      <c r="A119">
        <f t="shared" si="1"/>
        <v>118</v>
      </c>
      <c r="B119" t="s">
        <v>20</v>
      </c>
      <c r="C119">
        <v>410.93</v>
      </c>
      <c r="D119">
        <v>103.42</v>
      </c>
      <c r="E119">
        <v>0</v>
      </c>
      <c r="F119">
        <v>6.6999999999999948E-2</v>
      </c>
      <c r="H119">
        <v>4.6300000000000001E-2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>
      <c r="A120">
        <f t="shared" si="1"/>
        <v>119</v>
      </c>
      <c r="B120" t="s">
        <v>20</v>
      </c>
      <c r="C120">
        <v>410.93</v>
      </c>
      <c r="D120">
        <v>120.66</v>
      </c>
      <c r="E120">
        <v>0</v>
      </c>
      <c r="F120">
        <v>6.7300000000000026E-2</v>
      </c>
      <c r="H120">
        <v>5.5E-2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>
      <c r="A121">
        <f t="shared" si="1"/>
        <v>120</v>
      </c>
      <c r="B121" t="s">
        <v>20</v>
      </c>
      <c r="C121">
        <v>410.93</v>
      </c>
      <c r="D121">
        <v>137.88999999999999</v>
      </c>
      <c r="E121">
        <v>0</v>
      </c>
      <c r="F121">
        <v>6.9699999999999984E-2</v>
      </c>
      <c r="H121">
        <v>6.4699999999999994E-2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>
        <f t="shared" si="1"/>
        <v>121</v>
      </c>
      <c r="B122" t="s">
        <v>20</v>
      </c>
      <c r="C122">
        <v>410.93</v>
      </c>
      <c r="D122">
        <v>155.13</v>
      </c>
      <c r="E122">
        <v>0</v>
      </c>
      <c r="F122">
        <v>7.3699999999999988E-2</v>
      </c>
      <c r="H122">
        <v>7.4999999999999997E-2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f t="shared" si="1"/>
        <v>122</v>
      </c>
      <c r="B123" t="s">
        <v>20</v>
      </c>
      <c r="C123">
        <v>410.93</v>
      </c>
      <c r="D123">
        <v>172.37</v>
      </c>
      <c r="E123">
        <v>0</v>
      </c>
      <c r="F123">
        <v>7.8699999999999992E-2</v>
      </c>
      <c r="H123">
        <v>8.5999999999999993E-2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>
        <f t="shared" si="1"/>
        <v>123</v>
      </c>
      <c r="B124" t="s">
        <v>20</v>
      </c>
      <c r="C124">
        <v>410.93</v>
      </c>
      <c r="D124">
        <v>189.6</v>
      </c>
      <c r="E124">
        <v>0</v>
      </c>
      <c r="F124">
        <v>8.4099999999999953E-2</v>
      </c>
      <c r="H124">
        <v>9.7799999999999998E-2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>
        <f t="shared" si="1"/>
        <v>124</v>
      </c>
      <c r="B125" t="s">
        <v>20</v>
      </c>
      <c r="C125">
        <v>410.93</v>
      </c>
      <c r="D125">
        <v>206.84</v>
      </c>
      <c r="E125">
        <v>0</v>
      </c>
      <c r="F125">
        <v>8.9600000000000013E-2</v>
      </c>
      <c r="H125">
        <v>0.1106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>
      <c r="A126">
        <f t="shared" si="1"/>
        <v>125</v>
      </c>
      <c r="B126" t="s">
        <v>20</v>
      </c>
      <c r="C126">
        <v>410.93</v>
      </c>
      <c r="D126">
        <v>241.31</v>
      </c>
      <c r="E126">
        <v>0</v>
      </c>
      <c r="F126">
        <v>0.10140000000000005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>
      <c r="A127">
        <f t="shared" si="1"/>
        <v>126</v>
      </c>
      <c r="B127" t="s">
        <v>20</v>
      </c>
      <c r="C127">
        <v>410.93</v>
      </c>
      <c r="D127">
        <v>275.79000000000002</v>
      </c>
      <c r="E127">
        <v>0</v>
      </c>
      <c r="F127">
        <v>0.11299999999999999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>
      <c r="A128">
        <f t="shared" si="1"/>
        <v>127</v>
      </c>
      <c r="B128" t="s">
        <v>20</v>
      </c>
      <c r="C128">
        <v>410.93</v>
      </c>
      <c r="D128">
        <v>310.26</v>
      </c>
      <c r="E128">
        <v>0</v>
      </c>
      <c r="F128">
        <v>0.125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>
      <c r="A129">
        <f t="shared" si="1"/>
        <v>128</v>
      </c>
      <c r="B129" t="s">
        <v>20</v>
      </c>
      <c r="C129">
        <v>410.93</v>
      </c>
      <c r="D129">
        <v>344.73</v>
      </c>
      <c r="E129">
        <v>0</v>
      </c>
      <c r="F129">
        <v>0.13700000000000001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>
      <c r="A130">
        <f t="shared" si="1"/>
        <v>129</v>
      </c>
      <c r="B130" t="s">
        <v>20</v>
      </c>
      <c r="C130">
        <v>444.26</v>
      </c>
      <c r="D130">
        <v>13.79</v>
      </c>
      <c r="E130">
        <v>0</v>
      </c>
      <c r="F130">
        <v>0.60189999999999999</v>
      </c>
      <c r="H130">
        <v>2.8999999999999998E-3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>
      <c r="A131">
        <f t="shared" si="1"/>
        <v>130</v>
      </c>
      <c r="B131" t="s">
        <v>20</v>
      </c>
      <c r="C131">
        <v>444.26</v>
      </c>
      <c r="D131">
        <v>27.58</v>
      </c>
      <c r="E131">
        <v>0</v>
      </c>
      <c r="F131">
        <v>0.31720000000000004</v>
      </c>
      <c r="H131">
        <v>9.4000000000000004E-3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>
      <c r="A132">
        <f t="shared" si="1"/>
        <v>131</v>
      </c>
      <c r="B132" t="s">
        <v>20</v>
      </c>
      <c r="C132">
        <v>444.26</v>
      </c>
      <c r="D132">
        <v>41.37</v>
      </c>
      <c r="E132">
        <v>0</v>
      </c>
      <c r="F132">
        <v>0.2228</v>
      </c>
      <c r="H132">
        <v>1.55E-2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>
      <c r="A133">
        <f t="shared" si="1"/>
        <v>132</v>
      </c>
      <c r="B133" t="s">
        <v>20</v>
      </c>
      <c r="C133">
        <v>444.26</v>
      </c>
      <c r="D133">
        <v>55.16</v>
      </c>
      <c r="E133">
        <v>0</v>
      </c>
      <c r="F133">
        <v>0.17759999999999998</v>
      </c>
      <c r="H133">
        <v>2.1399999999999999E-2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>
        <f t="shared" si="1"/>
        <v>133</v>
      </c>
      <c r="B134" t="s">
        <v>20</v>
      </c>
      <c r="C134">
        <v>444.26</v>
      </c>
      <c r="D134">
        <v>68.95</v>
      </c>
      <c r="E134">
        <v>0</v>
      </c>
      <c r="F134">
        <v>0.15339999999999998</v>
      </c>
      <c r="H134">
        <v>2.7300000000000001E-2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>
        <f t="shared" si="1"/>
        <v>134</v>
      </c>
      <c r="B135" t="s">
        <v>20</v>
      </c>
      <c r="C135">
        <v>444.26</v>
      </c>
      <c r="D135">
        <v>86.18</v>
      </c>
      <c r="E135">
        <v>0</v>
      </c>
      <c r="F135">
        <v>0.13539999999999996</v>
      </c>
      <c r="H135">
        <v>3.5099999999999999E-2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>
      <c r="A136">
        <f t="shared" si="1"/>
        <v>135</v>
      </c>
      <c r="B136" t="s">
        <v>20</v>
      </c>
      <c r="C136">
        <v>444.26</v>
      </c>
      <c r="D136">
        <v>103.42</v>
      </c>
      <c r="E136">
        <v>0</v>
      </c>
      <c r="F136">
        <v>0.12580000000000002</v>
      </c>
      <c r="H136">
        <v>4.3499999999999997E-2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>
      <c r="A137">
        <f t="shared" si="1"/>
        <v>136</v>
      </c>
      <c r="B137" t="s">
        <v>20</v>
      </c>
      <c r="C137">
        <v>444.26</v>
      </c>
      <c r="D137">
        <v>120.66</v>
      </c>
      <c r="E137">
        <v>0</v>
      </c>
      <c r="F137">
        <v>0.12119999999999997</v>
      </c>
      <c r="H137">
        <v>5.1999999999999998E-2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>
      <c r="A138">
        <f t="shared" si="1"/>
        <v>137</v>
      </c>
      <c r="B138" t="s">
        <v>20</v>
      </c>
      <c r="C138">
        <v>444.26</v>
      </c>
      <c r="D138">
        <v>137.88999999999999</v>
      </c>
      <c r="E138">
        <v>0</v>
      </c>
      <c r="F138">
        <v>0.12029999999999996</v>
      </c>
      <c r="H138">
        <v>6.0999999999999999E-2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>
        <f t="shared" si="1"/>
        <v>138</v>
      </c>
      <c r="B139" t="s">
        <v>20</v>
      </c>
      <c r="C139">
        <v>444.26</v>
      </c>
      <c r="D139">
        <v>155.13</v>
      </c>
      <c r="E139">
        <v>0</v>
      </c>
      <c r="F139">
        <v>0.12209999999999999</v>
      </c>
      <c r="H139">
        <v>7.0499999999999993E-2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>
      <c r="A140">
        <f t="shared" si="1"/>
        <v>139</v>
      </c>
      <c r="B140" t="s">
        <v>20</v>
      </c>
      <c r="C140">
        <v>444.26</v>
      </c>
      <c r="D140">
        <v>172.37</v>
      </c>
      <c r="E140">
        <v>0</v>
      </c>
      <c r="F140">
        <v>0.126</v>
      </c>
      <c r="H140">
        <v>8.0500000000000002E-2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>
      <c r="A141">
        <f t="shared" si="1"/>
        <v>140</v>
      </c>
      <c r="B141" t="s">
        <v>20</v>
      </c>
      <c r="C141">
        <v>444.26</v>
      </c>
      <c r="D141">
        <v>189.6</v>
      </c>
      <c r="E141">
        <v>0</v>
      </c>
      <c r="F141">
        <v>0.13190000000000002</v>
      </c>
      <c r="H141">
        <v>9.0999999999999998E-2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>
        <f t="shared" si="1"/>
        <v>141</v>
      </c>
      <c r="B142" t="s">
        <v>20</v>
      </c>
      <c r="C142">
        <v>444.26</v>
      </c>
      <c r="D142">
        <v>275.79000000000002</v>
      </c>
      <c r="E142">
        <v>0</v>
      </c>
      <c r="F142">
        <v>0.13939999999999997</v>
      </c>
      <c r="H142">
        <v>0.1024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>
        <f t="shared" si="1"/>
        <v>142</v>
      </c>
      <c r="B143" t="s">
        <v>20</v>
      </c>
      <c r="C143">
        <v>444.26</v>
      </c>
      <c r="D143">
        <v>241.31</v>
      </c>
      <c r="E143">
        <v>0</v>
      </c>
      <c r="F143">
        <v>0.15639999999999998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>
      <c r="A144">
        <f t="shared" si="1"/>
        <v>143</v>
      </c>
      <c r="B144" t="s">
        <v>20</v>
      </c>
      <c r="C144">
        <v>444.26</v>
      </c>
      <c r="D144">
        <v>275.79000000000002</v>
      </c>
      <c r="E144">
        <v>0</v>
      </c>
      <c r="F144">
        <v>0.17520000000000002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>
      <c r="A145">
        <f t="shared" si="1"/>
        <v>144</v>
      </c>
      <c r="B145" t="s">
        <v>20</v>
      </c>
      <c r="C145">
        <v>444.26</v>
      </c>
      <c r="D145">
        <v>310.26</v>
      </c>
      <c r="E145">
        <v>0</v>
      </c>
      <c r="F145">
        <v>0.19389999999999996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>
        <f t="shared" si="1"/>
        <v>145</v>
      </c>
      <c r="B146" t="s">
        <v>20</v>
      </c>
      <c r="C146">
        <v>444.26</v>
      </c>
      <c r="D146">
        <v>344.73</v>
      </c>
      <c r="E146">
        <v>0</v>
      </c>
      <c r="F146">
        <v>0.21360000000000001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f t="shared" si="1"/>
        <v>146</v>
      </c>
      <c r="B147" t="s">
        <v>28</v>
      </c>
      <c r="C147">
        <v>273.14999999999998</v>
      </c>
      <c r="D147">
        <v>1.0189999999999999</v>
      </c>
      <c r="E147">
        <v>0</v>
      </c>
      <c r="G147">
        <v>1.4519999999999999E-3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f t="shared" si="1"/>
        <v>147</v>
      </c>
      <c r="B148" t="s">
        <v>28</v>
      </c>
      <c r="C148">
        <v>274.14999999999998</v>
      </c>
      <c r="D148">
        <v>1.02</v>
      </c>
      <c r="E148">
        <v>0</v>
      </c>
      <c r="G148">
        <v>1.3910000000000001E-3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>
        <f t="shared" si="1"/>
        <v>148</v>
      </c>
      <c r="B149" t="s">
        <v>28</v>
      </c>
      <c r="C149">
        <v>275.14999999999998</v>
      </c>
      <c r="D149">
        <v>1.02</v>
      </c>
      <c r="E149">
        <v>0</v>
      </c>
      <c r="G149">
        <v>1.3320000000000001E-3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>
      <c r="A150">
        <f t="shared" si="1"/>
        <v>149</v>
      </c>
      <c r="B150" t="s">
        <v>28</v>
      </c>
      <c r="C150">
        <v>276.14999999999998</v>
      </c>
      <c r="D150">
        <v>1.0209999999999999</v>
      </c>
      <c r="E150">
        <v>0</v>
      </c>
      <c r="G150">
        <v>1.276E-3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>
        <f t="shared" si="1"/>
        <v>150</v>
      </c>
      <c r="B151" t="s">
        <v>28</v>
      </c>
      <c r="C151">
        <v>277.14999999999998</v>
      </c>
      <c r="D151">
        <v>1.0209999999999999</v>
      </c>
      <c r="E151">
        <v>0</v>
      </c>
      <c r="G151">
        <v>1.2230000000000001E-3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>
      <c r="A152">
        <f t="shared" si="1"/>
        <v>151</v>
      </c>
      <c r="B152" t="s">
        <v>28</v>
      </c>
      <c r="C152">
        <v>278.14999999999998</v>
      </c>
      <c r="D152">
        <v>1.022</v>
      </c>
      <c r="E152">
        <v>0</v>
      </c>
      <c r="G152">
        <v>1.1719999999999999E-3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>
      <c r="A153">
        <f t="shared" si="1"/>
        <v>152</v>
      </c>
      <c r="B153" t="s">
        <v>28</v>
      </c>
      <c r="C153">
        <v>279.14999999999998</v>
      </c>
      <c r="D153">
        <v>1.0229999999999999</v>
      </c>
      <c r="E153">
        <v>0</v>
      </c>
      <c r="G153">
        <v>1.1240000000000002E-3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>
      <c r="A154">
        <f t="shared" si="1"/>
        <v>153</v>
      </c>
      <c r="B154" t="s">
        <v>28</v>
      </c>
      <c r="C154">
        <v>280.14999999999998</v>
      </c>
      <c r="D154">
        <v>1.0229999999999999</v>
      </c>
      <c r="E154">
        <v>0</v>
      </c>
      <c r="G154">
        <v>1.103E-3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>
      <c r="A155">
        <f t="shared" si="1"/>
        <v>154</v>
      </c>
      <c r="B155" t="s">
        <v>28</v>
      </c>
      <c r="C155">
        <v>281.14999999999998</v>
      </c>
      <c r="D155">
        <v>1.024</v>
      </c>
      <c r="E155">
        <v>0</v>
      </c>
      <c r="G155">
        <v>1.036E-3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>
      <c r="A156">
        <f t="shared" si="1"/>
        <v>155</v>
      </c>
      <c r="B156" t="s">
        <v>28</v>
      </c>
      <c r="C156">
        <v>282.14999999999998</v>
      </c>
      <c r="D156">
        <v>1.0249999999999999</v>
      </c>
      <c r="E156">
        <v>0</v>
      </c>
      <c r="G156">
        <v>9.9550000000000007E-4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>
      <c r="A157">
        <f t="shared" si="1"/>
        <v>156</v>
      </c>
      <c r="B157" t="s">
        <v>28</v>
      </c>
      <c r="C157">
        <v>283.14999999999998</v>
      </c>
      <c r="D157">
        <v>1.026</v>
      </c>
      <c r="E157">
        <v>0</v>
      </c>
      <c r="G157">
        <v>9.5809999999999992E-4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>
      <c r="A158">
        <f t="shared" si="1"/>
        <v>157</v>
      </c>
      <c r="B158" t="s">
        <v>28</v>
      </c>
      <c r="C158">
        <v>284.14999999999998</v>
      </c>
      <c r="D158">
        <v>1.0269999999999999</v>
      </c>
      <c r="E158">
        <v>0</v>
      </c>
      <c r="G158">
        <v>9.2330000000000005E-4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>
      <c r="A159">
        <f t="shared" si="1"/>
        <v>158</v>
      </c>
      <c r="B159" t="s">
        <v>28</v>
      </c>
      <c r="C159">
        <v>285.14999999999998</v>
      </c>
      <c r="D159">
        <v>1.028</v>
      </c>
      <c r="E159">
        <v>0</v>
      </c>
      <c r="G159">
        <v>8.9130000000000003E-4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>
      <c r="A160">
        <f t="shared" si="1"/>
        <v>159</v>
      </c>
      <c r="B160" t="s">
        <v>28</v>
      </c>
      <c r="C160">
        <v>286.14999999999998</v>
      </c>
      <c r="D160">
        <v>1.0289999999999999</v>
      </c>
      <c r="E160">
        <v>0</v>
      </c>
      <c r="G160">
        <v>8.6189999999999997E-4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>
      <c r="A161">
        <f t="shared" si="1"/>
        <v>160</v>
      </c>
      <c r="B161" t="s">
        <v>28</v>
      </c>
      <c r="C161">
        <v>287.14999999999998</v>
      </c>
      <c r="D161">
        <v>1.03</v>
      </c>
      <c r="E161">
        <v>0</v>
      </c>
      <c r="G161">
        <v>8.3520000000000003E-4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>
      <c r="A162">
        <f t="shared" si="1"/>
        <v>161</v>
      </c>
      <c r="B162" t="s">
        <v>28</v>
      </c>
      <c r="C162">
        <v>288.14999999999998</v>
      </c>
      <c r="D162">
        <v>1.03</v>
      </c>
      <c r="E162">
        <v>0</v>
      </c>
      <c r="G162">
        <v>8.1089999999999992E-4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>
      <c r="A163">
        <f t="shared" si="1"/>
        <v>162</v>
      </c>
      <c r="B163" t="s">
        <v>28</v>
      </c>
      <c r="C163">
        <v>289.14999999999998</v>
      </c>
      <c r="D163">
        <v>1.0309999999999999</v>
      </c>
      <c r="E163">
        <v>0</v>
      </c>
      <c r="G163">
        <v>7.8990000000000006E-4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>
      <c r="A164">
        <f t="shared" si="1"/>
        <v>163</v>
      </c>
      <c r="B164" t="s">
        <v>28</v>
      </c>
      <c r="C164">
        <v>290.14999999999998</v>
      </c>
      <c r="D164">
        <v>1.0329999999999999</v>
      </c>
      <c r="E164">
        <v>0</v>
      </c>
      <c r="G164">
        <v>7.8120000000000002E-4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>
      <c r="A165">
        <f t="shared" si="1"/>
        <v>164</v>
      </c>
      <c r="B165" t="s">
        <v>28</v>
      </c>
      <c r="C165">
        <v>291.14999999999998</v>
      </c>
      <c r="D165">
        <v>1.034</v>
      </c>
      <c r="E165">
        <v>0</v>
      </c>
      <c r="G165">
        <v>7.5449999999999996E-4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>
      <c r="A166">
        <f t="shared" ref="A166:A229" si="2">A165+1</f>
        <v>165</v>
      </c>
      <c r="B166" t="s">
        <v>28</v>
      </c>
      <c r="C166">
        <v>292.14999999999998</v>
      </c>
      <c r="D166">
        <v>1.0349999999999999</v>
      </c>
      <c r="E166">
        <v>0</v>
      </c>
      <c r="G166">
        <v>7.4109999999999996E-4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>
      <c r="A167">
        <f t="shared" si="2"/>
        <v>166</v>
      </c>
      <c r="B167" t="s">
        <v>28</v>
      </c>
      <c r="C167">
        <v>293.14999999999998</v>
      </c>
      <c r="D167">
        <v>1.0369999999999999</v>
      </c>
      <c r="E167">
        <v>0</v>
      </c>
      <c r="G167">
        <v>7.3019999999999997E-4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>
      <c r="A168">
        <f t="shared" si="2"/>
        <v>167</v>
      </c>
      <c r="B168" t="s">
        <v>27</v>
      </c>
      <c r="C168">
        <v>277.55</v>
      </c>
      <c r="D168">
        <v>1.022</v>
      </c>
      <c r="E168">
        <v>0</v>
      </c>
      <c r="G168">
        <v>1.188E-3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>
      <c r="A169">
        <f t="shared" si="2"/>
        <v>168</v>
      </c>
      <c r="B169" t="s">
        <v>27</v>
      </c>
      <c r="C169">
        <v>281.55</v>
      </c>
      <c r="D169">
        <v>1.024</v>
      </c>
      <c r="E169">
        <v>0</v>
      </c>
      <c r="G169">
        <v>1.005E-3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>
      <c r="A170">
        <f t="shared" si="2"/>
        <v>169</v>
      </c>
      <c r="B170" t="s">
        <v>27</v>
      </c>
      <c r="C170">
        <v>286.95</v>
      </c>
      <c r="D170">
        <v>1.0289999999999999</v>
      </c>
      <c r="E170">
        <v>0</v>
      </c>
      <c r="G170">
        <v>8.6210000000000008E-4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>
      <c r="A171">
        <f t="shared" si="2"/>
        <v>170</v>
      </c>
      <c r="B171" t="s">
        <v>27</v>
      </c>
      <c r="C171">
        <v>289.25</v>
      </c>
      <c r="D171">
        <v>1.032</v>
      </c>
      <c r="E171">
        <v>0</v>
      </c>
      <c r="G171">
        <v>7.8459999999999999E-4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>
      <c r="A172">
        <f t="shared" si="2"/>
        <v>171</v>
      </c>
      <c r="B172" t="s">
        <v>27</v>
      </c>
      <c r="C172">
        <v>292.25</v>
      </c>
      <c r="D172">
        <v>1.0349999999999999</v>
      </c>
      <c r="E172">
        <v>0</v>
      </c>
      <c r="G172">
        <v>7.2599999999999997E-4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>
      <c r="A173">
        <f t="shared" si="2"/>
        <v>172</v>
      </c>
      <c r="B173" t="s">
        <v>29</v>
      </c>
      <c r="C173">
        <v>295.55</v>
      </c>
      <c r="D173">
        <v>1.04</v>
      </c>
      <c r="E173">
        <v>0</v>
      </c>
      <c r="G173">
        <v>7.0049999999999995E-4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>
      <c r="A174">
        <f t="shared" si="2"/>
        <v>173</v>
      </c>
      <c r="B174" t="s">
        <v>29</v>
      </c>
      <c r="C174">
        <v>288.14999999999998</v>
      </c>
      <c r="D174">
        <v>0.94699999999999995</v>
      </c>
      <c r="E174">
        <v>0</v>
      </c>
      <c r="G174">
        <v>7.6409999999999998E-4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>
      <c r="A175">
        <f t="shared" si="2"/>
        <v>174</v>
      </c>
      <c r="B175" t="s">
        <v>29</v>
      </c>
      <c r="C175">
        <v>288.14999999999998</v>
      </c>
      <c r="D175">
        <v>1.0960000000000001</v>
      </c>
      <c r="E175">
        <v>0</v>
      </c>
      <c r="G175">
        <v>9.4020000000000009E-4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>
      <c r="A176">
        <f t="shared" si="2"/>
        <v>175</v>
      </c>
      <c r="B176" t="s">
        <v>29</v>
      </c>
      <c r="C176">
        <v>288.14999999999998</v>
      </c>
      <c r="D176">
        <v>1.736</v>
      </c>
      <c r="E176">
        <v>0</v>
      </c>
      <c r="G176">
        <v>1.508E-3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>
      <c r="A177">
        <f t="shared" si="2"/>
        <v>176</v>
      </c>
      <c r="B177" t="s">
        <v>29</v>
      </c>
      <c r="C177">
        <v>288.14999999999998</v>
      </c>
      <c r="D177">
        <v>1.9770000000000001</v>
      </c>
      <c r="E177">
        <v>0</v>
      </c>
      <c r="G177">
        <v>1.748E-3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>
      <c r="A178">
        <f t="shared" si="2"/>
        <v>177</v>
      </c>
      <c r="B178" t="s">
        <v>29</v>
      </c>
      <c r="C178">
        <v>288.14999999999998</v>
      </c>
      <c r="D178">
        <v>2.6859999999999999</v>
      </c>
      <c r="E178">
        <v>0</v>
      </c>
      <c r="G178">
        <v>2.3490000000000004E-3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>
      <c r="A179">
        <f t="shared" si="2"/>
        <v>178</v>
      </c>
      <c r="B179" t="s">
        <v>29</v>
      </c>
      <c r="C179">
        <v>288.14999999999998</v>
      </c>
      <c r="D179">
        <v>2.9350000000000001</v>
      </c>
      <c r="E179">
        <v>0</v>
      </c>
      <c r="G179">
        <v>2.5659999999999997E-3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>
      <c r="A180">
        <f t="shared" si="2"/>
        <v>179</v>
      </c>
      <c r="B180" t="s">
        <v>29</v>
      </c>
      <c r="C180">
        <v>288.14999999999998</v>
      </c>
      <c r="D180">
        <v>3.1749999999999998</v>
      </c>
      <c r="E180">
        <v>0</v>
      </c>
      <c r="G180">
        <v>2.8149999999999998E-3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>
      <c r="A181">
        <f t="shared" si="2"/>
        <v>180</v>
      </c>
      <c r="B181" t="s">
        <v>29</v>
      </c>
      <c r="C181">
        <v>288.14999999999998</v>
      </c>
      <c r="D181">
        <v>3.4220000000000002</v>
      </c>
      <c r="E181">
        <v>0</v>
      </c>
      <c r="G181">
        <v>3.0000000000000001E-3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>
      <c r="A182">
        <f t="shared" si="2"/>
        <v>181</v>
      </c>
      <c r="B182" t="s">
        <v>29</v>
      </c>
      <c r="C182">
        <v>288.14999999999998</v>
      </c>
      <c r="D182">
        <v>3.6680000000000001</v>
      </c>
      <c r="E182">
        <v>0</v>
      </c>
      <c r="G182">
        <v>3.2320000000000001E-3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>
      <c r="A183">
        <f t="shared" si="2"/>
        <v>182</v>
      </c>
      <c r="B183" t="s">
        <v>29</v>
      </c>
      <c r="C183">
        <v>288.14999999999998</v>
      </c>
      <c r="D183">
        <v>4.1630000000000003</v>
      </c>
      <c r="E183">
        <v>0</v>
      </c>
      <c r="G183">
        <v>3.6320000000000002E-3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>
      <c r="A184">
        <f t="shared" si="2"/>
        <v>183</v>
      </c>
      <c r="B184" t="s">
        <v>30</v>
      </c>
      <c r="C184">
        <v>310.44</v>
      </c>
      <c r="D184">
        <v>1.006</v>
      </c>
      <c r="E184">
        <v>0</v>
      </c>
      <c r="G184">
        <v>4.5839999999999998E-4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>
      <c r="A185">
        <f t="shared" si="2"/>
        <v>184</v>
      </c>
      <c r="B185" t="s">
        <v>30</v>
      </c>
      <c r="C185">
        <v>373.15</v>
      </c>
      <c r="D185">
        <v>1.871</v>
      </c>
      <c r="E185">
        <v>0</v>
      </c>
      <c r="G185">
        <v>2.0579999999999999E-4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>
      <c r="A186">
        <f t="shared" si="2"/>
        <v>185</v>
      </c>
      <c r="B186" t="s">
        <v>32</v>
      </c>
      <c r="C186">
        <v>273.25</v>
      </c>
      <c r="D186">
        <v>1.0189999999999999</v>
      </c>
      <c r="E186">
        <v>0</v>
      </c>
      <c r="G186">
        <v>1.379E-3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>
      <c r="A187">
        <f t="shared" si="2"/>
        <v>186</v>
      </c>
      <c r="B187" t="s">
        <v>32</v>
      </c>
      <c r="C187">
        <v>276.95</v>
      </c>
      <c r="D187">
        <v>1.0209999999999999</v>
      </c>
      <c r="E187">
        <v>0</v>
      </c>
      <c r="G187">
        <v>1.206E-3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>
      <c r="A188">
        <f t="shared" si="2"/>
        <v>187</v>
      </c>
      <c r="B188" t="s">
        <v>32</v>
      </c>
      <c r="C188">
        <v>279.95</v>
      </c>
      <c r="D188">
        <v>1.0229999999999999</v>
      </c>
      <c r="E188">
        <v>0</v>
      </c>
      <c r="G188">
        <v>1.0839999999999999E-3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>
        <f t="shared" si="2"/>
        <v>188</v>
      </c>
      <c r="B189" t="s">
        <v>32</v>
      </c>
      <c r="C189">
        <v>285.95</v>
      </c>
      <c r="D189">
        <v>1.028</v>
      </c>
      <c r="E189">
        <v>0</v>
      </c>
      <c r="G189">
        <v>8.8869999999999997E-4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>
      <c r="A190">
        <f t="shared" si="2"/>
        <v>189</v>
      </c>
      <c r="B190" t="s">
        <v>32</v>
      </c>
      <c r="C190">
        <v>287.95</v>
      </c>
      <c r="D190">
        <v>1.03</v>
      </c>
      <c r="E190">
        <v>0</v>
      </c>
      <c r="G190">
        <v>8.2810000000000002E-4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>
      <c r="A191">
        <f t="shared" si="2"/>
        <v>190</v>
      </c>
      <c r="B191" t="s">
        <v>32</v>
      </c>
      <c r="C191">
        <v>292.05</v>
      </c>
      <c r="D191">
        <v>1.0349999999999999</v>
      </c>
      <c r="E191">
        <v>0</v>
      </c>
      <c r="G191">
        <v>7.3930000000000003E-4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>
      <c r="A192">
        <f t="shared" si="2"/>
        <v>191</v>
      </c>
      <c r="B192" t="s">
        <v>32</v>
      </c>
      <c r="C192">
        <v>294.35000000000002</v>
      </c>
      <c r="D192">
        <v>1.038</v>
      </c>
      <c r="E192">
        <v>0</v>
      </c>
      <c r="G192">
        <v>6.8860000000000004E-4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>
      <c r="A193">
        <f t="shared" si="2"/>
        <v>192</v>
      </c>
      <c r="B193" t="s">
        <v>32</v>
      </c>
      <c r="C193">
        <v>295.75</v>
      </c>
      <c r="D193">
        <v>1.0409999999999999</v>
      </c>
      <c r="E193">
        <v>0</v>
      </c>
      <c r="G193">
        <v>6.5959999999999999E-4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>
      <c r="A194">
        <f t="shared" si="2"/>
        <v>193</v>
      </c>
      <c r="B194" t="s">
        <v>32</v>
      </c>
      <c r="C194">
        <v>299.35000000000002</v>
      </c>
      <c r="D194">
        <v>1.0469999999999999</v>
      </c>
      <c r="E194">
        <v>0</v>
      </c>
      <c r="G194">
        <v>5.9349999999999995E-4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>
      <c r="A195">
        <f t="shared" si="2"/>
        <v>194</v>
      </c>
      <c r="B195" t="s">
        <v>32</v>
      </c>
      <c r="C195">
        <v>304.25</v>
      </c>
      <c r="D195">
        <v>1.0580000000000001</v>
      </c>
      <c r="E195">
        <v>0</v>
      </c>
      <c r="G195">
        <v>5.2720000000000002E-4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>
      <c r="A196">
        <f t="shared" si="2"/>
        <v>195</v>
      </c>
      <c r="B196" t="s">
        <v>32</v>
      </c>
      <c r="C196">
        <v>310.45</v>
      </c>
      <c r="D196">
        <v>1.077</v>
      </c>
      <c r="E196">
        <v>0</v>
      </c>
      <c r="G196">
        <v>4.5839999999999998E-4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>
      <c r="A197">
        <f t="shared" si="2"/>
        <v>196</v>
      </c>
      <c r="B197" t="s">
        <v>32</v>
      </c>
      <c r="C197">
        <v>313.55</v>
      </c>
      <c r="D197">
        <v>1.089</v>
      </c>
      <c r="E197">
        <v>0</v>
      </c>
      <c r="G197">
        <v>4.325E-4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>
      <c r="A198">
        <f t="shared" si="2"/>
        <v>197</v>
      </c>
      <c r="B198" t="s">
        <v>32</v>
      </c>
      <c r="C198">
        <v>317.05</v>
      </c>
      <c r="D198">
        <v>1.1040000000000001</v>
      </c>
      <c r="E198">
        <v>0</v>
      </c>
      <c r="G198">
        <v>4.0049999999999998E-4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>
      <c r="A199">
        <f t="shared" si="2"/>
        <v>198</v>
      </c>
      <c r="B199" t="s">
        <v>32</v>
      </c>
      <c r="C199">
        <v>322.95</v>
      </c>
      <c r="D199">
        <v>1.135</v>
      </c>
      <c r="E199">
        <v>0</v>
      </c>
      <c r="G199">
        <v>3.5879999999999999E-4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>
      <c r="A200">
        <f t="shared" si="2"/>
        <v>199</v>
      </c>
      <c r="B200" t="s">
        <v>32</v>
      </c>
      <c r="C200">
        <v>334.55</v>
      </c>
      <c r="D200">
        <v>1.226</v>
      </c>
      <c r="E200">
        <v>0</v>
      </c>
      <c r="G200">
        <v>2.8889999999999997E-4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>
      <c r="A201">
        <f t="shared" si="2"/>
        <v>200</v>
      </c>
      <c r="B201" t="s">
        <v>33</v>
      </c>
      <c r="C201">
        <v>298.14999999999998</v>
      </c>
      <c r="D201">
        <v>0.99099999999999999</v>
      </c>
      <c r="E201">
        <v>0</v>
      </c>
      <c r="G201">
        <v>5.8900000000000001E-4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>
      <c r="A202">
        <f t="shared" si="2"/>
        <v>201</v>
      </c>
      <c r="B202" t="s">
        <v>33</v>
      </c>
      <c r="C202">
        <v>298.14999999999998</v>
      </c>
      <c r="D202">
        <v>1.0029999999999999</v>
      </c>
      <c r="E202">
        <v>0</v>
      </c>
      <c r="G202">
        <v>5.9699999999999998E-4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>
      <c r="A203">
        <f t="shared" si="2"/>
        <v>202</v>
      </c>
      <c r="B203" t="s">
        <v>33</v>
      </c>
      <c r="C203">
        <v>298.14999999999998</v>
      </c>
      <c r="D203">
        <v>1.0669999999999999</v>
      </c>
      <c r="E203">
        <v>0</v>
      </c>
      <c r="G203">
        <v>6.3299999999999999E-4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>
      <c r="A204">
        <f t="shared" si="2"/>
        <v>203</v>
      </c>
      <c r="B204" t="s">
        <v>33</v>
      </c>
      <c r="C204">
        <v>298.14999999999998</v>
      </c>
      <c r="D204">
        <v>1.121</v>
      </c>
      <c r="E204">
        <v>0</v>
      </c>
      <c r="G204">
        <v>6.6699999999999995E-4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>
      <c r="A205">
        <f t="shared" si="2"/>
        <v>204</v>
      </c>
      <c r="B205" t="s">
        <v>33</v>
      </c>
      <c r="C205">
        <v>298.14999999999998</v>
      </c>
      <c r="D205">
        <v>1.2729999999999999</v>
      </c>
      <c r="E205">
        <v>0</v>
      </c>
      <c r="G205">
        <v>7.5699999999999997E-4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>
      <c r="A206">
        <f t="shared" si="2"/>
        <v>205</v>
      </c>
      <c r="B206" t="s">
        <v>33</v>
      </c>
      <c r="C206">
        <v>298.14999999999998</v>
      </c>
      <c r="D206">
        <v>1.393</v>
      </c>
      <c r="E206">
        <v>0</v>
      </c>
      <c r="G206">
        <v>8.2899999999999998E-4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>
      <c r="A207">
        <f t="shared" si="2"/>
        <v>206</v>
      </c>
      <c r="B207" t="s">
        <v>33</v>
      </c>
      <c r="C207">
        <v>298.14999999999998</v>
      </c>
      <c r="D207">
        <v>1.4179999999999999</v>
      </c>
      <c r="E207">
        <v>0</v>
      </c>
      <c r="G207">
        <v>8.5400000000000005E-4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>
      <c r="A208">
        <f t="shared" si="2"/>
        <v>207</v>
      </c>
      <c r="B208" t="s">
        <v>33</v>
      </c>
      <c r="C208">
        <v>298.14999999999998</v>
      </c>
      <c r="D208">
        <v>1.5369999999999999</v>
      </c>
      <c r="E208">
        <v>0</v>
      </c>
      <c r="G208">
        <v>9.1600000000000004E-4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>
      <c r="A209">
        <f t="shared" si="2"/>
        <v>208</v>
      </c>
      <c r="B209" t="s">
        <v>33</v>
      </c>
      <c r="C209">
        <v>298.14999999999998</v>
      </c>
      <c r="D209">
        <v>1.657</v>
      </c>
      <c r="E209">
        <v>0</v>
      </c>
      <c r="G209">
        <v>9.8799999999999995E-4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>
      <c r="A210">
        <f t="shared" si="2"/>
        <v>209</v>
      </c>
      <c r="B210" t="s">
        <v>33</v>
      </c>
      <c r="C210">
        <v>298.14999999999998</v>
      </c>
      <c r="D210">
        <v>1.8009999999999999</v>
      </c>
      <c r="E210">
        <v>0</v>
      </c>
      <c r="G210">
        <v>1.075E-3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>
      <c r="A211">
        <f t="shared" si="2"/>
        <v>210</v>
      </c>
      <c r="B211" t="s">
        <v>35</v>
      </c>
      <c r="C211">
        <v>298.14999999999998</v>
      </c>
      <c r="D211">
        <v>0.35099999999999998</v>
      </c>
      <c r="E211">
        <v>0</v>
      </c>
      <c r="G211">
        <v>2.0900000000000001E-4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>
      <c r="A212">
        <f t="shared" si="2"/>
        <v>211</v>
      </c>
      <c r="B212" t="s">
        <v>35</v>
      </c>
      <c r="C212">
        <v>298.14999999999998</v>
      </c>
      <c r="D212">
        <v>0.36099999999999999</v>
      </c>
      <c r="E212">
        <v>0</v>
      </c>
      <c r="G212">
        <v>2.1499999999999999E-4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>
      <c r="A213">
        <f t="shared" si="2"/>
        <v>212</v>
      </c>
      <c r="B213" t="s">
        <v>35</v>
      </c>
      <c r="C213">
        <v>298.14999999999998</v>
      </c>
      <c r="D213">
        <v>0.50900000000000001</v>
      </c>
      <c r="E213">
        <v>0</v>
      </c>
      <c r="G213">
        <v>3.0200000000000002E-4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>
      <c r="A214">
        <f t="shared" si="2"/>
        <v>213</v>
      </c>
      <c r="B214" t="s">
        <v>35</v>
      </c>
      <c r="C214">
        <v>298.14999999999998</v>
      </c>
      <c r="D214">
        <v>0.52300000000000002</v>
      </c>
      <c r="E214">
        <v>0</v>
      </c>
      <c r="G214">
        <v>3.0899999999999998E-4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>
      <c r="A215">
        <f t="shared" si="2"/>
        <v>214</v>
      </c>
      <c r="B215" t="s">
        <v>35</v>
      </c>
      <c r="C215">
        <v>298.14999999999998</v>
      </c>
      <c r="D215">
        <v>0.63900000000000001</v>
      </c>
      <c r="E215">
        <v>0</v>
      </c>
      <c r="G215">
        <v>3.8000000000000002E-4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>
      <c r="A216">
        <f t="shared" si="2"/>
        <v>215</v>
      </c>
      <c r="B216" t="s">
        <v>35</v>
      </c>
      <c r="C216">
        <v>298.14999999999998</v>
      </c>
      <c r="D216">
        <v>0.66</v>
      </c>
      <c r="E216">
        <v>0</v>
      </c>
      <c r="G216">
        <v>3.9199999999999999E-4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>
      <c r="A217">
        <f t="shared" si="2"/>
        <v>216</v>
      </c>
      <c r="B217" t="s">
        <v>35</v>
      </c>
      <c r="C217">
        <v>298.14999999999998</v>
      </c>
      <c r="D217">
        <v>0.86799999999999999</v>
      </c>
      <c r="E217">
        <v>0</v>
      </c>
      <c r="G217">
        <v>5.1599999999999997E-4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>
      <c r="A218">
        <f t="shared" si="2"/>
        <v>217</v>
      </c>
      <c r="B218" t="s">
        <v>35</v>
      </c>
      <c r="C218">
        <v>298.14999999999998</v>
      </c>
      <c r="D218">
        <v>0.88900000000000001</v>
      </c>
      <c r="E218">
        <v>0</v>
      </c>
      <c r="G218">
        <v>5.2899999999999996E-4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>
      <c r="A219">
        <f t="shared" si="2"/>
        <v>218</v>
      </c>
      <c r="B219" t="s">
        <v>35</v>
      </c>
      <c r="C219">
        <v>298.14999999999998</v>
      </c>
      <c r="D219">
        <v>1.0029999999999999</v>
      </c>
      <c r="E219">
        <v>0</v>
      </c>
      <c r="G219">
        <v>5.9699999999999998E-4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>
      <c r="A220">
        <f t="shared" si="2"/>
        <v>219</v>
      </c>
      <c r="B220" t="s">
        <v>35</v>
      </c>
      <c r="C220">
        <v>298.14999999999998</v>
      </c>
      <c r="D220">
        <v>1.024</v>
      </c>
      <c r="E220">
        <v>0</v>
      </c>
      <c r="G220">
        <v>6.0899999999999995E-4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>
      <c r="A221">
        <f t="shared" si="2"/>
        <v>220</v>
      </c>
      <c r="B221" t="s">
        <v>36</v>
      </c>
      <c r="C221">
        <v>293.14999999999998</v>
      </c>
      <c r="D221">
        <v>1.0129999999999999</v>
      </c>
      <c r="E221">
        <v>0</v>
      </c>
      <c r="G221">
        <v>6.6270000000000001E-4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>
      <c r="A222">
        <f t="shared" si="2"/>
        <v>221</v>
      </c>
      <c r="B222" t="s">
        <v>36</v>
      </c>
      <c r="C222">
        <v>295.14999999999998</v>
      </c>
      <c r="D222">
        <v>1.0129999999999999</v>
      </c>
      <c r="E222">
        <v>0</v>
      </c>
      <c r="G222">
        <v>6.3599999999999996E-4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>
      <c r="A223">
        <f t="shared" si="2"/>
        <v>222</v>
      </c>
      <c r="B223" t="s">
        <v>36</v>
      </c>
      <c r="C223">
        <v>297.14999999999998</v>
      </c>
      <c r="D223">
        <v>1.0129999999999999</v>
      </c>
      <c r="E223">
        <v>0</v>
      </c>
      <c r="G223">
        <v>6.0380000000000004E-4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>
      <c r="A224">
        <f t="shared" si="2"/>
        <v>223</v>
      </c>
      <c r="B224" t="s">
        <v>36</v>
      </c>
      <c r="C224">
        <v>299.14999999999998</v>
      </c>
      <c r="D224">
        <v>1.0129999999999999</v>
      </c>
      <c r="E224">
        <v>0</v>
      </c>
      <c r="G224">
        <v>5.7200000000000003E-4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>
      <c r="A225">
        <f t="shared" si="2"/>
        <v>224</v>
      </c>
      <c r="B225" t="s">
        <v>36</v>
      </c>
      <c r="C225">
        <v>301.14999999999998</v>
      </c>
      <c r="D225">
        <v>1.0129999999999999</v>
      </c>
      <c r="E225">
        <v>0</v>
      </c>
      <c r="G225">
        <v>5.4120000000000004E-4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>
      <c r="A226">
        <f t="shared" si="2"/>
        <v>225</v>
      </c>
      <c r="B226" t="s">
        <v>36</v>
      </c>
      <c r="C226">
        <v>303.14999999999998</v>
      </c>
      <c r="D226">
        <v>1.0129999999999999</v>
      </c>
      <c r="E226">
        <v>0</v>
      </c>
      <c r="G226">
        <v>5.1020000000000004E-4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>
      <c r="A227">
        <f t="shared" si="2"/>
        <v>226</v>
      </c>
      <c r="B227" t="s">
        <v>36</v>
      </c>
      <c r="C227">
        <v>305.14999999999998</v>
      </c>
      <c r="D227">
        <v>1.0129999999999999</v>
      </c>
      <c r="E227">
        <v>0</v>
      </c>
      <c r="G227">
        <v>4.795E-4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>
      <c r="A228">
        <f t="shared" si="2"/>
        <v>227</v>
      </c>
      <c r="B228" t="s">
        <v>36</v>
      </c>
      <c r="C228">
        <v>307.14999999999998</v>
      </c>
      <c r="D228">
        <v>1.0129999999999999</v>
      </c>
      <c r="E228">
        <v>0</v>
      </c>
      <c r="G228">
        <v>4.4860000000000001E-4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>
      <c r="A229">
        <f t="shared" si="2"/>
        <v>228</v>
      </c>
      <c r="B229" t="s">
        <v>37</v>
      </c>
      <c r="C229">
        <v>273</v>
      </c>
      <c r="D229">
        <v>10.841774999999998</v>
      </c>
      <c r="E229">
        <v>0</v>
      </c>
      <c r="G229">
        <v>1.332E-2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>
      <c r="A230">
        <f t="shared" ref="A230:A293" si="3">A229+1</f>
        <v>229</v>
      </c>
      <c r="B230" t="s">
        <v>37</v>
      </c>
      <c r="C230">
        <v>273</v>
      </c>
      <c r="D230">
        <v>15.948555000000001</v>
      </c>
      <c r="E230">
        <v>0</v>
      </c>
      <c r="G230">
        <v>1.8100000000000002E-2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>
        <f t="shared" si="3"/>
        <v>230</v>
      </c>
      <c r="B231" t="s">
        <v>37</v>
      </c>
      <c r="C231">
        <v>273</v>
      </c>
      <c r="D231">
        <v>29.860477499999998</v>
      </c>
      <c r="E231">
        <v>0</v>
      </c>
      <c r="G231">
        <v>2.639E-2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>
      <c r="A232">
        <f t="shared" si="3"/>
        <v>231</v>
      </c>
      <c r="B232" t="s">
        <v>37</v>
      </c>
      <c r="C232">
        <v>298</v>
      </c>
      <c r="D232">
        <v>11.125484999999999</v>
      </c>
      <c r="E232">
        <v>0</v>
      </c>
      <c r="G232">
        <v>6.1700000000000001E-3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>
      <c r="A233">
        <f t="shared" si="3"/>
        <v>232</v>
      </c>
      <c r="B233" t="s">
        <v>37</v>
      </c>
      <c r="C233">
        <v>298</v>
      </c>
      <c r="D233">
        <v>11.176147499999999</v>
      </c>
      <c r="E233">
        <v>0</v>
      </c>
      <c r="G233">
        <v>6.234E-3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>
        <f t="shared" si="3"/>
        <v>233</v>
      </c>
      <c r="B234" t="s">
        <v>37</v>
      </c>
      <c r="C234">
        <v>298</v>
      </c>
      <c r="D234">
        <v>23.223690000000001</v>
      </c>
      <c r="E234">
        <v>0</v>
      </c>
      <c r="G234">
        <v>1.2399E-2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>
      <c r="A235">
        <f t="shared" si="3"/>
        <v>234</v>
      </c>
      <c r="B235" t="s">
        <v>37</v>
      </c>
      <c r="C235">
        <v>298</v>
      </c>
      <c r="D235">
        <v>24.986744999999999</v>
      </c>
      <c r="E235">
        <v>0</v>
      </c>
      <c r="G235">
        <v>1.2714E-2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>
      <c r="A236">
        <f t="shared" si="3"/>
        <v>235</v>
      </c>
      <c r="B236" t="s">
        <v>37</v>
      </c>
      <c r="C236">
        <v>298</v>
      </c>
      <c r="D236">
        <v>25.098202499999999</v>
      </c>
      <c r="E236">
        <v>0</v>
      </c>
      <c r="G236">
        <v>1.2848999999999999E-2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>
      <c r="A237">
        <f t="shared" si="3"/>
        <v>236</v>
      </c>
      <c r="B237" t="s">
        <v>37</v>
      </c>
      <c r="C237">
        <v>298</v>
      </c>
      <c r="D237">
        <v>26.3445</v>
      </c>
      <c r="E237">
        <v>0</v>
      </c>
      <c r="G237">
        <v>1.3427E-2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>
      <c r="A238">
        <f t="shared" si="3"/>
        <v>237</v>
      </c>
      <c r="B238" t="s">
        <v>37</v>
      </c>
      <c r="C238">
        <v>298</v>
      </c>
      <c r="D238">
        <v>31.816049999999997</v>
      </c>
      <c r="E238">
        <v>0</v>
      </c>
      <c r="G238">
        <v>1.5570000000000001E-2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>
      <c r="A239">
        <f t="shared" si="3"/>
        <v>238</v>
      </c>
      <c r="B239" t="s">
        <v>37</v>
      </c>
      <c r="C239">
        <v>298</v>
      </c>
      <c r="D239">
        <v>34.865932499999992</v>
      </c>
      <c r="E239">
        <v>0</v>
      </c>
      <c r="G239">
        <v>1.6619999999999999E-2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>
      <c r="A240">
        <f t="shared" si="3"/>
        <v>239</v>
      </c>
      <c r="B240" t="s">
        <v>37</v>
      </c>
      <c r="C240">
        <v>298</v>
      </c>
      <c r="D240">
        <v>39.344497499999996</v>
      </c>
      <c r="E240">
        <v>0</v>
      </c>
      <c r="G240">
        <v>1.8540999999999998E-2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>
      <c r="A241">
        <f t="shared" si="3"/>
        <v>240</v>
      </c>
      <c r="B241" t="s">
        <v>37</v>
      </c>
      <c r="C241">
        <v>298</v>
      </c>
      <c r="D241">
        <v>39.699134999999998</v>
      </c>
      <c r="E241">
        <v>0</v>
      </c>
      <c r="G241">
        <v>1.8634999999999999E-2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>
      <c r="A242">
        <f t="shared" si="3"/>
        <v>241</v>
      </c>
      <c r="B242" t="s">
        <v>37</v>
      </c>
      <c r="C242">
        <v>298</v>
      </c>
      <c r="D242">
        <v>44.684325000000001</v>
      </c>
      <c r="E242">
        <v>0</v>
      </c>
      <c r="G242">
        <v>2.0378E-2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>
        <f t="shared" si="3"/>
        <v>242</v>
      </c>
      <c r="B243" t="s">
        <v>37</v>
      </c>
      <c r="C243">
        <v>298</v>
      </c>
      <c r="D243">
        <v>45.646912499999999</v>
      </c>
      <c r="E243">
        <v>0</v>
      </c>
      <c r="G243">
        <v>2.0378E-2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>
      <c r="A244">
        <f t="shared" si="3"/>
        <v>243</v>
      </c>
      <c r="B244" t="s">
        <v>37</v>
      </c>
      <c r="C244">
        <v>298</v>
      </c>
      <c r="D244">
        <v>56.843325</v>
      </c>
      <c r="E244">
        <v>0</v>
      </c>
      <c r="G244">
        <v>2.2970000000000001E-2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>
      <c r="A245">
        <f t="shared" si="3"/>
        <v>244</v>
      </c>
      <c r="B245" t="s">
        <v>37</v>
      </c>
      <c r="C245">
        <v>298</v>
      </c>
      <c r="D245">
        <v>63.733424999999997</v>
      </c>
      <c r="E245">
        <v>0</v>
      </c>
      <c r="G245">
        <v>2.4032000000000001E-2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>
      <c r="A246">
        <f t="shared" si="3"/>
        <v>245</v>
      </c>
      <c r="B246" t="s">
        <v>37</v>
      </c>
      <c r="C246">
        <v>323</v>
      </c>
      <c r="D246">
        <v>19.393605000000001</v>
      </c>
      <c r="E246">
        <v>0</v>
      </c>
      <c r="G246">
        <v>6.2300000000000003E-3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>
      <c r="A247">
        <f t="shared" si="3"/>
        <v>246</v>
      </c>
      <c r="B247" t="s">
        <v>37</v>
      </c>
      <c r="C247">
        <v>323</v>
      </c>
      <c r="D247">
        <v>33.011685</v>
      </c>
      <c r="E247">
        <v>0</v>
      </c>
      <c r="G247">
        <v>9.8700000000000003E-3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>
      <c r="A248">
        <f t="shared" si="3"/>
        <v>247</v>
      </c>
      <c r="B248" t="s">
        <v>37</v>
      </c>
      <c r="C248">
        <v>323</v>
      </c>
      <c r="D248">
        <v>33.224467499999996</v>
      </c>
      <c r="E248">
        <v>0</v>
      </c>
      <c r="G248">
        <v>1.0009999999999999E-3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>
      <c r="A249">
        <f t="shared" si="3"/>
        <v>248</v>
      </c>
      <c r="B249" t="s">
        <v>37</v>
      </c>
      <c r="C249">
        <v>323</v>
      </c>
      <c r="D249">
        <v>47.420099999999998</v>
      </c>
      <c r="E249">
        <v>0</v>
      </c>
      <c r="G249">
        <v>1.273E-2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>
      <c r="A250">
        <f t="shared" si="3"/>
        <v>249</v>
      </c>
      <c r="B250" t="s">
        <v>37</v>
      </c>
      <c r="C250">
        <v>323</v>
      </c>
      <c r="D250">
        <v>47.501159999999999</v>
      </c>
      <c r="E250">
        <v>0</v>
      </c>
      <c r="G250">
        <v>1.304E-2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>
      <c r="A251">
        <f t="shared" si="3"/>
        <v>250</v>
      </c>
      <c r="B251" t="s">
        <v>37</v>
      </c>
      <c r="C251">
        <v>323</v>
      </c>
      <c r="D251">
        <v>57.755249999999997</v>
      </c>
      <c r="E251">
        <v>0</v>
      </c>
      <c r="G251">
        <v>1.5233E-2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>
      <c r="A252">
        <f t="shared" si="3"/>
        <v>251</v>
      </c>
      <c r="B252" t="s">
        <v>37</v>
      </c>
      <c r="C252">
        <v>323</v>
      </c>
      <c r="D252">
        <v>61.098974999999996</v>
      </c>
      <c r="E252">
        <v>0</v>
      </c>
      <c r="G252">
        <v>1.5970000000000002E-2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>
      <c r="A253">
        <f t="shared" si="3"/>
        <v>252</v>
      </c>
      <c r="B253" t="s">
        <v>37</v>
      </c>
      <c r="C253">
        <v>323</v>
      </c>
      <c r="D253">
        <v>61.72719</v>
      </c>
      <c r="E253">
        <v>0</v>
      </c>
      <c r="G253">
        <v>1.6166E-2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>
      <c r="A254">
        <f t="shared" si="3"/>
        <v>253</v>
      </c>
      <c r="B254" t="s">
        <v>37</v>
      </c>
      <c r="C254">
        <v>323</v>
      </c>
      <c r="D254">
        <v>61.909575000000004</v>
      </c>
      <c r="E254">
        <v>0</v>
      </c>
      <c r="G254">
        <v>1.6236E-2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>
      <c r="A255">
        <f t="shared" si="3"/>
        <v>254</v>
      </c>
      <c r="B255" t="s">
        <v>37</v>
      </c>
      <c r="C255">
        <v>323</v>
      </c>
      <c r="D255">
        <v>62.8215</v>
      </c>
      <c r="E255">
        <v>0</v>
      </c>
      <c r="G255">
        <v>1.6337999999999998E-2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>
      <c r="A256">
        <f t="shared" si="3"/>
        <v>255</v>
      </c>
      <c r="B256" t="s">
        <v>37</v>
      </c>
      <c r="C256">
        <v>323</v>
      </c>
      <c r="D256">
        <v>74.190164999999993</v>
      </c>
      <c r="E256">
        <v>0</v>
      </c>
      <c r="G256">
        <v>1.7957000000000001E-2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>
      <c r="A257">
        <f t="shared" si="3"/>
        <v>256</v>
      </c>
      <c r="B257" t="s">
        <v>37</v>
      </c>
      <c r="C257">
        <v>323</v>
      </c>
      <c r="D257">
        <v>74.798114999999996</v>
      </c>
      <c r="E257">
        <v>0</v>
      </c>
      <c r="G257">
        <v>1.8487E-2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>
      <c r="A258">
        <f t="shared" si="3"/>
        <v>257</v>
      </c>
      <c r="B258" t="s">
        <v>37</v>
      </c>
      <c r="C258">
        <v>323</v>
      </c>
      <c r="D258">
        <v>75.487124999999992</v>
      </c>
      <c r="E258">
        <v>0</v>
      </c>
      <c r="G258">
        <v>1.8277000000000002E-2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>
      <c r="A259">
        <f t="shared" si="3"/>
        <v>258</v>
      </c>
      <c r="B259" t="s">
        <v>37</v>
      </c>
      <c r="C259">
        <v>323</v>
      </c>
      <c r="D259">
        <v>90.787199999999999</v>
      </c>
      <c r="E259">
        <v>0</v>
      </c>
      <c r="G259">
        <v>2.0611000000000001E-2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>
      <c r="A260">
        <f t="shared" si="3"/>
        <v>259</v>
      </c>
      <c r="B260" t="s">
        <v>37</v>
      </c>
      <c r="C260">
        <v>323</v>
      </c>
      <c r="D260">
        <v>92.712374999999994</v>
      </c>
      <c r="E260">
        <v>0</v>
      </c>
      <c r="G260">
        <v>2.0362999999999999E-2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>
      <c r="A261">
        <f t="shared" si="3"/>
        <v>260</v>
      </c>
      <c r="B261" t="s">
        <v>37</v>
      </c>
      <c r="C261">
        <v>323</v>
      </c>
      <c r="D261">
        <v>93.218999999999994</v>
      </c>
      <c r="E261">
        <v>0</v>
      </c>
      <c r="G261">
        <v>2.0503E-2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>
      <c r="A262">
        <f t="shared" si="3"/>
        <v>261</v>
      </c>
      <c r="B262" t="s">
        <v>37</v>
      </c>
      <c r="C262">
        <v>348</v>
      </c>
      <c r="D262">
        <v>19.08963</v>
      </c>
      <c r="E262">
        <v>0</v>
      </c>
      <c r="G262">
        <v>4.4099999999999999E-3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>
      <c r="A263">
        <f t="shared" si="3"/>
        <v>262</v>
      </c>
      <c r="B263" t="s">
        <v>37</v>
      </c>
      <c r="C263">
        <v>348</v>
      </c>
      <c r="D263">
        <v>19.251750000000001</v>
      </c>
      <c r="E263">
        <v>0</v>
      </c>
      <c r="G263">
        <v>4.3400000000000001E-3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>
      <c r="A264">
        <f t="shared" si="3"/>
        <v>263</v>
      </c>
      <c r="B264" t="s">
        <v>37</v>
      </c>
      <c r="C264">
        <v>348</v>
      </c>
      <c r="D264">
        <v>32.667180000000002</v>
      </c>
      <c r="E264">
        <v>0</v>
      </c>
      <c r="G264">
        <v>7.2399999999999999E-3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>
      <c r="A265">
        <f t="shared" si="3"/>
        <v>264</v>
      </c>
      <c r="B265" t="s">
        <v>37</v>
      </c>
      <c r="C265">
        <v>348</v>
      </c>
      <c r="D265">
        <v>33.113010000000003</v>
      </c>
      <c r="E265">
        <v>0</v>
      </c>
      <c r="G265">
        <v>7.2719999999999998E-3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>
      <c r="A266">
        <f t="shared" si="3"/>
        <v>265</v>
      </c>
      <c r="B266" t="s">
        <v>37</v>
      </c>
      <c r="C266">
        <v>348</v>
      </c>
      <c r="D266">
        <v>47.227582499999997</v>
      </c>
      <c r="E266">
        <v>0</v>
      </c>
      <c r="G266">
        <v>9.8300000000000002E-3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>
        <f t="shared" si="3"/>
        <v>266</v>
      </c>
      <c r="B267" t="s">
        <v>37</v>
      </c>
      <c r="C267">
        <v>348</v>
      </c>
      <c r="D267">
        <v>61.068577500000004</v>
      </c>
      <c r="E267">
        <v>0</v>
      </c>
      <c r="G267">
        <v>1.2185E-2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>
      <c r="A268">
        <f t="shared" si="3"/>
        <v>267</v>
      </c>
      <c r="B268" t="s">
        <v>37</v>
      </c>
      <c r="C268">
        <v>348</v>
      </c>
      <c r="D268">
        <v>61.72719</v>
      </c>
      <c r="E268">
        <v>0</v>
      </c>
      <c r="G268">
        <v>1.2043E-2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>
      <c r="A269">
        <f t="shared" si="3"/>
        <v>268</v>
      </c>
      <c r="B269" t="s">
        <v>37</v>
      </c>
      <c r="C269">
        <v>348</v>
      </c>
      <c r="D269">
        <v>61.8386475</v>
      </c>
      <c r="E269">
        <v>0</v>
      </c>
      <c r="G269">
        <v>1.2083E-2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>
      <c r="A270">
        <f t="shared" si="3"/>
        <v>269</v>
      </c>
      <c r="B270" t="s">
        <v>37</v>
      </c>
      <c r="C270">
        <v>348</v>
      </c>
      <c r="D270">
        <v>62.031164999999994</v>
      </c>
      <c r="E270">
        <v>0</v>
      </c>
      <c r="G270">
        <v>1.2193000000000001E-2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>
      <c r="A271">
        <f t="shared" si="3"/>
        <v>270</v>
      </c>
      <c r="B271" t="s">
        <v>37</v>
      </c>
      <c r="C271">
        <v>348</v>
      </c>
      <c r="D271">
        <v>76.703024999999997</v>
      </c>
      <c r="E271">
        <v>0</v>
      </c>
      <c r="G271">
        <v>1.4062E-2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>
      <c r="A272">
        <f t="shared" si="3"/>
        <v>271</v>
      </c>
      <c r="B272" t="s">
        <v>37</v>
      </c>
      <c r="C272">
        <v>348</v>
      </c>
      <c r="D272">
        <v>76.956337500000004</v>
      </c>
      <c r="E272">
        <v>0</v>
      </c>
      <c r="G272">
        <v>1.436E-2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>
      <c r="A273">
        <f t="shared" si="3"/>
        <v>272</v>
      </c>
      <c r="B273" t="s">
        <v>37</v>
      </c>
      <c r="C273">
        <v>348</v>
      </c>
      <c r="D273">
        <v>77.361637499999986</v>
      </c>
      <c r="E273">
        <v>0</v>
      </c>
      <c r="G273">
        <v>1.4227E-2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>
      <c r="A274">
        <f t="shared" si="3"/>
        <v>273</v>
      </c>
      <c r="B274" t="s">
        <v>37</v>
      </c>
      <c r="C274">
        <v>348</v>
      </c>
      <c r="D274">
        <v>93.269662499999995</v>
      </c>
      <c r="E274">
        <v>0</v>
      </c>
      <c r="G274">
        <v>1.6063999999999998E-2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>
      <c r="A275">
        <f t="shared" si="3"/>
        <v>274</v>
      </c>
      <c r="B275" t="s">
        <v>37</v>
      </c>
      <c r="C275">
        <v>348</v>
      </c>
      <c r="D275">
        <v>94.455164999999994</v>
      </c>
      <c r="E275">
        <v>0</v>
      </c>
      <c r="G275">
        <v>1.6111E-2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>
      <c r="A276">
        <f t="shared" si="3"/>
        <v>275</v>
      </c>
      <c r="B276" t="s">
        <v>37</v>
      </c>
      <c r="C276">
        <v>373</v>
      </c>
      <c r="D276">
        <v>19.353075</v>
      </c>
      <c r="E276">
        <v>0</v>
      </c>
      <c r="G276">
        <v>3.4770000000000001E-3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>
      <c r="A277">
        <f t="shared" si="3"/>
        <v>276</v>
      </c>
      <c r="B277" t="s">
        <v>37</v>
      </c>
      <c r="C277">
        <v>373</v>
      </c>
      <c r="D277">
        <v>19.5253275</v>
      </c>
      <c r="E277">
        <v>0</v>
      </c>
      <c r="G277">
        <v>3.46E-3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>
      <c r="A278">
        <f t="shared" si="3"/>
        <v>277</v>
      </c>
      <c r="B278" t="s">
        <v>37</v>
      </c>
      <c r="C278">
        <v>373</v>
      </c>
      <c r="D278">
        <v>32.494927500000003</v>
      </c>
      <c r="E278">
        <v>0</v>
      </c>
      <c r="G278">
        <v>5.738E-3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>
      <c r="A279">
        <f t="shared" si="3"/>
        <v>278</v>
      </c>
      <c r="B279" t="s">
        <v>37</v>
      </c>
      <c r="C279">
        <v>373</v>
      </c>
      <c r="D279">
        <v>33.011685</v>
      </c>
      <c r="E279">
        <v>0</v>
      </c>
      <c r="G279">
        <v>5.8979999999999996E-3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>
      <c r="A280">
        <f t="shared" si="3"/>
        <v>279</v>
      </c>
      <c r="B280" t="s">
        <v>37</v>
      </c>
      <c r="C280">
        <v>373</v>
      </c>
      <c r="D280">
        <v>33.1231425</v>
      </c>
      <c r="E280">
        <v>0</v>
      </c>
      <c r="G280">
        <v>5.8199999999999997E-3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>
      <c r="A281">
        <f t="shared" si="3"/>
        <v>280</v>
      </c>
      <c r="B281" t="s">
        <v>37</v>
      </c>
      <c r="C281">
        <v>373</v>
      </c>
      <c r="D281">
        <v>33.214334999999998</v>
      </c>
      <c r="E281">
        <v>0</v>
      </c>
      <c r="G281">
        <v>5.7780000000000001E-3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>
      <c r="A282">
        <f t="shared" si="3"/>
        <v>281</v>
      </c>
      <c r="B282" t="s">
        <v>37</v>
      </c>
      <c r="C282">
        <v>373</v>
      </c>
      <c r="D282">
        <v>46.710825</v>
      </c>
      <c r="E282">
        <v>0</v>
      </c>
      <c r="G282">
        <v>8.0129999999999993E-3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>
      <c r="A283">
        <f t="shared" si="3"/>
        <v>282</v>
      </c>
      <c r="B283" t="s">
        <v>37</v>
      </c>
      <c r="C283">
        <v>373</v>
      </c>
      <c r="D283">
        <v>47.369437499999997</v>
      </c>
      <c r="E283">
        <v>0</v>
      </c>
      <c r="G283">
        <v>8.1300000000000001E-3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>
      <c r="A284">
        <f t="shared" si="3"/>
        <v>283</v>
      </c>
      <c r="B284" t="s">
        <v>37</v>
      </c>
      <c r="C284">
        <v>373</v>
      </c>
      <c r="D284">
        <v>47.511292500000003</v>
      </c>
      <c r="E284">
        <v>0</v>
      </c>
      <c r="G284">
        <v>7.9419999999999994E-3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>
      <c r="A285">
        <f t="shared" si="3"/>
        <v>284</v>
      </c>
      <c r="B285" t="s">
        <v>37</v>
      </c>
      <c r="C285">
        <v>373</v>
      </c>
      <c r="D285">
        <v>61.7575875</v>
      </c>
      <c r="E285">
        <v>0</v>
      </c>
      <c r="G285">
        <v>9.8099999999999993E-3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>
      <c r="A286">
        <f t="shared" si="3"/>
        <v>285</v>
      </c>
      <c r="B286" t="s">
        <v>37</v>
      </c>
      <c r="C286">
        <v>373</v>
      </c>
      <c r="D286">
        <v>62.112224999999995</v>
      </c>
      <c r="E286">
        <v>0</v>
      </c>
      <c r="G286">
        <v>1.0825E-2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>
      <c r="A287">
        <f t="shared" si="3"/>
        <v>286</v>
      </c>
      <c r="B287" t="s">
        <v>37</v>
      </c>
      <c r="C287">
        <v>373</v>
      </c>
      <c r="D287">
        <v>75.993750000000006</v>
      </c>
      <c r="E287">
        <v>0</v>
      </c>
      <c r="G287">
        <v>1.448E-2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>
      <c r="A288">
        <f t="shared" si="3"/>
        <v>287</v>
      </c>
      <c r="B288" t="s">
        <v>37</v>
      </c>
      <c r="C288">
        <v>373</v>
      </c>
      <c r="D288">
        <v>91.192499999999995</v>
      </c>
      <c r="E288">
        <v>0</v>
      </c>
      <c r="G288">
        <v>1.448E-2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>
      <c r="A289">
        <f t="shared" si="3"/>
        <v>288</v>
      </c>
      <c r="B289" t="s">
        <v>38</v>
      </c>
      <c r="C289">
        <v>323.14999999999998</v>
      </c>
      <c r="D289">
        <v>25.33</v>
      </c>
      <c r="E289">
        <v>0</v>
      </c>
      <c r="G289">
        <v>7.7970000000000001E-3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>
      <c r="A290">
        <f t="shared" si="3"/>
        <v>289</v>
      </c>
      <c r="B290" t="s">
        <v>38</v>
      </c>
      <c r="C290">
        <v>323.14999999999998</v>
      </c>
      <c r="D290">
        <v>50.66</v>
      </c>
      <c r="E290">
        <v>0</v>
      </c>
      <c r="G290">
        <v>1.3769999999999999E-2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>
        <f t="shared" si="3"/>
        <v>290</v>
      </c>
      <c r="B291" t="s">
        <v>38</v>
      </c>
      <c r="C291">
        <v>323.14999999999998</v>
      </c>
      <c r="D291">
        <v>75.989999999999995</v>
      </c>
      <c r="E291">
        <v>0</v>
      </c>
      <c r="G291">
        <v>1.7909999999999999E-2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>
      <c r="A292">
        <f t="shared" si="3"/>
        <v>291</v>
      </c>
      <c r="B292" t="s">
        <v>38</v>
      </c>
      <c r="C292">
        <v>323.14999999999998</v>
      </c>
      <c r="D292">
        <v>101.325</v>
      </c>
      <c r="E292">
        <v>0</v>
      </c>
      <c r="G292">
        <v>2.0320000000000001E-2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>
      <c r="A293">
        <f t="shared" si="3"/>
        <v>292</v>
      </c>
      <c r="B293" t="s">
        <v>38</v>
      </c>
      <c r="C293">
        <v>323.14999999999998</v>
      </c>
      <c r="D293">
        <v>126.66</v>
      </c>
      <c r="E293">
        <v>0</v>
      </c>
      <c r="G293">
        <v>2.12E-2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>
      <c r="A294">
        <f t="shared" ref="A294:A357" si="4">A293+1</f>
        <v>293</v>
      </c>
      <c r="B294" t="s">
        <v>38</v>
      </c>
      <c r="C294">
        <v>323.14999999999998</v>
      </c>
      <c r="D294">
        <v>152</v>
      </c>
      <c r="E294">
        <v>0</v>
      </c>
      <c r="G294">
        <v>2.188E-2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>
      <c r="A295">
        <f t="shared" si="4"/>
        <v>294</v>
      </c>
      <c r="B295" t="s">
        <v>38</v>
      </c>
      <c r="C295">
        <v>323.14999999999998</v>
      </c>
      <c r="D295">
        <v>202.6</v>
      </c>
      <c r="E295">
        <v>0</v>
      </c>
      <c r="G295">
        <v>2.3040000000000001E-2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>
      <c r="A296">
        <f t="shared" si="4"/>
        <v>295</v>
      </c>
      <c r="B296" t="s">
        <v>38</v>
      </c>
      <c r="C296">
        <v>323.14999999999998</v>
      </c>
      <c r="D296">
        <v>304</v>
      </c>
      <c r="E296">
        <v>0</v>
      </c>
      <c r="G296">
        <v>2.4740000000000002E-2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>
      <c r="A297">
        <f t="shared" si="4"/>
        <v>296</v>
      </c>
      <c r="B297" t="s">
        <v>38</v>
      </c>
      <c r="C297">
        <v>323.14999999999998</v>
      </c>
      <c r="D297">
        <v>405.3</v>
      </c>
      <c r="E297">
        <v>0</v>
      </c>
      <c r="G297">
        <v>2.623E-2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>
      <c r="A298">
        <f t="shared" si="4"/>
        <v>297</v>
      </c>
      <c r="B298" t="s">
        <v>38</v>
      </c>
      <c r="C298">
        <v>323.14999999999998</v>
      </c>
      <c r="D298">
        <v>608.9</v>
      </c>
      <c r="E298">
        <v>0</v>
      </c>
      <c r="G298">
        <v>2.887E-2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>
      <c r="A299">
        <f t="shared" si="4"/>
        <v>298</v>
      </c>
      <c r="B299" t="s">
        <v>38</v>
      </c>
      <c r="C299">
        <v>323.14999999999998</v>
      </c>
      <c r="D299">
        <v>709.3</v>
      </c>
      <c r="E299">
        <v>0</v>
      </c>
      <c r="G299">
        <v>3.0089999999999999E-2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>
      <c r="A300">
        <f t="shared" si="4"/>
        <v>299</v>
      </c>
      <c r="B300" t="s">
        <v>38</v>
      </c>
      <c r="C300">
        <v>348.15</v>
      </c>
      <c r="D300">
        <v>25.33</v>
      </c>
      <c r="E300">
        <v>0</v>
      </c>
      <c r="G300">
        <v>5.4850000000000003E-3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>
      <c r="A301">
        <f t="shared" si="4"/>
        <v>300</v>
      </c>
      <c r="B301" t="s">
        <v>38</v>
      </c>
      <c r="C301">
        <v>348.15</v>
      </c>
      <c r="D301">
        <v>50.66</v>
      </c>
      <c r="E301">
        <v>0</v>
      </c>
      <c r="G301">
        <v>1.009E-2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>
      <c r="A302">
        <f t="shared" si="4"/>
        <v>301</v>
      </c>
      <c r="B302" t="s">
        <v>38</v>
      </c>
      <c r="C302">
        <v>348.15</v>
      </c>
      <c r="D302">
        <v>75.989999999999995</v>
      </c>
      <c r="E302">
        <v>0</v>
      </c>
      <c r="G302">
        <v>1.3610000000000001E-2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>
      <c r="A303">
        <f t="shared" si="4"/>
        <v>302</v>
      </c>
      <c r="B303" t="s">
        <v>38</v>
      </c>
      <c r="C303">
        <v>348.15</v>
      </c>
      <c r="D303">
        <v>101.325</v>
      </c>
      <c r="E303">
        <v>0</v>
      </c>
      <c r="G303">
        <v>1.6400000000000001E-2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>
      <c r="A304">
        <f t="shared" si="4"/>
        <v>303</v>
      </c>
      <c r="B304" t="s">
        <v>38</v>
      </c>
      <c r="C304">
        <v>348.15</v>
      </c>
      <c r="D304">
        <v>152</v>
      </c>
      <c r="E304">
        <v>0</v>
      </c>
      <c r="G304">
        <v>1.95E-2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>
      <c r="A305">
        <f t="shared" si="4"/>
        <v>304</v>
      </c>
      <c r="B305" t="s">
        <v>38</v>
      </c>
      <c r="C305">
        <v>348.15</v>
      </c>
      <c r="D305">
        <v>202.6</v>
      </c>
      <c r="E305">
        <v>0</v>
      </c>
      <c r="G305">
        <v>2.112E-2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>
      <c r="A306">
        <f t="shared" si="4"/>
        <v>305</v>
      </c>
      <c r="B306" t="s">
        <v>38</v>
      </c>
      <c r="C306">
        <v>348.15</v>
      </c>
      <c r="D306">
        <v>304</v>
      </c>
      <c r="E306">
        <v>0</v>
      </c>
      <c r="G306">
        <v>2.332E-2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>
      <c r="A307">
        <f t="shared" si="4"/>
        <v>306</v>
      </c>
      <c r="B307" t="s">
        <v>38</v>
      </c>
      <c r="C307">
        <v>348.15</v>
      </c>
      <c r="D307">
        <v>405.4</v>
      </c>
      <c r="E307">
        <v>0</v>
      </c>
      <c r="G307">
        <v>2.5149999999999999E-2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>
        <f t="shared" si="4"/>
        <v>307</v>
      </c>
      <c r="B308" t="s">
        <v>38</v>
      </c>
      <c r="C308">
        <v>348.15</v>
      </c>
      <c r="D308">
        <v>709.3</v>
      </c>
      <c r="E308">
        <v>0</v>
      </c>
      <c r="G308">
        <v>2.9520000000000001E-2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>
      <c r="A309">
        <f t="shared" si="4"/>
        <v>308</v>
      </c>
      <c r="B309" t="s">
        <v>38</v>
      </c>
      <c r="C309">
        <v>373.15</v>
      </c>
      <c r="D309">
        <v>25.33</v>
      </c>
      <c r="E309">
        <v>0</v>
      </c>
      <c r="G309">
        <v>4.3229999999999996E-3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>
      <c r="A310">
        <f t="shared" si="4"/>
        <v>309</v>
      </c>
      <c r="B310" t="s">
        <v>38</v>
      </c>
      <c r="C310">
        <v>373.15</v>
      </c>
      <c r="D310">
        <v>50.66</v>
      </c>
      <c r="E310">
        <v>0</v>
      </c>
      <c r="G310">
        <v>8.1700000000000002E-3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>
      <c r="A311">
        <f t="shared" si="4"/>
        <v>310</v>
      </c>
      <c r="B311" t="s">
        <v>38</v>
      </c>
      <c r="C311">
        <v>373.15</v>
      </c>
      <c r="D311">
        <v>75.989999999999995</v>
      </c>
      <c r="E311">
        <v>0</v>
      </c>
      <c r="G311">
        <v>1.1429999999999999E-2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>
      <c r="A312">
        <f t="shared" si="4"/>
        <v>311</v>
      </c>
      <c r="B312" t="s">
        <v>38</v>
      </c>
      <c r="C312">
        <v>373.15</v>
      </c>
      <c r="D312">
        <v>101.325</v>
      </c>
      <c r="E312">
        <v>0</v>
      </c>
      <c r="G312">
        <v>1.41E-2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>
      <c r="A313">
        <f t="shared" si="4"/>
        <v>312</v>
      </c>
      <c r="B313" t="s">
        <v>38</v>
      </c>
      <c r="C313">
        <v>373.15</v>
      </c>
      <c r="D313">
        <v>152</v>
      </c>
      <c r="E313">
        <v>0</v>
      </c>
      <c r="G313">
        <v>1.806E-2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>
      <c r="A314">
        <f t="shared" si="4"/>
        <v>313</v>
      </c>
      <c r="B314" t="s">
        <v>38</v>
      </c>
      <c r="C314">
        <v>373.15</v>
      </c>
      <c r="D314">
        <v>202.6</v>
      </c>
      <c r="E314">
        <v>0</v>
      </c>
      <c r="G314">
        <v>2.0369999999999999E-2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f t="shared" si="4"/>
        <v>314</v>
      </c>
      <c r="B315" t="s">
        <v>38</v>
      </c>
      <c r="C315">
        <v>373.15</v>
      </c>
      <c r="D315">
        <v>304</v>
      </c>
      <c r="E315">
        <v>0</v>
      </c>
      <c r="G315">
        <v>2.334E-2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>
        <f t="shared" si="4"/>
        <v>315</v>
      </c>
      <c r="B316" t="s">
        <v>38</v>
      </c>
      <c r="C316">
        <v>373.15</v>
      </c>
      <c r="D316">
        <v>405.3</v>
      </c>
      <c r="E316">
        <v>0</v>
      </c>
      <c r="G316">
        <v>2.554E-2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>
      <c r="A317">
        <f t="shared" si="4"/>
        <v>316</v>
      </c>
      <c r="B317" t="s">
        <v>38</v>
      </c>
      <c r="C317">
        <v>373.15</v>
      </c>
      <c r="D317">
        <v>709.3</v>
      </c>
      <c r="E317">
        <v>0</v>
      </c>
      <c r="G317">
        <v>3.022E-2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>
      <c r="A318">
        <f t="shared" si="4"/>
        <v>317</v>
      </c>
      <c r="B318" t="s">
        <v>39</v>
      </c>
      <c r="C318">
        <v>291.14999999999998</v>
      </c>
      <c r="D318">
        <v>25.33</v>
      </c>
      <c r="E318">
        <v>0</v>
      </c>
      <c r="G318">
        <v>1.554E-2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>
      <c r="A319">
        <f t="shared" si="4"/>
        <v>318</v>
      </c>
      <c r="B319" t="s">
        <v>39</v>
      </c>
      <c r="C319">
        <v>291.14999999999998</v>
      </c>
      <c r="D319">
        <v>50.66</v>
      </c>
      <c r="E319">
        <v>0</v>
      </c>
      <c r="G319">
        <v>2.5270000000000001E-2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>
      <c r="A320">
        <f t="shared" si="4"/>
        <v>319</v>
      </c>
      <c r="B320" t="s">
        <v>39</v>
      </c>
      <c r="C320">
        <v>298.14999999999998</v>
      </c>
      <c r="D320">
        <v>50.66</v>
      </c>
      <c r="E320">
        <v>0</v>
      </c>
      <c r="G320">
        <v>2.1559999999999999E-2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>
      <c r="A321">
        <f t="shared" si="4"/>
        <v>320</v>
      </c>
      <c r="B321" t="s">
        <v>39</v>
      </c>
      <c r="C321">
        <v>304.19</v>
      </c>
      <c r="D321">
        <v>25.33</v>
      </c>
      <c r="E321">
        <v>0</v>
      </c>
      <c r="G321">
        <v>1.1339999999999999E-2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>
      <c r="A322">
        <f t="shared" si="4"/>
        <v>321</v>
      </c>
      <c r="B322" t="s">
        <v>39</v>
      </c>
      <c r="C322">
        <v>304.19</v>
      </c>
      <c r="D322">
        <v>50.66</v>
      </c>
      <c r="E322">
        <v>0</v>
      </c>
      <c r="G322">
        <v>1.917E-2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>
      <c r="A323">
        <f t="shared" si="4"/>
        <v>322</v>
      </c>
      <c r="B323" t="s">
        <v>39</v>
      </c>
      <c r="C323">
        <v>308.14999999999998</v>
      </c>
      <c r="D323">
        <v>25.33</v>
      </c>
      <c r="E323">
        <v>0</v>
      </c>
      <c r="G323">
        <v>1.0370000000000001E-2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>
      <c r="A324">
        <f t="shared" si="4"/>
        <v>323</v>
      </c>
      <c r="B324" t="s">
        <v>39</v>
      </c>
      <c r="C324">
        <v>308.14999999999998</v>
      </c>
      <c r="D324">
        <v>50.66</v>
      </c>
      <c r="E324">
        <v>0</v>
      </c>
      <c r="G324">
        <v>1.7659999999999999E-2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>
      <c r="A325">
        <f t="shared" si="4"/>
        <v>324</v>
      </c>
      <c r="B325" t="s">
        <v>39</v>
      </c>
      <c r="C325">
        <v>308.14999999999998</v>
      </c>
      <c r="D325">
        <v>75.989999999999995</v>
      </c>
      <c r="E325">
        <v>0</v>
      </c>
      <c r="G325">
        <v>2.2030000000000001E-2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>
      <c r="A326">
        <f t="shared" si="4"/>
        <v>325</v>
      </c>
      <c r="B326" t="s">
        <v>39</v>
      </c>
      <c r="C326">
        <v>308.14999999999998</v>
      </c>
      <c r="D326">
        <v>101.33</v>
      </c>
      <c r="E326">
        <v>0</v>
      </c>
      <c r="G326">
        <v>2.3029999999999998E-2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>
      <c r="A327">
        <f t="shared" si="4"/>
        <v>326</v>
      </c>
      <c r="B327" t="s">
        <v>39</v>
      </c>
      <c r="C327">
        <v>308.14999999999998</v>
      </c>
      <c r="D327">
        <v>152</v>
      </c>
      <c r="E327">
        <v>0</v>
      </c>
      <c r="G327">
        <v>2.41E-2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>
      <c r="A328">
        <f t="shared" si="4"/>
        <v>327</v>
      </c>
      <c r="B328" t="s">
        <v>39</v>
      </c>
      <c r="C328">
        <v>308.14999999999998</v>
      </c>
      <c r="D328">
        <v>202.6</v>
      </c>
      <c r="E328">
        <v>0</v>
      </c>
      <c r="G328">
        <v>2.511E-2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>
      <c r="A329">
        <f t="shared" si="4"/>
        <v>328</v>
      </c>
      <c r="B329" t="s">
        <v>39</v>
      </c>
      <c r="C329">
        <v>308.14999999999998</v>
      </c>
      <c r="D329">
        <v>405.3</v>
      </c>
      <c r="E329">
        <v>0</v>
      </c>
      <c r="G329">
        <v>2.81E-2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>
      <c r="A330">
        <f t="shared" si="4"/>
        <v>329</v>
      </c>
      <c r="B330" t="s">
        <v>39</v>
      </c>
      <c r="C330">
        <v>308.14999999999998</v>
      </c>
      <c r="D330">
        <v>506.6</v>
      </c>
      <c r="E330">
        <v>0</v>
      </c>
      <c r="G330">
        <v>2.9829999999999999E-2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>
      <c r="A331">
        <f t="shared" si="4"/>
        <v>330</v>
      </c>
      <c r="B331" t="s">
        <v>39</v>
      </c>
      <c r="C331">
        <v>313.14999999999998</v>
      </c>
      <c r="D331">
        <v>25.33</v>
      </c>
      <c r="E331">
        <v>0</v>
      </c>
      <c r="G331">
        <v>9.3159999999999996E-3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>
      <c r="A332">
        <f t="shared" si="4"/>
        <v>331</v>
      </c>
      <c r="B332" t="s">
        <v>39</v>
      </c>
      <c r="C332">
        <v>313.14999999999998</v>
      </c>
      <c r="D332">
        <v>50.66</v>
      </c>
      <c r="E332">
        <v>0</v>
      </c>
      <c r="G332">
        <v>1.6199999999999999E-2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>
      <c r="A333">
        <f t="shared" si="4"/>
        <v>332</v>
      </c>
      <c r="B333" t="s">
        <v>39</v>
      </c>
      <c r="C333">
        <v>313.14999999999998</v>
      </c>
      <c r="D333">
        <v>75.989999999999995</v>
      </c>
      <c r="E333">
        <v>0</v>
      </c>
      <c r="G333">
        <v>2.0459999999999999E-2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>
      <c r="A334">
        <f t="shared" si="4"/>
        <v>333</v>
      </c>
      <c r="B334" t="s">
        <v>39</v>
      </c>
      <c r="C334">
        <v>313.14999999999998</v>
      </c>
      <c r="D334">
        <v>101.33</v>
      </c>
      <c r="E334">
        <v>0</v>
      </c>
      <c r="G334">
        <v>2.2009999999999998E-2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>
      <c r="A335">
        <f t="shared" si="4"/>
        <v>334</v>
      </c>
      <c r="B335" t="s">
        <v>39</v>
      </c>
      <c r="C335">
        <v>313.14999999999998</v>
      </c>
      <c r="D335">
        <v>126.7</v>
      </c>
      <c r="E335">
        <v>0</v>
      </c>
      <c r="G335">
        <v>2.2710000000000001E-2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>
      <c r="A336">
        <f t="shared" si="4"/>
        <v>335</v>
      </c>
      <c r="B336" t="s">
        <v>39</v>
      </c>
      <c r="C336">
        <v>313.14999999999998</v>
      </c>
      <c r="D336">
        <v>152</v>
      </c>
      <c r="E336">
        <v>0</v>
      </c>
      <c r="G336">
        <v>2.3230000000000001E-2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>
      <c r="A337">
        <f t="shared" si="4"/>
        <v>336</v>
      </c>
      <c r="B337" t="s">
        <v>39</v>
      </c>
      <c r="C337">
        <v>313.14999999999998</v>
      </c>
      <c r="D337">
        <v>202.6</v>
      </c>
      <c r="E337">
        <v>0</v>
      </c>
      <c r="G337">
        <v>2.504E-2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>
      <c r="A338">
        <f t="shared" si="4"/>
        <v>337</v>
      </c>
      <c r="B338" t="s">
        <v>39</v>
      </c>
      <c r="C338">
        <v>313.14999999999998</v>
      </c>
      <c r="D338">
        <v>405.3</v>
      </c>
      <c r="E338">
        <v>0</v>
      </c>
      <c r="G338">
        <v>2.7439999999999999E-2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>
      <c r="A339">
        <f t="shared" si="4"/>
        <v>338</v>
      </c>
      <c r="B339" t="s">
        <v>39</v>
      </c>
      <c r="C339">
        <v>313.14999999999998</v>
      </c>
      <c r="D339">
        <v>506.6</v>
      </c>
      <c r="E339">
        <v>0</v>
      </c>
      <c r="G339">
        <v>2.887E-2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>
      <c r="A340">
        <f t="shared" si="4"/>
        <v>339</v>
      </c>
      <c r="B340" t="s">
        <v>40</v>
      </c>
      <c r="C340">
        <v>298.14999999999998</v>
      </c>
      <c r="D340">
        <v>1.01325</v>
      </c>
      <c r="E340">
        <v>0</v>
      </c>
      <c r="F340">
        <v>2.7820472662020035E-2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>
      <c r="A341">
        <f t="shared" si="4"/>
        <v>340</v>
      </c>
      <c r="B341" t="s">
        <v>40</v>
      </c>
      <c r="C341">
        <v>298.14999999999998</v>
      </c>
      <c r="D341">
        <v>25.331250000000001</v>
      </c>
      <c r="E341">
        <v>0</v>
      </c>
      <c r="F341">
        <v>1.6396511288065115E-3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>
      <c r="A342">
        <f t="shared" si="4"/>
        <v>341</v>
      </c>
      <c r="B342" t="s">
        <v>40</v>
      </c>
      <c r="C342">
        <v>298.14999999999998</v>
      </c>
      <c r="D342">
        <v>50.662500000000001</v>
      </c>
      <c r="E342">
        <v>0</v>
      </c>
      <c r="F342">
        <v>1.2922958105745824E-3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>
      <c r="A343">
        <f t="shared" si="4"/>
        <v>342</v>
      </c>
      <c r="B343" t="s">
        <v>40</v>
      </c>
      <c r="C343">
        <v>298.14999999999998</v>
      </c>
      <c r="D343">
        <v>101.325</v>
      </c>
      <c r="E343">
        <v>0</v>
      </c>
      <c r="F343">
        <v>3.3110147626044212E-3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>
      <c r="A344">
        <f t="shared" si="4"/>
        <v>343</v>
      </c>
      <c r="B344" t="s">
        <v>40</v>
      </c>
      <c r="C344">
        <v>298.14999999999998</v>
      </c>
      <c r="D344">
        <v>151.98750000000001</v>
      </c>
      <c r="E344">
        <v>0</v>
      </c>
      <c r="F344">
        <v>3.5828549921562143E-3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>
      <c r="A345">
        <f t="shared" si="4"/>
        <v>344</v>
      </c>
      <c r="B345" t="s">
        <v>40</v>
      </c>
      <c r="C345">
        <v>298.14999999999998</v>
      </c>
      <c r="D345">
        <v>202.65</v>
      </c>
      <c r="E345">
        <v>0</v>
      </c>
      <c r="F345">
        <v>3.755767036200286E-3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>
      <c r="A346">
        <f t="shared" si="4"/>
        <v>345</v>
      </c>
      <c r="B346" t="s">
        <v>40</v>
      </c>
      <c r="C346">
        <v>298.14999999999998</v>
      </c>
      <c r="D346">
        <v>455.96249999999998</v>
      </c>
      <c r="E346">
        <v>0</v>
      </c>
      <c r="F346">
        <v>3.9903374154444081E-3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>
      <c r="A347">
        <f t="shared" si="4"/>
        <v>346</v>
      </c>
      <c r="B347" t="s">
        <v>40</v>
      </c>
      <c r="C347">
        <v>298.14999999999998</v>
      </c>
      <c r="D347">
        <v>481.29374999999999</v>
      </c>
      <c r="E347">
        <v>0</v>
      </c>
      <c r="F347">
        <v>3.9779943599297747E-3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>
      <c r="A348">
        <f t="shared" si="4"/>
        <v>347</v>
      </c>
      <c r="B348" t="s">
        <v>40</v>
      </c>
      <c r="C348">
        <v>298.14999999999998</v>
      </c>
      <c r="D348">
        <v>506.625</v>
      </c>
      <c r="E348">
        <v>0</v>
      </c>
      <c r="F348">
        <v>3.9533073311094416E-3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>
      <c r="A349">
        <f t="shared" si="4"/>
        <v>348</v>
      </c>
      <c r="B349" t="s">
        <v>40</v>
      </c>
      <c r="C349">
        <v>304.19</v>
      </c>
      <c r="D349">
        <v>1.01325</v>
      </c>
      <c r="E349">
        <v>0</v>
      </c>
      <c r="F349">
        <v>3.8289910199358651E-2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>
      <c r="A350">
        <f t="shared" si="4"/>
        <v>349</v>
      </c>
      <c r="B350" t="s">
        <v>40</v>
      </c>
      <c r="C350">
        <v>304.19</v>
      </c>
      <c r="D350">
        <v>25.331250000000001</v>
      </c>
      <c r="E350">
        <v>0</v>
      </c>
      <c r="F350">
        <v>2.2717135671828713E-3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>
      <c r="A351">
        <f t="shared" si="4"/>
        <v>350</v>
      </c>
      <c r="B351" t="s">
        <v>40</v>
      </c>
      <c r="C351">
        <v>304.19</v>
      </c>
      <c r="D351">
        <v>50.662500000000001</v>
      </c>
      <c r="E351">
        <v>0</v>
      </c>
      <c r="F351">
        <v>1.6024460452533395E-3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>
      <c r="A352">
        <f t="shared" si="4"/>
        <v>351</v>
      </c>
      <c r="B352" t="s">
        <v>40</v>
      </c>
      <c r="C352">
        <v>304.19</v>
      </c>
      <c r="D352">
        <v>101.325</v>
      </c>
      <c r="E352">
        <v>0</v>
      </c>
      <c r="F352">
        <v>3.6322645577610943E-3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>
      <c r="A353">
        <f t="shared" si="4"/>
        <v>352</v>
      </c>
      <c r="B353" t="s">
        <v>40</v>
      </c>
      <c r="C353">
        <v>304.19</v>
      </c>
      <c r="D353">
        <v>202.65</v>
      </c>
      <c r="E353">
        <v>0</v>
      </c>
      <c r="F353">
        <v>4.1877847069445549E-3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>
      <c r="A354">
        <f t="shared" si="4"/>
        <v>353</v>
      </c>
      <c r="B354" t="s">
        <v>40</v>
      </c>
      <c r="C354">
        <v>304.19</v>
      </c>
      <c r="D354">
        <v>405.3</v>
      </c>
      <c r="E354">
        <v>0</v>
      </c>
      <c r="F354">
        <v>4.7426857460121288E-3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>
      <c r="A355">
        <f t="shared" si="4"/>
        <v>354</v>
      </c>
      <c r="B355" t="s">
        <v>40</v>
      </c>
      <c r="C355">
        <v>304.19</v>
      </c>
      <c r="D355">
        <v>506.625</v>
      </c>
      <c r="E355">
        <v>0</v>
      </c>
      <c r="F355">
        <v>4.7796571611619185E-3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>
      <c r="A356">
        <f t="shared" si="4"/>
        <v>355</v>
      </c>
      <c r="B356" t="s">
        <v>40</v>
      </c>
      <c r="C356">
        <v>304.19</v>
      </c>
      <c r="D356">
        <v>531.95624999999995</v>
      </c>
      <c r="E356">
        <v>0</v>
      </c>
      <c r="F356">
        <v>4.7303613305323478E-3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>
      <c r="A357">
        <f t="shared" si="4"/>
        <v>356</v>
      </c>
      <c r="B357" t="s">
        <v>40</v>
      </c>
      <c r="C357">
        <v>304.19</v>
      </c>
      <c r="D357">
        <v>557.28750000000002</v>
      </c>
      <c r="E357">
        <v>0</v>
      </c>
      <c r="F357">
        <v>4.7550098562694253E-3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>
      <c r="A358">
        <f t="shared" ref="A358:A421" si="5">A357+1</f>
        <v>357</v>
      </c>
      <c r="B358" t="s">
        <v>40</v>
      </c>
      <c r="C358">
        <v>323.14999999999998</v>
      </c>
      <c r="D358">
        <v>1.01325</v>
      </c>
      <c r="E358">
        <v>0</v>
      </c>
      <c r="F358">
        <v>0.10371022736541179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>
      <c r="A359">
        <f t="shared" si="5"/>
        <v>358</v>
      </c>
      <c r="B359" t="s">
        <v>40</v>
      </c>
      <c r="C359">
        <v>323.14999999999998</v>
      </c>
      <c r="D359">
        <v>25.331250000000001</v>
      </c>
      <c r="E359">
        <v>0</v>
      </c>
      <c r="F359">
        <v>6.1579605620342114E-3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>
      <c r="A360">
        <f t="shared" si="5"/>
        <v>359</v>
      </c>
      <c r="B360" t="s">
        <v>40</v>
      </c>
      <c r="C360">
        <v>323.14999999999998</v>
      </c>
      <c r="D360">
        <v>50.662500000000001</v>
      </c>
      <c r="E360">
        <v>0</v>
      </c>
      <c r="F360">
        <v>3.8175067947814733E-3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>
      <c r="A361">
        <f t="shared" si="5"/>
        <v>360</v>
      </c>
      <c r="B361" t="s">
        <v>40</v>
      </c>
      <c r="C361">
        <v>323.14999999999998</v>
      </c>
      <c r="D361">
        <v>60.795000000000002</v>
      </c>
      <c r="E361">
        <v>0</v>
      </c>
      <c r="F361">
        <v>3.5581483716544847E-3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>
      <c r="A362">
        <f t="shared" si="5"/>
        <v>361</v>
      </c>
      <c r="B362" t="s">
        <v>40</v>
      </c>
      <c r="C362">
        <v>323.14999999999998</v>
      </c>
      <c r="D362">
        <v>75.993750000000006</v>
      </c>
      <c r="E362">
        <v>0</v>
      </c>
      <c r="F362">
        <v>3.4840211582584544E-3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>
      <c r="A363">
        <f t="shared" si="5"/>
        <v>362</v>
      </c>
      <c r="B363" t="s">
        <v>40</v>
      </c>
      <c r="C363">
        <v>323.14999999999998</v>
      </c>
      <c r="D363">
        <v>101.325</v>
      </c>
      <c r="E363">
        <v>0</v>
      </c>
      <c r="F363">
        <v>4.4714780789766361E-3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>
      <c r="A364">
        <f t="shared" si="5"/>
        <v>363</v>
      </c>
      <c r="B364" t="s">
        <v>40</v>
      </c>
      <c r="C364">
        <v>323.14999999999998</v>
      </c>
      <c r="D364">
        <v>151.98750000000001</v>
      </c>
      <c r="E364">
        <v>0</v>
      </c>
      <c r="F364">
        <v>6.0596369386326709E-3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>
      <c r="A365">
        <f t="shared" si="5"/>
        <v>364</v>
      </c>
      <c r="B365" t="s">
        <v>40</v>
      </c>
      <c r="C365">
        <v>323.14999999999998</v>
      </c>
      <c r="D365">
        <v>202.65</v>
      </c>
      <c r="E365">
        <v>0</v>
      </c>
      <c r="F365">
        <v>6.7229441024357567E-3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>
      <c r="A366">
        <f t="shared" si="5"/>
        <v>365</v>
      </c>
      <c r="B366" t="s">
        <v>40</v>
      </c>
      <c r="C366">
        <v>323.14999999999998</v>
      </c>
      <c r="D366">
        <v>405.3</v>
      </c>
      <c r="E366">
        <v>0</v>
      </c>
      <c r="F366">
        <v>7.5324515550289212E-3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>
      <c r="A367">
        <f t="shared" si="5"/>
        <v>366</v>
      </c>
      <c r="B367" t="s">
        <v>40</v>
      </c>
      <c r="C367">
        <v>323.14999999999998</v>
      </c>
      <c r="D367">
        <v>607.95000000000005</v>
      </c>
      <c r="E367">
        <v>0</v>
      </c>
      <c r="F367">
        <v>7.8632335181373914E-3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>
      <c r="A368">
        <f t="shared" si="5"/>
        <v>367</v>
      </c>
      <c r="B368" t="s">
        <v>40</v>
      </c>
      <c r="C368">
        <v>323.14999999999998</v>
      </c>
      <c r="D368">
        <v>709.27499999999998</v>
      </c>
      <c r="E368">
        <v>0</v>
      </c>
      <c r="F368">
        <v>7.9489558150861624E-3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>
      <c r="A369">
        <f t="shared" si="5"/>
        <v>368</v>
      </c>
      <c r="B369" t="s">
        <v>40</v>
      </c>
      <c r="C369">
        <v>348.15</v>
      </c>
      <c r="D369">
        <v>1.01325</v>
      </c>
      <c r="E369">
        <v>0</v>
      </c>
      <c r="F369">
        <v>0.23141744147474388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>
      <c r="A370">
        <f t="shared" si="5"/>
        <v>369</v>
      </c>
      <c r="B370" t="s">
        <v>40</v>
      </c>
      <c r="C370">
        <v>348.15</v>
      </c>
      <c r="D370">
        <v>25.331250000000001</v>
      </c>
      <c r="E370">
        <v>0</v>
      </c>
      <c r="F370">
        <v>1.0525936039743453E-2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>
      <c r="A371">
        <f t="shared" si="5"/>
        <v>370</v>
      </c>
      <c r="B371" t="s">
        <v>40</v>
      </c>
      <c r="C371">
        <v>348.15</v>
      </c>
      <c r="D371">
        <v>101.325</v>
      </c>
      <c r="E371">
        <v>0</v>
      </c>
      <c r="F371">
        <v>8.2182723382082969E-3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>
      <c r="A372">
        <f t="shared" si="5"/>
        <v>371</v>
      </c>
      <c r="B372" t="s">
        <v>40</v>
      </c>
      <c r="C372">
        <v>348.15</v>
      </c>
      <c r="D372">
        <v>111.4575</v>
      </c>
      <c r="E372">
        <v>0</v>
      </c>
      <c r="F372">
        <v>8.0469060177532775E-3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>
      <c r="A373">
        <f t="shared" si="5"/>
        <v>372</v>
      </c>
      <c r="B373" t="s">
        <v>40</v>
      </c>
      <c r="C373">
        <v>348.15</v>
      </c>
      <c r="D373">
        <v>126.65625</v>
      </c>
      <c r="E373">
        <v>0</v>
      </c>
      <c r="F373">
        <v>8.4752108302460043E-3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>
      <c r="A374">
        <f t="shared" si="5"/>
        <v>373</v>
      </c>
      <c r="B374" t="s">
        <v>40</v>
      </c>
      <c r="C374">
        <v>348.15</v>
      </c>
      <c r="D374">
        <v>151.98750000000001</v>
      </c>
      <c r="E374">
        <v>0</v>
      </c>
      <c r="F374">
        <v>9.4650134801510105E-3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>
      <c r="A375">
        <f t="shared" si="5"/>
        <v>374</v>
      </c>
      <c r="B375" t="s">
        <v>40</v>
      </c>
      <c r="C375">
        <v>348.15</v>
      </c>
      <c r="D375">
        <v>202.65</v>
      </c>
      <c r="E375">
        <v>0</v>
      </c>
      <c r="F375">
        <v>1.1195462510454878E-2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>
      <c r="A376">
        <f t="shared" si="5"/>
        <v>375</v>
      </c>
      <c r="B376" t="s">
        <v>40</v>
      </c>
      <c r="C376">
        <v>348.15</v>
      </c>
      <c r="D376">
        <v>405.3</v>
      </c>
      <c r="E376">
        <v>0</v>
      </c>
      <c r="F376">
        <v>1.3016847052313622E-2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>
      <c r="A377">
        <f t="shared" si="5"/>
        <v>376</v>
      </c>
      <c r="B377" t="s">
        <v>40</v>
      </c>
      <c r="C377">
        <v>348.15</v>
      </c>
      <c r="D377">
        <v>607.95000000000005</v>
      </c>
      <c r="E377">
        <v>0</v>
      </c>
      <c r="F377">
        <v>1.3743523450969797E-2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>
      <c r="A378">
        <f t="shared" si="5"/>
        <v>377</v>
      </c>
      <c r="B378" t="s">
        <v>40</v>
      </c>
      <c r="C378">
        <v>348.15</v>
      </c>
      <c r="D378">
        <v>709.27499999999998</v>
      </c>
      <c r="E378">
        <v>0</v>
      </c>
      <c r="F378">
        <v>1.3804031519809346E-2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>
      <c r="A379">
        <f t="shared" si="5"/>
        <v>378</v>
      </c>
      <c r="B379" t="s">
        <v>48</v>
      </c>
      <c r="C379">
        <v>374.15</v>
      </c>
      <c r="D379">
        <v>623.14874999999995</v>
      </c>
      <c r="E379">
        <v>0</v>
      </c>
      <c r="G379">
        <v>2.8199999999999999E-2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>
      <c r="A380">
        <f t="shared" si="5"/>
        <v>379</v>
      </c>
      <c r="B380" t="s">
        <v>48</v>
      </c>
      <c r="C380">
        <v>374.15</v>
      </c>
      <c r="D380">
        <v>565.39350000000002</v>
      </c>
      <c r="E380">
        <v>0</v>
      </c>
      <c r="G380">
        <v>2.7799999999999998E-2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>
      <c r="A381">
        <f t="shared" si="5"/>
        <v>380</v>
      </c>
      <c r="B381" t="s">
        <v>48</v>
      </c>
      <c r="C381">
        <v>374.15</v>
      </c>
      <c r="D381">
        <v>524.86350000000004</v>
      </c>
      <c r="E381">
        <v>0</v>
      </c>
      <c r="G381">
        <v>2.6599999999999999E-2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>
      <c r="A382">
        <f t="shared" si="5"/>
        <v>381</v>
      </c>
      <c r="B382" t="s">
        <v>48</v>
      </c>
      <c r="C382">
        <v>374.15</v>
      </c>
      <c r="D382">
        <v>457.98899999999998</v>
      </c>
      <c r="E382">
        <v>0</v>
      </c>
      <c r="G382">
        <v>2.5100000000000001E-2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>
      <c r="A383">
        <f t="shared" si="5"/>
        <v>382</v>
      </c>
      <c r="B383" t="s">
        <v>48</v>
      </c>
      <c r="C383">
        <v>374.15</v>
      </c>
      <c r="D383">
        <v>448.86975000000001</v>
      </c>
      <c r="E383">
        <v>0</v>
      </c>
      <c r="G383">
        <v>2.53E-2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>
      <c r="A384">
        <f t="shared" si="5"/>
        <v>383</v>
      </c>
      <c r="B384" t="s">
        <v>48</v>
      </c>
      <c r="C384">
        <v>374.15</v>
      </c>
      <c r="D384">
        <v>329.30624999999998</v>
      </c>
      <c r="E384">
        <v>0</v>
      </c>
      <c r="G384">
        <v>2.3099999999999999E-2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>
      <c r="A385">
        <f t="shared" si="5"/>
        <v>384</v>
      </c>
      <c r="B385" t="s">
        <v>48</v>
      </c>
      <c r="C385">
        <v>374.15</v>
      </c>
      <c r="D385">
        <v>324.24</v>
      </c>
      <c r="E385">
        <v>0</v>
      </c>
      <c r="G385">
        <v>2.3300000000000001E-2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>
      <c r="A386">
        <f t="shared" si="5"/>
        <v>385</v>
      </c>
      <c r="B386" t="s">
        <v>48</v>
      </c>
      <c r="C386">
        <v>374.15</v>
      </c>
      <c r="D386">
        <v>202.65</v>
      </c>
      <c r="E386">
        <v>0</v>
      </c>
      <c r="G386">
        <v>2.2100000000000002E-2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>
        <f t="shared" si="5"/>
        <v>386</v>
      </c>
      <c r="B387" t="s">
        <v>48</v>
      </c>
      <c r="C387">
        <v>374.15</v>
      </c>
      <c r="D387">
        <v>286.74975000000001</v>
      </c>
      <c r="E387">
        <v>0</v>
      </c>
      <c r="G387">
        <v>2.23E-2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>
        <f t="shared" si="5"/>
        <v>387</v>
      </c>
      <c r="B388" t="s">
        <v>48</v>
      </c>
      <c r="C388">
        <v>374.15</v>
      </c>
      <c r="D388">
        <v>214.809</v>
      </c>
      <c r="E388">
        <v>0</v>
      </c>
      <c r="G388">
        <v>2.07E-2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>
        <f t="shared" si="5"/>
        <v>388</v>
      </c>
      <c r="B389" t="s">
        <v>48</v>
      </c>
      <c r="C389">
        <v>374.15</v>
      </c>
      <c r="D389">
        <v>212.7825</v>
      </c>
      <c r="E389">
        <v>0</v>
      </c>
      <c r="G389">
        <v>2.0500000000000001E-2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>
      <c r="A390">
        <f t="shared" si="5"/>
        <v>389</v>
      </c>
      <c r="B390" t="s">
        <v>48</v>
      </c>
      <c r="C390">
        <v>374.15</v>
      </c>
      <c r="D390">
        <v>110.44425</v>
      </c>
      <c r="E390">
        <v>0</v>
      </c>
      <c r="G390">
        <v>1.5299999999999999E-2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>
      <c r="A391">
        <f t="shared" si="5"/>
        <v>390</v>
      </c>
      <c r="B391" t="s">
        <v>48</v>
      </c>
      <c r="C391">
        <v>374.15</v>
      </c>
      <c r="D391">
        <v>108.41775</v>
      </c>
      <c r="E391">
        <v>0</v>
      </c>
      <c r="G391">
        <v>1.4999999999999999E-2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>
      <c r="A392">
        <f t="shared" si="5"/>
        <v>391</v>
      </c>
      <c r="B392" t="s">
        <v>48</v>
      </c>
      <c r="C392">
        <v>374.15</v>
      </c>
      <c r="D392">
        <v>57.755249999999997</v>
      </c>
      <c r="E392">
        <v>0</v>
      </c>
      <c r="G392">
        <v>1.0800000000000001E-2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>
      <c r="A393">
        <f t="shared" si="5"/>
        <v>392</v>
      </c>
      <c r="B393" t="s">
        <v>48</v>
      </c>
      <c r="C393">
        <v>393.15</v>
      </c>
      <c r="D393">
        <v>703.19550000000004</v>
      </c>
      <c r="E393">
        <v>0</v>
      </c>
      <c r="G393">
        <v>0.03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>
      <c r="A394">
        <f t="shared" si="5"/>
        <v>393</v>
      </c>
      <c r="B394" t="s">
        <v>48</v>
      </c>
      <c r="C394">
        <v>393.15</v>
      </c>
      <c r="D394">
        <v>654.55949999999996</v>
      </c>
      <c r="E394">
        <v>0</v>
      </c>
      <c r="G394">
        <v>2.9899999999999999E-2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>
      <c r="A395">
        <f t="shared" si="5"/>
        <v>394</v>
      </c>
      <c r="B395" t="s">
        <v>48</v>
      </c>
      <c r="C395">
        <v>393.15</v>
      </c>
      <c r="D395">
        <v>577.55250000000001</v>
      </c>
      <c r="E395">
        <v>0</v>
      </c>
      <c r="G395">
        <v>2.9000000000000001E-2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>
      <c r="A396">
        <f t="shared" si="5"/>
        <v>395</v>
      </c>
      <c r="B396" t="s">
        <v>48</v>
      </c>
      <c r="C396">
        <v>393.15</v>
      </c>
      <c r="D396">
        <v>569.44650000000001</v>
      </c>
      <c r="E396">
        <v>0</v>
      </c>
      <c r="G396">
        <v>2.8799999999999999E-2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>
      <c r="A397">
        <f t="shared" si="5"/>
        <v>396</v>
      </c>
      <c r="B397" t="s">
        <v>48</v>
      </c>
      <c r="C397">
        <v>393.15</v>
      </c>
      <c r="D397">
        <v>364.77</v>
      </c>
      <c r="E397">
        <v>0</v>
      </c>
      <c r="G397">
        <v>2.5000000000000001E-2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>
      <c r="A398">
        <f t="shared" si="5"/>
        <v>397</v>
      </c>
      <c r="B398" t="s">
        <v>48</v>
      </c>
      <c r="C398">
        <v>393.15</v>
      </c>
      <c r="D398">
        <v>357.67725000000002</v>
      </c>
      <c r="E398">
        <v>0</v>
      </c>
      <c r="G398">
        <v>2.4799999999999999E-2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>
      <c r="A399">
        <f t="shared" si="5"/>
        <v>398</v>
      </c>
      <c r="B399" t="s">
        <v>48</v>
      </c>
      <c r="C399">
        <v>393.15</v>
      </c>
      <c r="D399">
        <v>189.47774999999999</v>
      </c>
      <c r="E399">
        <v>0</v>
      </c>
      <c r="G399">
        <v>0.02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>
      <c r="A400">
        <f t="shared" si="5"/>
        <v>399</v>
      </c>
      <c r="B400" t="s">
        <v>48</v>
      </c>
      <c r="C400">
        <v>393.15</v>
      </c>
      <c r="D400">
        <v>188.46449999999999</v>
      </c>
      <c r="E400">
        <v>0</v>
      </c>
      <c r="G400">
        <v>1.9300000000000001E-2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>
      <c r="A401">
        <f t="shared" si="5"/>
        <v>400</v>
      </c>
      <c r="B401" t="s">
        <v>48</v>
      </c>
      <c r="C401">
        <v>393.15</v>
      </c>
      <c r="D401">
        <v>69.914249999999996</v>
      </c>
      <c r="E401">
        <v>0</v>
      </c>
      <c r="G401">
        <v>1.0500000000000001E-2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>
      <c r="A402">
        <f t="shared" si="5"/>
        <v>401</v>
      </c>
      <c r="B402" t="s">
        <v>48</v>
      </c>
      <c r="C402">
        <v>393.15</v>
      </c>
      <c r="D402">
        <v>68.900999999999996</v>
      </c>
      <c r="E402">
        <v>0</v>
      </c>
      <c r="G402">
        <v>0.01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>
      <c r="A403">
        <f t="shared" si="5"/>
        <v>402</v>
      </c>
      <c r="B403" t="s">
        <v>48</v>
      </c>
      <c r="C403">
        <v>393.15</v>
      </c>
      <c r="D403">
        <v>23.304749999999999</v>
      </c>
      <c r="E403">
        <v>0</v>
      </c>
      <c r="G403">
        <v>4.0000000000000001E-3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>
      <c r="A404">
        <f t="shared" si="5"/>
        <v>403</v>
      </c>
      <c r="B404" t="s">
        <v>48</v>
      </c>
      <c r="C404">
        <v>393.15</v>
      </c>
      <c r="D404">
        <v>23.304749999999999</v>
      </c>
      <c r="E404">
        <v>0</v>
      </c>
      <c r="G404">
        <v>3.8E-3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>
      <c r="A405">
        <f t="shared" si="5"/>
        <v>404</v>
      </c>
      <c r="B405" t="s">
        <v>48</v>
      </c>
      <c r="C405">
        <v>348.65</v>
      </c>
      <c r="D405">
        <v>628.21500000000003</v>
      </c>
      <c r="E405">
        <v>1.0123180057696113</v>
      </c>
      <c r="G405">
        <v>1.9199999999999998E-2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>
      <c r="A406">
        <f t="shared" si="5"/>
        <v>405</v>
      </c>
      <c r="B406" t="s">
        <v>48</v>
      </c>
      <c r="C406">
        <v>348.65</v>
      </c>
      <c r="D406">
        <v>592.75125000000003</v>
      </c>
      <c r="E406">
        <v>1.0123180057696113</v>
      </c>
      <c r="G406">
        <v>1.84E-2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>
      <c r="A407">
        <f t="shared" si="5"/>
        <v>406</v>
      </c>
      <c r="B407" t="s">
        <v>48</v>
      </c>
      <c r="C407">
        <v>348.65</v>
      </c>
      <c r="D407">
        <v>451.90949999999998</v>
      </c>
      <c r="E407">
        <v>1.0123180057696113</v>
      </c>
      <c r="G407">
        <v>1.6799999999999999E-2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>
      <c r="A408">
        <f t="shared" si="5"/>
        <v>407</v>
      </c>
      <c r="B408" t="s">
        <v>48</v>
      </c>
      <c r="C408">
        <v>348.65</v>
      </c>
      <c r="D408">
        <v>431.64449999999999</v>
      </c>
      <c r="E408">
        <v>1.0123180057696113</v>
      </c>
      <c r="G408">
        <v>1.7000000000000001E-2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>
      <c r="A409">
        <f t="shared" si="5"/>
        <v>408</v>
      </c>
      <c r="B409" t="s">
        <v>48</v>
      </c>
      <c r="C409">
        <v>348.65</v>
      </c>
      <c r="D409">
        <v>332.346</v>
      </c>
      <c r="E409">
        <v>1.0123180057696113</v>
      </c>
      <c r="G409">
        <v>1.5800000000000002E-2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>
      <c r="A410">
        <f t="shared" si="5"/>
        <v>409</v>
      </c>
      <c r="B410" t="s">
        <v>48</v>
      </c>
      <c r="C410">
        <v>348.65</v>
      </c>
      <c r="D410">
        <v>314.10750000000002</v>
      </c>
      <c r="E410">
        <v>1.0123180057696113</v>
      </c>
      <c r="G410">
        <v>1.54E-2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>
        <f t="shared" si="5"/>
        <v>410</v>
      </c>
      <c r="B411" t="s">
        <v>48</v>
      </c>
      <c r="C411">
        <v>348.65</v>
      </c>
      <c r="D411">
        <v>165.15975</v>
      </c>
      <c r="E411">
        <v>1.0123180057696113</v>
      </c>
      <c r="G411">
        <v>1.3299999999999999E-2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>
      <c r="A412">
        <f t="shared" si="5"/>
        <v>411</v>
      </c>
      <c r="B412" t="s">
        <v>48</v>
      </c>
      <c r="C412">
        <v>348.65</v>
      </c>
      <c r="D412">
        <v>164.1465</v>
      </c>
      <c r="E412">
        <v>1.0123180057696113</v>
      </c>
      <c r="G412">
        <v>1.3299999999999999E-2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>
      <c r="A413">
        <f t="shared" si="5"/>
        <v>412</v>
      </c>
      <c r="B413" t="s">
        <v>48</v>
      </c>
      <c r="C413">
        <v>348.65</v>
      </c>
      <c r="D413">
        <v>63.83475</v>
      </c>
      <c r="E413">
        <v>1.0123180057696113</v>
      </c>
      <c r="G413">
        <v>8.3000000000000001E-3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>
      <c r="A414">
        <f t="shared" si="5"/>
        <v>413</v>
      </c>
      <c r="B414" t="s">
        <v>48</v>
      </c>
      <c r="C414">
        <v>348.65</v>
      </c>
      <c r="D414">
        <v>62.8215</v>
      </c>
      <c r="E414">
        <v>1.0123180057696113</v>
      </c>
      <c r="G414">
        <v>8.0999999999999996E-3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>
      <c r="A415">
        <f t="shared" si="5"/>
        <v>414</v>
      </c>
      <c r="B415" t="s">
        <v>48</v>
      </c>
      <c r="C415">
        <v>348.65</v>
      </c>
      <c r="D415">
        <v>16.212</v>
      </c>
      <c r="E415">
        <v>1.0123180057696113</v>
      </c>
      <c r="G415">
        <v>2.7000000000000001E-3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>
      <c r="A416">
        <f t="shared" si="5"/>
        <v>415</v>
      </c>
      <c r="B416" t="s">
        <v>48</v>
      </c>
      <c r="C416">
        <v>348.65</v>
      </c>
      <c r="D416">
        <v>16.212</v>
      </c>
      <c r="E416">
        <v>1.0123180057696113</v>
      </c>
      <c r="G416">
        <v>2.5999999999999999E-3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>
      <c r="A417">
        <f t="shared" si="5"/>
        <v>416</v>
      </c>
      <c r="B417" t="s">
        <v>48</v>
      </c>
      <c r="C417">
        <v>374.15</v>
      </c>
      <c r="D417">
        <v>626.18849999999998</v>
      </c>
      <c r="E417">
        <v>1.0123180057696113</v>
      </c>
      <c r="G417">
        <v>1.8599999999999998E-2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>
      <c r="A418">
        <f t="shared" si="5"/>
        <v>417</v>
      </c>
      <c r="B418" t="s">
        <v>48</v>
      </c>
      <c r="C418">
        <v>374.15</v>
      </c>
      <c r="D418">
        <v>582.61874999999998</v>
      </c>
      <c r="E418">
        <v>1.0123180057696113</v>
      </c>
      <c r="G418">
        <v>1.8499999999999999E-2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>
      <c r="A419">
        <f t="shared" si="5"/>
        <v>418</v>
      </c>
      <c r="B419" t="s">
        <v>48</v>
      </c>
      <c r="C419">
        <v>374.15</v>
      </c>
      <c r="D419">
        <v>506.625</v>
      </c>
      <c r="E419">
        <v>1.0123180057696113</v>
      </c>
      <c r="G419">
        <v>1.7399999999999999E-2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>
      <c r="A420">
        <f t="shared" si="5"/>
        <v>419</v>
      </c>
      <c r="B420" t="s">
        <v>48</v>
      </c>
      <c r="C420">
        <v>374.15</v>
      </c>
      <c r="D420">
        <v>399.22050000000002</v>
      </c>
      <c r="E420">
        <v>1.0123180057696113</v>
      </c>
      <c r="G420">
        <v>1.6799999999999999E-2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>
      <c r="A421">
        <f t="shared" si="5"/>
        <v>420</v>
      </c>
      <c r="B421" t="s">
        <v>48</v>
      </c>
      <c r="C421">
        <v>374.15</v>
      </c>
      <c r="D421">
        <v>385.03499999999997</v>
      </c>
      <c r="E421">
        <v>1.0123180057696113</v>
      </c>
      <c r="G421">
        <v>1.6500000000000001E-2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>
      <c r="A422">
        <f t="shared" ref="A422:A485" si="6">A421+1</f>
        <v>421</v>
      </c>
      <c r="B422" t="s">
        <v>48</v>
      </c>
      <c r="C422">
        <v>374.15</v>
      </c>
      <c r="D422">
        <v>356.66399999999999</v>
      </c>
      <c r="E422">
        <v>1.0123180057696113</v>
      </c>
      <c r="G422">
        <v>1.5900000000000001E-2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>
      <c r="A423">
        <f t="shared" si="6"/>
        <v>422</v>
      </c>
      <c r="B423" t="s">
        <v>48</v>
      </c>
      <c r="C423">
        <v>374.15</v>
      </c>
      <c r="D423">
        <v>351.59775000000002</v>
      </c>
      <c r="E423">
        <v>1.0123180057696113</v>
      </c>
      <c r="G423">
        <v>1.6199999999999999E-2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>
      <c r="A424">
        <f t="shared" si="6"/>
        <v>423</v>
      </c>
      <c r="B424" t="s">
        <v>48</v>
      </c>
      <c r="C424">
        <v>374.15</v>
      </c>
      <c r="D424">
        <v>289.78949999999998</v>
      </c>
      <c r="E424">
        <v>1.0123180057696113</v>
      </c>
      <c r="G424">
        <v>1.52E-2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>
      <c r="A425">
        <f t="shared" si="6"/>
        <v>424</v>
      </c>
      <c r="B425" t="s">
        <v>48</v>
      </c>
      <c r="C425">
        <v>374.15</v>
      </c>
      <c r="D425">
        <v>289.78949999999998</v>
      </c>
      <c r="E425">
        <v>1.0123180057696113</v>
      </c>
      <c r="G425">
        <v>1.47E-2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>
      <c r="A426">
        <f t="shared" si="6"/>
        <v>425</v>
      </c>
      <c r="B426" t="s">
        <v>48</v>
      </c>
      <c r="C426">
        <v>374.15</v>
      </c>
      <c r="D426">
        <v>215.82225</v>
      </c>
      <c r="E426">
        <v>1.0123180057696113</v>
      </c>
      <c r="G426">
        <v>1.4E-2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>
      <c r="A427">
        <f t="shared" si="6"/>
        <v>426</v>
      </c>
      <c r="B427" t="s">
        <v>48</v>
      </c>
      <c r="C427">
        <v>374.15</v>
      </c>
      <c r="D427">
        <v>215.82225</v>
      </c>
      <c r="E427">
        <v>1.0123180057696113</v>
      </c>
      <c r="G427">
        <v>1.35E-2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>
      <c r="A428">
        <f t="shared" si="6"/>
        <v>427</v>
      </c>
      <c r="B428" t="s">
        <v>48</v>
      </c>
      <c r="C428">
        <v>374.15</v>
      </c>
      <c r="D428">
        <v>121.59</v>
      </c>
      <c r="E428">
        <v>1.0123180057696113</v>
      </c>
      <c r="G428">
        <v>1.1299999999999999E-2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>
      <c r="A429">
        <f t="shared" si="6"/>
        <v>428</v>
      </c>
      <c r="B429" t="s">
        <v>48</v>
      </c>
      <c r="C429">
        <v>374.15</v>
      </c>
      <c r="D429">
        <v>121.59</v>
      </c>
      <c r="E429">
        <v>1.0123180057696113</v>
      </c>
      <c r="G429">
        <v>1.12E-2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>
      <c r="A430">
        <f t="shared" si="6"/>
        <v>429</v>
      </c>
      <c r="B430" t="s">
        <v>48</v>
      </c>
      <c r="C430">
        <v>374.15</v>
      </c>
      <c r="D430">
        <v>56.741999999999997</v>
      </c>
      <c r="E430">
        <v>1.0123180057696113</v>
      </c>
      <c r="G430">
        <v>8.0999999999999996E-3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>
      <c r="A431">
        <f t="shared" si="6"/>
        <v>430</v>
      </c>
      <c r="B431" t="s">
        <v>48</v>
      </c>
      <c r="C431">
        <v>374.15</v>
      </c>
      <c r="D431">
        <v>17.225249999999999</v>
      </c>
      <c r="E431">
        <v>1.0123180057696113</v>
      </c>
      <c r="G431">
        <v>2.2000000000000001E-3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>
      <c r="A432">
        <f t="shared" si="6"/>
        <v>431</v>
      </c>
      <c r="B432" t="s">
        <v>48</v>
      </c>
      <c r="C432">
        <v>374.15</v>
      </c>
      <c r="D432">
        <v>17.225249999999999</v>
      </c>
      <c r="E432">
        <v>1.0123180057696113</v>
      </c>
      <c r="G432">
        <v>2.0999999999999999E-3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>
      <c r="A433">
        <f t="shared" si="6"/>
        <v>432</v>
      </c>
      <c r="B433" t="s">
        <v>48</v>
      </c>
      <c r="C433">
        <v>394.15</v>
      </c>
      <c r="D433">
        <v>712.31475</v>
      </c>
      <c r="E433">
        <v>1.0123180057696113</v>
      </c>
      <c r="G433">
        <v>1.9300000000000001E-2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>
      <c r="A434">
        <f t="shared" si="6"/>
        <v>433</v>
      </c>
      <c r="B434" t="s">
        <v>48</v>
      </c>
      <c r="C434">
        <v>394.15</v>
      </c>
      <c r="D434">
        <v>629.22825</v>
      </c>
      <c r="E434">
        <v>1.0123180057696113</v>
      </c>
      <c r="G434">
        <v>1.8100000000000002E-2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>
      <c r="A435">
        <f t="shared" si="6"/>
        <v>434</v>
      </c>
      <c r="B435" t="s">
        <v>48</v>
      </c>
      <c r="C435">
        <v>394.15</v>
      </c>
      <c r="D435">
        <v>592.75125000000003</v>
      </c>
      <c r="E435">
        <v>1.0123180057696113</v>
      </c>
      <c r="G435">
        <v>1.84E-2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>
      <c r="A436">
        <f t="shared" si="6"/>
        <v>435</v>
      </c>
      <c r="B436" t="s">
        <v>48</v>
      </c>
      <c r="C436">
        <v>394.15</v>
      </c>
      <c r="D436">
        <v>466.09499999999997</v>
      </c>
      <c r="E436">
        <v>1.0123180057696113</v>
      </c>
      <c r="G436">
        <v>1.67E-2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>
      <c r="A437">
        <f t="shared" si="6"/>
        <v>436</v>
      </c>
      <c r="B437" t="s">
        <v>48</v>
      </c>
      <c r="C437">
        <v>394.15</v>
      </c>
      <c r="D437">
        <v>442.79025000000001</v>
      </c>
      <c r="E437">
        <v>1.0123180057696113</v>
      </c>
      <c r="G437">
        <v>1.6799999999999999E-2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>
      <c r="A438">
        <f t="shared" si="6"/>
        <v>437</v>
      </c>
      <c r="B438" t="s">
        <v>48</v>
      </c>
      <c r="C438">
        <v>394.15</v>
      </c>
      <c r="D438">
        <v>303.97500000000002</v>
      </c>
      <c r="E438">
        <v>1.0123180057696113</v>
      </c>
      <c r="G438">
        <v>1.4800000000000001E-2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>
      <c r="A439">
        <f t="shared" si="6"/>
        <v>438</v>
      </c>
      <c r="B439" t="s">
        <v>48</v>
      </c>
      <c r="C439">
        <v>394.15</v>
      </c>
      <c r="D439">
        <v>300.93525</v>
      </c>
      <c r="E439">
        <v>1.0123180057696113</v>
      </c>
      <c r="G439">
        <v>1.4800000000000001E-2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>
      <c r="A440">
        <f t="shared" si="6"/>
        <v>439</v>
      </c>
      <c r="B440" t="s">
        <v>48</v>
      </c>
      <c r="C440">
        <v>394.15</v>
      </c>
      <c r="D440">
        <v>155.02725000000001</v>
      </c>
      <c r="E440">
        <v>1.0123180057696113</v>
      </c>
      <c r="G440">
        <v>1.11E-2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>
      <c r="A441">
        <f t="shared" si="6"/>
        <v>440</v>
      </c>
      <c r="B441" t="s">
        <v>48</v>
      </c>
      <c r="C441">
        <v>394.15</v>
      </c>
      <c r="D441">
        <v>141.85499999999999</v>
      </c>
      <c r="E441">
        <v>1.0123180057696113</v>
      </c>
      <c r="G441">
        <v>1.1299999999999999E-2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>
      <c r="A442">
        <f t="shared" si="6"/>
        <v>441</v>
      </c>
      <c r="B442" t="s">
        <v>48</v>
      </c>
      <c r="C442">
        <v>394.15</v>
      </c>
      <c r="D442">
        <v>78.020250000000004</v>
      </c>
      <c r="E442">
        <v>1.0123180057696113</v>
      </c>
      <c r="G442">
        <v>6.8999999999999999E-3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>
      <c r="A443">
        <f t="shared" si="6"/>
        <v>442</v>
      </c>
      <c r="B443" t="s">
        <v>48</v>
      </c>
      <c r="C443">
        <v>394.15</v>
      </c>
      <c r="D443">
        <v>77.007000000000005</v>
      </c>
      <c r="E443">
        <v>1.0123180057696113</v>
      </c>
      <c r="G443">
        <v>6.1000000000000004E-3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>
      <c r="A444">
        <f t="shared" si="6"/>
        <v>443</v>
      </c>
      <c r="B444" t="s">
        <v>48</v>
      </c>
      <c r="C444">
        <v>394.15</v>
      </c>
      <c r="D444">
        <v>21.27825</v>
      </c>
      <c r="E444">
        <v>1.0123180057696113</v>
      </c>
      <c r="G444">
        <v>2.7000000000000001E-3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>
      <c r="A445">
        <f t="shared" si="6"/>
        <v>444</v>
      </c>
      <c r="B445" t="s">
        <v>48</v>
      </c>
      <c r="C445">
        <v>349.15</v>
      </c>
      <c r="D445">
        <v>607.95000000000005</v>
      </c>
      <c r="E445">
        <v>2.2808869353054648</v>
      </c>
      <c r="G445">
        <v>1.18E-2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>
      <c r="A446">
        <f t="shared" si="6"/>
        <v>445</v>
      </c>
      <c r="B446" t="s">
        <v>48</v>
      </c>
      <c r="C446">
        <v>349.15</v>
      </c>
      <c r="D446">
        <v>579.57899999999995</v>
      </c>
      <c r="E446">
        <v>2.2808869353054648</v>
      </c>
      <c r="G446">
        <v>1.17E-2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>
      <c r="A447">
        <f t="shared" si="6"/>
        <v>446</v>
      </c>
      <c r="B447" t="s">
        <v>48</v>
      </c>
      <c r="C447">
        <v>349.15</v>
      </c>
      <c r="D447">
        <v>466.09499999999997</v>
      </c>
      <c r="E447">
        <v>2.2808869353054648</v>
      </c>
      <c r="G447">
        <v>1.0800000000000001E-2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>
      <c r="A448">
        <f t="shared" si="6"/>
        <v>447</v>
      </c>
      <c r="B448" t="s">
        <v>48</v>
      </c>
      <c r="C448">
        <v>349.15</v>
      </c>
      <c r="D448">
        <v>460.01549999999997</v>
      </c>
      <c r="E448">
        <v>2.2808869353054648</v>
      </c>
      <c r="G448">
        <v>1.0699999999999999E-2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>
      <c r="A449">
        <f t="shared" si="6"/>
        <v>448</v>
      </c>
      <c r="B449" t="s">
        <v>48</v>
      </c>
      <c r="C449">
        <v>349.15</v>
      </c>
      <c r="D449">
        <v>293.84249999999997</v>
      </c>
      <c r="E449">
        <v>2.2808869353054648</v>
      </c>
      <c r="G449">
        <v>9.7999999999999997E-3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>
      <c r="A450">
        <f t="shared" si="6"/>
        <v>449</v>
      </c>
      <c r="B450" t="s">
        <v>48</v>
      </c>
      <c r="C450">
        <v>349.15</v>
      </c>
      <c r="D450">
        <v>285.73649999999998</v>
      </c>
      <c r="E450">
        <v>2.2808869353054648</v>
      </c>
      <c r="G450">
        <v>9.7000000000000003E-3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>
      <c r="A451">
        <f t="shared" si="6"/>
        <v>450</v>
      </c>
      <c r="B451" t="s">
        <v>48</v>
      </c>
      <c r="C451">
        <v>349.15</v>
      </c>
      <c r="D451">
        <v>168.1995</v>
      </c>
      <c r="E451">
        <v>2.2808869353054648</v>
      </c>
      <c r="G451">
        <v>8.6E-3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>
      <c r="A452">
        <f t="shared" si="6"/>
        <v>451</v>
      </c>
      <c r="B452" t="s">
        <v>48</v>
      </c>
      <c r="C452">
        <v>349.15</v>
      </c>
      <c r="D452">
        <v>167.18625</v>
      </c>
      <c r="E452">
        <v>2.2808869353054648</v>
      </c>
      <c r="G452">
        <v>8.8000000000000005E-3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>
      <c r="A453">
        <f t="shared" si="6"/>
        <v>452</v>
      </c>
      <c r="B453" t="s">
        <v>48</v>
      </c>
      <c r="C453">
        <v>349.15</v>
      </c>
      <c r="D453">
        <v>73.967249999999993</v>
      </c>
      <c r="E453">
        <v>2.2808869353054648</v>
      </c>
      <c r="G453">
        <v>6.0000000000000001E-3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>
      <c r="A454">
        <f t="shared" si="6"/>
        <v>453</v>
      </c>
      <c r="B454" t="s">
        <v>48</v>
      </c>
      <c r="C454">
        <v>349.15</v>
      </c>
      <c r="D454">
        <v>73.967249999999993</v>
      </c>
      <c r="E454">
        <v>2.2808869353054648</v>
      </c>
      <c r="G454">
        <v>5.7999999999999996E-3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>
      <c r="A455">
        <f t="shared" si="6"/>
        <v>454</v>
      </c>
      <c r="B455" t="s">
        <v>48</v>
      </c>
      <c r="C455">
        <v>349.15</v>
      </c>
      <c r="D455">
        <v>23.304749999999999</v>
      </c>
      <c r="E455">
        <v>2.2808869353054648</v>
      </c>
      <c r="G455">
        <v>2.2000000000000001E-3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>
      <c r="A456">
        <f t="shared" si="6"/>
        <v>455</v>
      </c>
      <c r="B456" t="s">
        <v>48</v>
      </c>
      <c r="C456">
        <v>349.15</v>
      </c>
      <c r="D456">
        <v>22.291499999999999</v>
      </c>
      <c r="E456">
        <v>2.2808869353054648</v>
      </c>
      <c r="G456">
        <v>2.2000000000000001E-3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>
      <c r="A457">
        <f t="shared" si="6"/>
        <v>456</v>
      </c>
      <c r="B457" t="s">
        <v>48</v>
      </c>
      <c r="C457">
        <v>374.15</v>
      </c>
      <c r="D457">
        <v>656.58600000000001</v>
      </c>
      <c r="E457">
        <v>2.2808869353054648</v>
      </c>
      <c r="G457">
        <v>1.23E-2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>
      <c r="A458">
        <f t="shared" si="6"/>
        <v>457</v>
      </c>
      <c r="B458" t="s">
        <v>48</v>
      </c>
      <c r="C458">
        <v>374.15</v>
      </c>
      <c r="D458">
        <v>581.60550000000001</v>
      </c>
      <c r="E458">
        <v>2.2808869353054648</v>
      </c>
      <c r="G458">
        <v>1.18E-2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>
      <c r="A459">
        <f t="shared" si="6"/>
        <v>458</v>
      </c>
      <c r="B459" t="s">
        <v>48</v>
      </c>
      <c r="C459">
        <v>374.15</v>
      </c>
      <c r="D459">
        <v>573.49950000000001</v>
      </c>
      <c r="E459">
        <v>2.2808869353054648</v>
      </c>
      <c r="G459">
        <v>1.1599999999999999E-2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>
      <c r="A460">
        <f t="shared" si="6"/>
        <v>459</v>
      </c>
      <c r="B460" t="s">
        <v>48</v>
      </c>
      <c r="C460">
        <v>374.15</v>
      </c>
      <c r="D460">
        <v>295.86899999999997</v>
      </c>
      <c r="E460">
        <v>2.2808869353054648</v>
      </c>
      <c r="G460">
        <v>9.9000000000000008E-3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>
      <c r="A461">
        <f t="shared" si="6"/>
        <v>460</v>
      </c>
      <c r="B461" t="s">
        <v>48</v>
      </c>
      <c r="C461">
        <v>374.15</v>
      </c>
      <c r="D461">
        <v>293.84249999999997</v>
      </c>
      <c r="E461">
        <v>2.2808869353054648</v>
      </c>
      <c r="G461">
        <v>9.7000000000000003E-3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>
      <c r="A462">
        <f t="shared" si="6"/>
        <v>461</v>
      </c>
      <c r="B462" t="s">
        <v>48</v>
      </c>
      <c r="C462">
        <v>374.15</v>
      </c>
      <c r="D462">
        <v>172.2525</v>
      </c>
      <c r="E462">
        <v>2.2808869353054648</v>
      </c>
      <c r="G462">
        <v>8.3000000000000001E-3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>
      <c r="A463">
        <f t="shared" si="6"/>
        <v>462</v>
      </c>
      <c r="B463" t="s">
        <v>48</v>
      </c>
      <c r="C463">
        <v>374.15</v>
      </c>
      <c r="D463">
        <v>171.23925</v>
      </c>
      <c r="E463">
        <v>2.2808869353054648</v>
      </c>
      <c r="G463">
        <v>8.3999999999999995E-3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>
      <c r="A464">
        <f t="shared" si="6"/>
        <v>463</v>
      </c>
      <c r="B464" t="s">
        <v>48</v>
      </c>
      <c r="C464">
        <v>374.15</v>
      </c>
      <c r="D464">
        <v>143.88149999999999</v>
      </c>
      <c r="E464">
        <v>2.2808869353054648</v>
      </c>
      <c r="G464">
        <v>7.4000000000000003E-3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>
      <c r="A465">
        <f t="shared" si="6"/>
        <v>464</v>
      </c>
      <c r="B465" t="s">
        <v>48</v>
      </c>
      <c r="C465">
        <v>374.15</v>
      </c>
      <c r="D465">
        <v>143.88149999999999</v>
      </c>
      <c r="E465">
        <v>2.2808869353054648</v>
      </c>
      <c r="G465">
        <v>7.4000000000000003E-3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>
      <c r="A466">
        <f t="shared" si="6"/>
        <v>465</v>
      </c>
      <c r="B466" t="s">
        <v>48</v>
      </c>
      <c r="C466">
        <v>374.15</v>
      </c>
      <c r="D466">
        <v>92.205749999999995</v>
      </c>
      <c r="E466">
        <v>2.2808869353054648</v>
      </c>
      <c r="G466">
        <v>5.7999999999999996E-3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>
      <c r="A467">
        <f t="shared" si="6"/>
        <v>466</v>
      </c>
      <c r="B467" t="s">
        <v>48</v>
      </c>
      <c r="C467">
        <v>374.15</v>
      </c>
      <c r="D467">
        <v>89.165999999999997</v>
      </c>
      <c r="E467">
        <v>2.2808869353054648</v>
      </c>
      <c r="G467">
        <v>5.8999999999999999E-3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>
      <c r="A468">
        <f t="shared" si="6"/>
        <v>467</v>
      </c>
      <c r="B468" t="s">
        <v>48</v>
      </c>
      <c r="C468">
        <v>374.15</v>
      </c>
      <c r="D468">
        <v>23.304749999999999</v>
      </c>
      <c r="E468">
        <v>2.2808869353054648</v>
      </c>
      <c r="G468">
        <v>1.8E-3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>
      <c r="A469">
        <f t="shared" si="6"/>
        <v>468</v>
      </c>
      <c r="B469" t="s">
        <v>48</v>
      </c>
      <c r="C469">
        <v>374.15</v>
      </c>
      <c r="D469">
        <v>23.304749999999999</v>
      </c>
      <c r="E469">
        <v>2.2808869353054648</v>
      </c>
      <c r="G469">
        <v>1.6999999999999999E-3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>
      <c r="A470">
        <f t="shared" si="6"/>
        <v>469</v>
      </c>
      <c r="B470" t="s">
        <v>48</v>
      </c>
      <c r="C470">
        <v>394.15</v>
      </c>
      <c r="D470">
        <v>667.73175000000003</v>
      </c>
      <c r="E470">
        <v>2.2808869353054648</v>
      </c>
      <c r="G470">
        <v>1.15E-2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>
      <c r="A471">
        <f t="shared" si="6"/>
        <v>470</v>
      </c>
      <c r="B471" t="s">
        <v>48</v>
      </c>
      <c r="C471">
        <v>394.15</v>
      </c>
      <c r="D471">
        <v>644.42700000000002</v>
      </c>
      <c r="E471">
        <v>2.2808869353054648</v>
      </c>
      <c r="G471">
        <v>1.15E-2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>
      <c r="A472">
        <f t="shared" si="6"/>
        <v>471</v>
      </c>
      <c r="B472" t="s">
        <v>48</v>
      </c>
      <c r="C472">
        <v>394.15</v>
      </c>
      <c r="D472">
        <v>609.97649999999999</v>
      </c>
      <c r="E472">
        <v>2.2808869353054648</v>
      </c>
      <c r="G472">
        <v>1.17E-2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>
      <c r="A473">
        <f t="shared" si="6"/>
        <v>472</v>
      </c>
      <c r="B473" t="s">
        <v>48</v>
      </c>
      <c r="C473">
        <v>394.15</v>
      </c>
      <c r="D473">
        <v>512.70449999999994</v>
      </c>
      <c r="E473">
        <v>2.2808869353054648</v>
      </c>
      <c r="G473">
        <v>1.1299999999999999E-2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>
      <c r="A474">
        <f t="shared" si="6"/>
        <v>473</v>
      </c>
      <c r="B474" t="s">
        <v>48</v>
      </c>
      <c r="C474">
        <v>394.15</v>
      </c>
      <c r="D474">
        <v>497.50574999999998</v>
      </c>
      <c r="E474">
        <v>2.2808869353054648</v>
      </c>
      <c r="G474">
        <v>1.0999999999999999E-2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>
      <c r="A475">
        <f t="shared" si="6"/>
        <v>474</v>
      </c>
      <c r="B475" t="s">
        <v>48</v>
      </c>
      <c r="C475">
        <v>394.15</v>
      </c>
      <c r="D475">
        <v>470.14799999999997</v>
      </c>
      <c r="E475">
        <v>2.2808869353054648</v>
      </c>
      <c r="G475">
        <v>1.0999999999999999E-2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>
      <c r="A476">
        <f t="shared" si="6"/>
        <v>475</v>
      </c>
      <c r="B476" t="s">
        <v>48</v>
      </c>
      <c r="C476">
        <v>394.15</v>
      </c>
      <c r="D476">
        <v>285.73649999999998</v>
      </c>
      <c r="E476">
        <v>2.2808869353054648</v>
      </c>
      <c r="G476">
        <v>9.4000000000000004E-3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>
      <c r="A477">
        <f t="shared" si="6"/>
        <v>476</v>
      </c>
      <c r="B477" t="s">
        <v>48</v>
      </c>
      <c r="C477">
        <v>394.15</v>
      </c>
      <c r="D477">
        <v>283.70999999999998</v>
      </c>
      <c r="E477">
        <v>2.2808869353054648</v>
      </c>
      <c r="G477">
        <v>9.4000000000000004E-3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>
      <c r="A478">
        <f t="shared" si="6"/>
        <v>477</v>
      </c>
      <c r="B478" t="s">
        <v>48</v>
      </c>
      <c r="C478">
        <v>394.15</v>
      </c>
      <c r="D478">
        <v>151.98750000000001</v>
      </c>
      <c r="E478">
        <v>2.2808869353054648</v>
      </c>
      <c r="G478">
        <v>7.3000000000000001E-3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>
      <c r="A479">
        <f t="shared" si="6"/>
        <v>478</v>
      </c>
      <c r="B479" t="s">
        <v>48</v>
      </c>
      <c r="C479">
        <v>394.15</v>
      </c>
      <c r="D479">
        <v>151.98750000000001</v>
      </c>
      <c r="E479">
        <v>2.2808869353054648</v>
      </c>
      <c r="G479">
        <v>7.3000000000000001E-3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>
      <c r="A480">
        <f t="shared" si="6"/>
        <v>479</v>
      </c>
      <c r="B480" t="s">
        <v>48</v>
      </c>
      <c r="C480">
        <v>394.15</v>
      </c>
      <c r="D480">
        <v>63.83475</v>
      </c>
      <c r="E480">
        <v>2.2808869353054648</v>
      </c>
      <c r="G480">
        <v>3.8999999999999998E-3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>
      <c r="A481">
        <f t="shared" si="6"/>
        <v>480</v>
      </c>
      <c r="B481" t="s">
        <v>48</v>
      </c>
      <c r="C481">
        <v>394.15</v>
      </c>
      <c r="D481">
        <v>63.83475</v>
      </c>
      <c r="E481">
        <v>2.2808869353054648</v>
      </c>
      <c r="G481">
        <v>3.8999999999999998E-3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>
      <c r="A482">
        <f t="shared" si="6"/>
        <v>481</v>
      </c>
      <c r="B482" t="s">
        <v>48</v>
      </c>
      <c r="C482">
        <v>394.15</v>
      </c>
      <c r="D482">
        <v>25.331250000000001</v>
      </c>
      <c r="E482">
        <v>2.2808869353054648</v>
      </c>
      <c r="G482">
        <v>1.9E-3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>
      <c r="A483">
        <f t="shared" si="6"/>
        <v>482</v>
      </c>
      <c r="B483" t="s">
        <v>48</v>
      </c>
      <c r="C483">
        <v>394.15</v>
      </c>
      <c r="D483">
        <v>25.331250000000001</v>
      </c>
      <c r="E483">
        <v>2.2808869353054648</v>
      </c>
      <c r="G483">
        <v>1.6999999999999999E-3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>
      <c r="A484">
        <f t="shared" si="6"/>
        <v>483</v>
      </c>
      <c r="B484" t="s">
        <v>48</v>
      </c>
      <c r="C484">
        <v>349.15</v>
      </c>
      <c r="D484">
        <v>633.28125</v>
      </c>
      <c r="E484">
        <v>3.8985831361235488</v>
      </c>
      <c r="G484">
        <v>6.8999999999999999E-3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>
      <c r="A485">
        <f t="shared" si="6"/>
        <v>484</v>
      </c>
      <c r="B485" t="s">
        <v>48</v>
      </c>
      <c r="C485">
        <v>349.15</v>
      </c>
      <c r="D485">
        <v>561.34050000000002</v>
      </c>
      <c r="E485">
        <v>3.8985831361235488</v>
      </c>
      <c r="G485">
        <v>7.0000000000000001E-3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>
      <c r="A486">
        <f t="shared" ref="A486:A549" si="7">A485+1</f>
        <v>485</v>
      </c>
      <c r="B486" t="s">
        <v>48</v>
      </c>
      <c r="C486">
        <v>349.15</v>
      </c>
      <c r="D486">
        <v>531.95624999999995</v>
      </c>
      <c r="E486">
        <v>3.8985831361235488</v>
      </c>
      <c r="G486">
        <v>7.0000000000000001E-3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>
      <c r="A487">
        <f t="shared" si="7"/>
        <v>486</v>
      </c>
      <c r="B487" t="s">
        <v>48</v>
      </c>
      <c r="C487">
        <v>349.15</v>
      </c>
      <c r="D487">
        <v>461.02875</v>
      </c>
      <c r="E487">
        <v>3.8985831361235488</v>
      </c>
      <c r="G487">
        <v>6.6E-3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>
      <c r="A488">
        <f t="shared" si="7"/>
        <v>487</v>
      </c>
      <c r="B488" t="s">
        <v>48</v>
      </c>
      <c r="C488">
        <v>349.15</v>
      </c>
      <c r="D488">
        <v>436.71075000000002</v>
      </c>
      <c r="E488">
        <v>3.8985831361235488</v>
      </c>
      <c r="G488">
        <v>6.7000000000000002E-3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>
      <c r="A489">
        <f t="shared" si="7"/>
        <v>488</v>
      </c>
      <c r="B489" t="s">
        <v>48</v>
      </c>
      <c r="C489">
        <v>349.15</v>
      </c>
      <c r="D489">
        <v>323.22674999999998</v>
      </c>
      <c r="E489">
        <v>3.8985831361235488</v>
      </c>
      <c r="G489">
        <v>6.1000000000000004E-3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>
      <c r="A490">
        <f t="shared" si="7"/>
        <v>489</v>
      </c>
      <c r="B490" t="s">
        <v>48</v>
      </c>
      <c r="C490">
        <v>349.15</v>
      </c>
      <c r="D490">
        <v>318.16050000000001</v>
      </c>
      <c r="E490">
        <v>3.8985831361235488</v>
      </c>
      <c r="G490">
        <v>6.0000000000000001E-3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>
      <c r="A491">
        <f t="shared" si="7"/>
        <v>490</v>
      </c>
      <c r="B491" t="s">
        <v>48</v>
      </c>
      <c r="C491">
        <v>349.15</v>
      </c>
      <c r="D491">
        <v>165.15975</v>
      </c>
      <c r="E491">
        <v>3.8985831361235488</v>
      </c>
      <c r="G491">
        <v>5.1000000000000004E-3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>
      <c r="A492">
        <f t="shared" si="7"/>
        <v>491</v>
      </c>
      <c r="B492" t="s">
        <v>48</v>
      </c>
      <c r="C492">
        <v>349.15</v>
      </c>
      <c r="D492">
        <v>163.13325</v>
      </c>
      <c r="E492">
        <v>3.8985831361235488</v>
      </c>
      <c r="G492">
        <v>5.1999999999999998E-3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>
      <c r="A493">
        <f t="shared" si="7"/>
        <v>492</v>
      </c>
      <c r="B493" t="s">
        <v>48</v>
      </c>
      <c r="C493">
        <v>349.15</v>
      </c>
      <c r="D493">
        <v>74.980499999999992</v>
      </c>
      <c r="E493">
        <v>3.8985831361235488</v>
      </c>
      <c r="G493">
        <v>3.7000000000000002E-3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>
      <c r="A494">
        <f t="shared" si="7"/>
        <v>493</v>
      </c>
      <c r="B494" t="s">
        <v>48</v>
      </c>
      <c r="C494">
        <v>349.15</v>
      </c>
      <c r="D494">
        <v>73.967249999999993</v>
      </c>
      <c r="E494">
        <v>3.8985831361235488</v>
      </c>
      <c r="G494">
        <v>3.5999999999999999E-3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>
      <c r="A495">
        <f t="shared" si="7"/>
        <v>494</v>
      </c>
      <c r="B495" t="s">
        <v>48</v>
      </c>
      <c r="C495">
        <v>349.15</v>
      </c>
      <c r="D495">
        <v>15.19875</v>
      </c>
      <c r="E495">
        <v>3.8985831361235488</v>
      </c>
      <c r="G495">
        <v>8.9999999999999998E-4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>
      <c r="A496">
        <f t="shared" si="7"/>
        <v>495</v>
      </c>
      <c r="B496" t="s">
        <v>48</v>
      </c>
      <c r="C496">
        <v>349.15</v>
      </c>
      <c r="D496">
        <v>15.19875</v>
      </c>
      <c r="E496">
        <v>3.8985831361235488</v>
      </c>
      <c r="G496">
        <v>8.9999999999999998E-4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>
      <c r="A497">
        <f t="shared" si="7"/>
        <v>496</v>
      </c>
      <c r="B497" t="s">
        <v>48</v>
      </c>
      <c r="C497">
        <v>374.15</v>
      </c>
      <c r="D497">
        <v>638.34749999999997</v>
      </c>
      <c r="E497">
        <v>3.8985831361235488</v>
      </c>
      <c r="G497">
        <v>7.1000000000000004E-3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>
      <c r="A498">
        <f t="shared" si="7"/>
        <v>497</v>
      </c>
      <c r="B498" t="s">
        <v>48</v>
      </c>
      <c r="C498">
        <v>374.15</v>
      </c>
      <c r="D498">
        <v>531.95624999999995</v>
      </c>
      <c r="E498">
        <v>3.8985831361235488</v>
      </c>
      <c r="G498">
        <v>7.0000000000000001E-3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>
      <c r="A499">
        <f t="shared" si="7"/>
        <v>498</v>
      </c>
      <c r="B499" t="s">
        <v>48</v>
      </c>
      <c r="C499">
        <v>374.15</v>
      </c>
      <c r="D499">
        <v>407.32650000000001</v>
      </c>
      <c r="E499">
        <v>3.8985831361235488</v>
      </c>
      <c r="G499">
        <v>6.3E-3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>
      <c r="A500">
        <f t="shared" si="7"/>
        <v>499</v>
      </c>
      <c r="B500" t="s">
        <v>48</v>
      </c>
      <c r="C500">
        <v>374.15</v>
      </c>
      <c r="D500">
        <v>394.15424999999999</v>
      </c>
      <c r="E500">
        <v>3.8985831361235488</v>
      </c>
      <c r="G500">
        <v>6.4000000000000003E-3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>
      <c r="A501">
        <f t="shared" si="7"/>
        <v>500</v>
      </c>
      <c r="B501" t="s">
        <v>48</v>
      </c>
      <c r="C501">
        <v>374.15</v>
      </c>
      <c r="D501">
        <v>393.14100000000002</v>
      </c>
      <c r="E501">
        <v>3.8985831361235488</v>
      </c>
      <c r="G501">
        <v>6.4000000000000003E-3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>
      <c r="A502">
        <f t="shared" si="7"/>
        <v>501</v>
      </c>
      <c r="B502" t="s">
        <v>48</v>
      </c>
      <c r="C502">
        <v>374.15</v>
      </c>
      <c r="D502">
        <v>264.45825000000002</v>
      </c>
      <c r="E502">
        <v>3.8985831361235488</v>
      </c>
      <c r="G502">
        <v>5.7999999999999996E-3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>
      <c r="A503">
        <f t="shared" si="7"/>
        <v>502</v>
      </c>
      <c r="B503" t="s">
        <v>48</v>
      </c>
      <c r="C503">
        <v>374.15</v>
      </c>
      <c r="D503">
        <v>241.15350000000001</v>
      </c>
      <c r="E503">
        <v>3.8985831361235488</v>
      </c>
      <c r="G503">
        <v>5.1999999999999998E-3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>
      <c r="A504">
        <f t="shared" si="7"/>
        <v>503</v>
      </c>
      <c r="B504" t="s">
        <v>48</v>
      </c>
      <c r="C504">
        <v>374.15</v>
      </c>
      <c r="D504">
        <v>237.10049999999998</v>
      </c>
      <c r="E504">
        <v>3.8985831361235488</v>
      </c>
      <c r="G504">
        <v>5.4000000000000003E-3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>
      <c r="A505">
        <f t="shared" si="7"/>
        <v>504</v>
      </c>
      <c r="B505" t="s">
        <v>48</v>
      </c>
      <c r="C505">
        <v>374.15</v>
      </c>
      <c r="D505">
        <v>156.04050000000001</v>
      </c>
      <c r="E505">
        <v>3.8985831361235488</v>
      </c>
      <c r="G505">
        <v>4.8999999999999998E-3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>
      <c r="A506">
        <f t="shared" si="7"/>
        <v>505</v>
      </c>
      <c r="B506" t="s">
        <v>48</v>
      </c>
      <c r="C506">
        <v>374.15</v>
      </c>
      <c r="D506">
        <v>153.00075000000001</v>
      </c>
      <c r="E506">
        <v>3.8985831361235488</v>
      </c>
      <c r="G506">
        <v>4.7000000000000002E-3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>
      <c r="A507">
        <f t="shared" si="7"/>
        <v>506</v>
      </c>
      <c r="B507" t="s">
        <v>48</v>
      </c>
      <c r="C507">
        <v>374.15</v>
      </c>
      <c r="D507">
        <v>77.007000000000005</v>
      </c>
      <c r="E507">
        <v>3.8985831361235488</v>
      </c>
      <c r="G507">
        <v>3.3E-3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>
      <c r="A508">
        <f t="shared" si="7"/>
        <v>507</v>
      </c>
      <c r="B508" t="s">
        <v>48</v>
      </c>
      <c r="C508">
        <v>374.15</v>
      </c>
      <c r="D508">
        <v>74.980499999999992</v>
      </c>
      <c r="E508">
        <v>3.8985831361235488</v>
      </c>
      <c r="G508">
        <v>3.0999999999999999E-3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>
      <c r="A509">
        <f t="shared" si="7"/>
        <v>508</v>
      </c>
      <c r="B509" t="s">
        <v>48</v>
      </c>
      <c r="C509">
        <v>394.15</v>
      </c>
      <c r="D509">
        <v>885.58050000000003</v>
      </c>
      <c r="E509">
        <v>3.8985831361235488</v>
      </c>
      <c r="G509">
        <v>2.12E-2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>
      <c r="A510">
        <f t="shared" si="7"/>
        <v>509</v>
      </c>
      <c r="B510" t="s">
        <v>48</v>
      </c>
      <c r="C510">
        <v>394.15</v>
      </c>
      <c r="D510">
        <v>840.99749999999995</v>
      </c>
      <c r="E510">
        <v>3.8985831361235488</v>
      </c>
      <c r="G510">
        <v>2.1999999999999999E-2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>
      <c r="A511">
        <f t="shared" si="7"/>
        <v>510</v>
      </c>
      <c r="B511" t="s">
        <v>48</v>
      </c>
      <c r="C511">
        <v>394.15</v>
      </c>
      <c r="D511">
        <v>663.67875000000004</v>
      </c>
      <c r="E511">
        <v>3.8985831361235488</v>
      </c>
      <c r="G511">
        <v>1.9800000000000002E-2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>
      <c r="A512">
        <f t="shared" si="7"/>
        <v>511</v>
      </c>
      <c r="B512" t="s">
        <v>48</v>
      </c>
      <c r="C512">
        <v>394.15</v>
      </c>
      <c r="D512">
        <v>651.51975000000004</v>
      </c>
      <c r="E512">
        <v>3.8985831361235488</v>
      </c>
      <c r="G512">
        <v>1.095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>
      <c r="A513">
        <f t="shared" si="7"/>
        <v>512</v>
      </c>
      <c r="B513" t="s">
        <v>48</v>
      </c>
      <c r="C513">
        <v>394.15</v>
      </c>
      <c r="D513">
        <v>498.51900000000001</v>
      </c>
      <c r="E513">
        <v>3.8985831361235488</v>
      </c>
      <c r="G513">
        <v>1.0840000000000001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>
      <c r="A514">
        <f t="shared" si="7"/>
        <v>513</v>
      </c>
      <c r="B514" t="s">
        <v>48</v>
      </c>
      <c r="C514">
        <v>394.15</v>
      </c>
      <c r="D514">
        <v>486.36</v>
      </c>
      <c r="E514">
        <v>3.8985831361235488</v>
      </c>
      <c r="G514">
        <v>1.7899999999999999E-2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>
      <c r="A515">
        <f t="shared" si="7"/>
        <v>514</v>
      </c>
      <c r="B515" t="s">
        <v>48</v>
      </c>
      <c r="C515">
        <v>394.15</v>
      </c>
      <c r="D515">
        <v>322.21350000000001</v>
      </c>
      <c r="E515">
        <v>3.8985831361235488</v>
      </c>
      <c r="G515">
        <v>1.5900000000000001E-2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>
      <c r="A516">
        <f t="shared" si="7"/>
        <v>515</v>
      </c>
      <c r="B516" t="s">
        <v>48</v>
      </c>
      <c r="C516">
        <v>394.15</v>
      </c>
      <c r="D516">
        <v>313.09424999999999</v>
      </c>
      <c r="E516">
        <v>3.8985831361235488</v>
      </c>
      <c r="G516">
        <v>1.5299999999999999E-2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>
      <c r="A517">
        <f t="shared" si="7"/>
        <v>516</v>
      </c>
      <c r="B517" t="s">
        <v>48</v>
      </c>
      <c r="C517">
        <v>394.15</v>
      </c>
      <c r="D517">
        <v>158.06700000000001</v>
      </c>
      <c r="E517">
        <v>3.8985831361235488</v>
      </c>
      <c r="G517">
        <v>1.24E-2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>
      <c r="A518">
        <f t="shared" si="7"/>
        <v>517</v>
      </c>
      <c r="B518" t="s">
        <v>48</v>
      </c>
      <c r="C518">
        <v>394.15</v>
      </c>
      <c r="D518">
        <v>157.05375000000001</v>
      </c>
      <c r="E518">
        <v>3.8985831361235488</v>
      </c>
      <c r="G518">
        <v>1.1599999999999999E-2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>
      <c r="A519">
        <f t="shared" si="7"/>
        <v>518</v>
      </c>
      <c r="B519" t="s">
        <v>48</v>
      </c>
      <c r="C519">
        <v>394.15</v>
      </c>
      <c r="D519">
        <v>74.980499999999992</v>
      </c>
      <c r="E519">
        <v>3.8985831361235488</v>
      </c>
      <c r="G519">
        <v>8.2000000000000007E-3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>
      <c r="A520">
        <f t="shared" si="7"/>
        <v>519</v>
      </c>
      <c r="B520" t="s">
        <v>48</v>
      </c>
      <c r="C520">
        <v>394.15</v>
      </c>
      <c r="D520">
        <v>73.967249999999993</v>
      </c>
      <c r="E520">
        <v>3.8985831361235488</v>
      </c>
      <c r="G520">
        <v>7.1000000000000004E-3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>
      <c r="A521">
        <f t="shared" si="7"/>
        <v>520</v>
      </c>
      <c r="B521" t="s">
        <v>48</v>
      </c>
      <c r="C521">
        <v>394.15</v>
      </c>
      <c r="D521">
        <v>28.370999999999999</v>
      </c>
      <c r="E521">
        <v>3.8985831361235488</v>
      </c>
      <c r="G521">
        <v>3.0000000000000001E-3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>
      <c r="A522">
        <f t="shared" si="7"/>
        <v>521</v>
      </c>
      <c r="B522" t="s">
        <v>48</v>
      </c>
      <c r="C522">
        <v>394.15</v>
      </c>
      <c r="D522">
        <v>28.370999999999999</v>
      </c>
      <c r="E522">
        <v>3.8985831361235488</v>
      </c>
      <c r="G522">
        <v>3.0000000000000001E-3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>
      <c r="A523">
        <f t="shared" si="7"/>
        <v>522</v>
      </c>
      <c r="B523" t="s">
        <v>54</v>
      </c>
      <c r="C523">
        <v>623.15</v>
      </c>
      <c r="D523">
        <v>200</v>
      </c>
      <c r="E523">
        <v>0</v>
      </c>
      <c r="F523">
        <v>0.91</v>
      </c>
      <c r="G523">
        <v>1.4999999999999999E-2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>
      <c r="A524">
        <f t="shared" si="7"/>
        <v>523</v>
      </c>
      <c r="B524" t="s">
        <v>54</v>
      </c>
      <c r="C524">
        <v>623.15</v>
      </c>
      <c r="D524">
        <v>250</v>
      </c>
      <c r="E524">
        <v>0</v>
      </c>
      <c r="F524">
        <v>0.83799999999999997</v>
      </c>
      <c r="G524">
        <v>0.04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>
      <c r="A525">
        <f t="shared" si="7"/>
        <v>524</v>
      </c>
      <c r="B525" t="s">
        <v>54</v>
      </c>
      <c r="C525">
        <v>623.15</v>
      </c>
      <c r="D525">
        <v>300</v>
      </c>
      <c r="E525">
        <v>0</v>
      </c>
      <c r="F525">
        <v>0.83399999999999996</v>
      </c>
      <c r="G525">
        <v>6.4000000000000001E-2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>
      <c r="A526">
        <f t="shared" si="7"/>
        <v>525</v>
      </c>
      <c r="B526" t="s">
        <v>54</v>
      </c>
      <c r="C526">
        <v>598.15</v>
      </c>
      <c r="D526">
        <v>150</v>
      </c>
      <c r="E526">
        <v>0</v>
      </c>
      <c r="F526">
        <v>0.89400000000000002</v>
      </c>
      <c r="G526">
        <v>0.01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>
      <c r="A527">
        <f t="shared" si="7"/>
        <v>526</v>
      </c>
      <c r="B527" t="s">
        <v>54</v>
      </c>
      <c r="C527">
        <v>598.15</v>
      </c>
      <c r="D527">
        <v>200</v>
      </c>
      <c r="E527">
        <v>0</v>
      </c>
      <c r="F527">
        <v>0.754</v>
      </c>
      <c r="G527">
        <v>2.5999999999999999E-2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>
      <c r="A528">
        <f t="shared" si="7"/>
        <v>527</v>
      </c>
      <c r="B528" t="s">
        <v>54</v>
      </c>
      <c r="C528">
        <v>598.15</v>
      </c>
      <c r="D528">
        <v>250</v>
      </c>
      <c r="E528">
        <v>0</v>
      </c>
      <c r="F528">
        <v>0.67900000000000005</v>
      </c>
      <c r="G528">
        <v>4.2999999999999997E-2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>
      <c r="A529">
        <f t="shared" si="7"/>
        <v>528</v>
      </c>
      <c r="B529" t="s">
        <v>54</v>
      </c>
      <c r="C529">
        <v>598.15</v>
      </c>
      <c r="D529">
        <v>300</v>
      </c>
      <c r="E529">
        <v>0</v>
      </c>
      <c r="F529">
        <v>0.65799999999999992</v>
      </c>
      <c r="G529">
        <v>6.0999999999999999E-2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>
      <c r="A530">
        <f t="shared" si="7"/>
        <v>529</v>
      </c>
      <c r="B530" t="s">
        <v>54</v>
      </c>
      <c r="C530">
        <v>598.15</v>
      </c>
      <c r="D530">
        <v>350</v>
      </c>
      <c r="E530">
        <v>0</v>
      </c>
      <c r="F530">
        <v>0.66599999999999993</v>
      </c>
      <c r="G530">
        <v>8.2000000000000003E-2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>
      <c r="A531">
        <f t="shared" si="7"/>
        <v>530</v>
      </c>
      <c r="B531" t="s">
        <v>54</v>
      </c>
      <c r="C531">
        <v>598.15</v>
      </c>
      <c r="D531">
        <v>400</v>
      </c>
      <c r="E531">
        <v>0</v>
      </c>
      <c r="F531">
        <v>0.71399999999999997</v>
      </c>
      <c r="G531">
        <v>0.112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>
      <c r="A532">
        <f t="shared" si="7"/>
        <v>531</v>
      </c>
      <c r="B532" t="s">
        <v>54</v>
      </c>
      <c r="C532">
        <v>573.15</v>
      </c>
      <c r="D532">
        <v>100</v>
      </c>
      <c r="E532">
        <v>0</v>
      </c>
      <c r="F532">
        <v>0.92</v>
      </c>
      <c r="G532">
        <v>4.0000000000000001E-3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>
      <c r="A533">
        <f t="shared" si="7"/>
        <v>532</v>
      </c>
      <c r="B533" t="s">
        <v>54</v>
      </c>
      <c r="C533">
        <v>573.15</v>
      </c>
      <c r="D533">
        <v>150</v>
      </c>
      <c r="E533">
        <v>0</v>
      </c>
      <c r="F533">
        <v>0.71</v>
      </c>
      <c r="G533">
        <v>1.6E-2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>
      <c r="A534">
        <f t="shared" si="7"/>
        <v>533</v>
      </c>
      <c r="B534" t="s">
        <v>54</v>
      </c>
      <c r="C534">
        <v>573.15</v>
      </c>
      <c r="D534">
        <v>200</v>
      </c>
      <c r="E534">
        <v>0</v>
      </c>
      <c r="F534">
        <v>0.61</v>
      </c>
      <c r="G534">
        <v>2.9000000000000001E-2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>
      <c r="A535">
        <f t="shared" si="7"/>
        <v>534</v>
      </c>
      <c r="B535" t="s">
        <v>54</v>
      </c>
      <c r="C535">
        <v>573.15</v>
      </c>
      <c r="D535">
        <v>250</v>
      </c>
      <c r="E535">
        <v>0</v>
      </c>
      <c r="F535">
        <v>0.56600000000000006</v>
      </c>
      <c r="G535">
        <v>4.1000000000000002E-2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>
      <c r="A536">
        <f t="shared" si="7"/>
        <v>535</v>
      </c>
      <c r="B536" t="s">
        <v>54</v>
      </c>
      <c r="C536">
        <v>573.15</v>
      </c>
      <c r="D536">
        <v>300</v>
      </c>
      <c r="E536">
        <v>0</v>
      </c>
      <c r="F536">
        <v>0.54600000000000004</v>
      </c>
      <c r="G536">
        <v>5.3999999999999999E-2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>
      <c r="A537">
        <f t="shared" si="7"/>
        <v>536</v>
      </c>
      <c r="B537" t="s">
        <v>54</v>
      </c>
      <c r="C537">
        <v>573.15</v>
      </c>
      <c r="D537">
        <v>350</v>
      </c>
      <c r="E537">
        <v>0</v>
      </c>
      <c r="F537">
        <v>0.54400000000000004</v>
      </c>
      <c r="G537">
        <v>6.8000000000000005E-2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>
      <c r="A538">
        <f t="shared" si="7"/>
        <v>537</v>
      </c>
      <c r="B538" t="s">
        <v>54</v>
      </c>
      <c r="C538">
        <v>573.15</v>
      </c>
      <c r="D538">
        <v>400</v>
      </c>
      <c r="E538">
        <v>0</v>
      </c>
      <c r="F538">
        <v>0.55200000000000005</v>
      </c>
      <c r="G538">
        <v>8.4000000000000005E-2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>
      <c r="A539">
        <f t="shared" si="7"/>
        <v>538</v>
      </c>
      <c r="B539" t="s">
        <v>54</v>
      </c>
      <c r="C539">
        <v>573.15</v>
      </c>
      <c r="D539">
        <v>450</v>
      </c>
      <c r="E539">
        <v>0</v>
      </c>
      <c r="F539">
        <v>0.57800000000000007</v>
      </c>
      <c r="G539">
        <v>0.104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>
      <c r="A540">
        <f t="shared" si="7"/>
        <v>539</v>
      </c>
      <c r="B540" t="s">
        <v>54</v>
      </c>
      <c r="C540">
        <v>573.15</v>
      </c>
      <c r="D540">
        <v>500</v>
      </c>
      <c r="E540">
        <v>0</v>
      </c>
      <c r="F540">
        <v>0.62</v>
      </c>
      <c r="G540">
        <v>0.127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>
      <c r="A541">
        <f t="shared" si="7"/>
        <v>540</v>
      </c>
      <c r="B541" t="s">
        <v>54</v>
      </c>
      <c r="C541">
        <v>573.15</v>
      </c>
      <c r="D541">
        <v>550</v>
      </c>
      <c r="E541">
        <v>0</v>
      </c>
      <c r="F541">
        <v>0.67999999999999994</v>
      </c>
      <c r="G541">
        <v>0.17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>
      <c r="A542">
        <f t="shared" si="7"/>
        <v>541</v>
      </c>
      <c r="B542" t="s">
        <v>54</v>
      </c>
      <c r="C542">
        <v>548.15</v>
      </c>
      <c r="D542">
        <v>100</v>
      </c>
      <c r="E542">
        <v>0</v>
      </c>
      <c r="F542">
        <v>0.74399999999999999</v>
      </c>
      <c r="G542">
        <v>0.01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>
      <c r="A543">
        <f t="shared" si="7"/>
        <v>542</v>
      </c>
      <c r="B543" t="s">
        <v>54</v>
      </c>
      <c r="C543">
        <v>548.15</v>
      </c>
      <c r="D543">
        <v>150</v>
      </c>
      <c r="E543">
        <v>0</v>
      </c>
      <c r="F543">
        <v>0.57400000000000007</v>
      </c>
      <c r="G543">
        <v>1.9E-2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>
      <c r="A544">
        <f t="shared" si="7"/>
        <v>543</v>
      </c>
      <c r="B544" t="s">
        <v>54</v>
      </c>
      <c r="C544">
        <v>548.15</v>
      </c>
      <c r="D544">
        <v>200</v>
      </c>
      <c r="E544">
        <v>0</v>
      </c>
      <c r="F544">
        <v>0.5</v>
      </c>
      <c r="G544">
        <v>2.8000000000000001E-2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>
      <c r="A545">
        <f t="shared" si="7"/>
        <v>544</v>
      </c>
      <c r="B545" t="s">
        <v>54</v>
      </c>
      <c r="C545">
        <v>548.15</v>
      </c>
      <c r="D545">
        <v>250</v>
      </c>
      <c r="E545">
        <v>0</v>
      </c>
      <c r="F545">
        <v>0.45999999999999996</v>
      </c>
      <c r="G545">
        <v>3.7999999999999999E-2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>
      <c r="A546">
        <f t="shared" si="7"/>
        <v>545</v>
      </c>
      <c r="B546" t="s">
        <v>54</v>
      </c>
      <c r="C546">
        <v>548.15</v>
      </c>
      <c r="D546">
        <v>300</v>
      </c>
      <c r="E546">
        <v>0</v>
      </c>
      <c r="F546">
        <v>0.44199999999999995</v>
      </c>
      <c r="G546">
        <v>4.9000000000000002E-2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>
      <c r="A547">
        <f t="shared" si="7"/>
        <v>546</v>
      </c>
      <c r="B547" t="s">
        <v>54</v>
      </c>
      <c r="C547">
        <v>548.15</v>
      </c>
      <c r="D547">
        <v>400</v>
      </c>
      <c r="E547">
        <v>0</v>
      </c>
      <c r="F547">
        <v>0.44199999999999995</v>
      </c>
      <c r="G547">
        <v>7.1999999999999995E-2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>
      <c r="A548">
        <f t="shared" si="7"/>
        <v>547</v>
      </c>
      <c r="B548" t="s">
        <v>54</v>
      </c>
      <c r="C548">
        <v>548.15</v>
      </c>
      <c r="D548">
        <v>500</v>
      </c>
      <c r="E548">
        <v>0</v>
      </c>
      <c r="F548">
        <v>0.47</v>
      </c>
      <c r="G548">
        <v>9.6000000000000002E-2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>
      <c r="A549">
        <f t="shared" si="7"/>
        <v>548</v>
      </c>
      <c r="B549" t="s">
        <v>54</v>
      </c>
      <c r="C549">
        <v>548.15</v>
      </c>
      <c r="D549">
        <v>600</v>
      </c>
      <c r="E549">
        <v>0</v>
      </c>
      <c r="F549">
        <v>0.504</v>
      </c>
      <c r="G549">
        <v>0.12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>
      <c r="A550">
        <f t="shared" ref="A550:A613" si="8">A549+1</f>
        <v>549</v>
      </c>
      <c r="B550" t="s">
        <v>54</v>
      </c>
      <c r="C550">
        <v>548.15</v>
      </c>
      <c r="D550">
        <v>700</v>
      </c>
      <c r="E550">
        <v>0</v>
      </c>
      <c r="F550">
        <v>0.54</v>
      </c>
      <c r="G550">
        <v>0.14399999999999999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>
      <c r="A551">
        <f t="shared" si="8"/>
        <v>550</v>
      </c>
      <c r="B551" t="s">
        <v>54</v>
      </c>
      <c r="C551">
        <v>548.15</v>
      </c>
      <c r="D551">
        <v>800</v>
      </c>
      <c r="E551">
        <v>0</v>
      </c>
      <c r="F551">
        <v>0.58000000000000007</v>
      </c>
      <c r="G551">
        <v>0.17499999999999999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>
      <c r="A552">
        <f t="shared" si="8"/>
        <v>551</v>
      </c>
      <c r="B552" t="s">
        <v>54</v>
      </c>
      <c r="C552">
        <v>543.15</v>
      </c>
      <c r="D552">
        <v>200</v>
      </c>
      <c r="E552">
        <v>0</v>
      </c>
      <c r="F552">
        <v>0.47</v>
      </c>
      <c r="G552">
        <v>2.7E-2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>
      <c r="A553">
        <f t="shared" si="8"/>
        <v>552</v>
      </c>
      <c r="B553" t="s">
        <v>54</v>
      </c>
      <c r="C553">
        <v>543.15</v>
      </c>
      <c r="D553">
        <v>250</v>
      </c>
      <c r="E553">
        <v>0</v>
      </c>
      <c r="F553">
        <v>0.43000000000000005</v>
      </c>
      <c r="G553">
        <v>3.5999999999999997E-2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>
      <c r="A554">
        <f t="shared" si="8"/>
        <v>553</v>
      </c>
      <c r="B554" t="s">
        <v>54</v>
      </c>
      <c r="C554">
        <v>543.15</v>
      </c>
      <c r="D554">
        <v>300</v>
      </c>
      <c r="E554">
        <v>0</v>
      </c>
      <c r="F554">
        <v>0.41000000000000003</v>
      </c>
      <c r="G554">
        <v>4.5999999999999999E-2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>
      <c r="A555">
        <f t="shared" si="8"/>
        <v>554</v>
      </c>
      <c r="B555" t="s">
        <v>54</v>
      </c>
      <c r="C555">
        <v>543.15</v>
      </c>
      <c r="D555">
        <v>400</v>
      </c>
      <c r="E555">
        <v>0</v>
      </c>
      <c r="F555">
        <v>0.41000000000000003</v>
      </c>
      <c r="G555">
        <v>6.7000000000000004E-2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>
      <c r="A556">
        <f t="shared" si="8"/>
        <v>555</v>
      </c>
      <c r="B556" t="s">
        <v>54</v>
      </c>
      <c r="C556">
        <v>543.15</v>
      </c>
      <c r="D556">
        <v>500</v>
      </c>
      <c r="E556">
        <v>0</v>
      </c>
      <c r="F556">
        <v>0.43000000000000005</v>
      </c>
      <c r="G556">
        <v>8.6999999999999994E-2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>
      <c r="A557">
        <f t="shared" si="8"/>
        <v>556</v>
      </c>
      <c r="B557" t="s">
        <v>54</v>
      </c>
      <c r="C557">
        <v>543.15</v>
      </c>
      <c r="D557">
        <v>600</v>
      </c>
      <c r="E557">
        <v>0</v>
      </c>
      <c r="F557">
        <v>0.45399999999999996</v>
      </c>
      <c r="G557">
        <v>0.106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>
      <c r="A558">
        <f t="shared" si="8"/>
        <v>557</v>
      </c>
      <c r="B558" t="s">
        <v>54</v>
      </c>
      <c r="C558">
        <v>543.15</v>
      </c>
      <c r="D558">
        <v>700</v>
      </c>
      <c r="E558">
        <v>0</v>
      </c>
      <c r="F558">
        <v>0.48</v>
      </c>
      <c r="G558">
        <v>0.125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>
      <c r="A559">
        <f t="shared" si="8"/>
        <v>558</v>
      </c>
      <c r="B559" t="s">
        <v>54</v>
      </c>
      <c r="C559">
        <v>543.15</v>
      </c>
      <c r="D559">
        <v>800</v>
      </c>
      <c r="E559">
        <v>0</v>
      </c>
      <c r="F559">
        <v>0.504</v>
      </c>
      <c r="G559">
        <v>0.14499999999999999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>
      <c r="A560">
        <f t="shared" si="8"/>
        <v>559</v>
      </c>
      <c r="B560" t="s">
        <v>54</v>
      </c>
      <c r="C560">
        <v>543.15</v>
      </c>
      <c r="D560">
        <v>900</v>
      </c>
      <c r="E560">
        <v>0</v>
      </c>
      <c r="F560">
        <v>0.53800000000000003</v>
      </c>
      <c r="G560">
        <v>0.16600000000000001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>
      <c r="A561">
        <f t="shared" si="8"/>
        <v>560</v>
      </c>
      <c r="B561" t="s">
        <v>54</v>
      </c>
      <c r="C561">
        <v>543.15</v>
      </c>
      <c r="D561">
        <v>1000</v>
      </c>
      <c r="E561">
        <v>0</v>
      </c>
      <c r="F561">
        <v>0.57600000000000007</v>
      </c>
      <c r="G561">
        <v>0.19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>
      <c r="A562">
        <f t="shared" si="8"/>
        <v>561</v>
      </c>
      <c r="B562" t="s">
        <v>54</v>
      </c>
      <c r="C562">
        <v>543.15</v>
      </c>
      <c r="D562">
        <v>1100</v>
      </c>
      <c r="E562">
        <v>0</v>
      </c>
      <c r="F562">
        <v>0.61799999999999999</v>
      </c>
      <c r="G562">
        <v>0.215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>
      <c r="A563">
        <f t="shared" si="8"/>
        <v>562</v>
      </c>
      <c r="B563" t="s">
        <v>54</v>
      </c>
      <c r="C563">
        <v>543.15</v>
      </c>
      <c r="D563">
        <v>1200</v>
      </c>
      <c r="E563">
        <v>0</v>
      </c>
      <c r="F563">
        <v>0.65999999999999992</v>
      </c>
      <c r="G563">
        <v>0.25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>
      <c r="A564">
        <f t="shared" si="8"/>
        <v>563</v>
      </c>
      <c r="B564" t="s">
        <v>54</v>
      </c>
      <c r="C564">
        <v>533.15</v>
      </c>
      <c r="D564">
        <v>200</v>
      </c>
      <c r="E564">
        <v>0</v>
      </c>
      <c r="F564">
        <v>0.42800000000000005</v>
      </c>
      <c r="G564">
        <v>2.7E-2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>
      <c r="A565">
        <f t="shared" si="8"/>
        <v>564</v>
      </c>
      <c r="B565" t="s">
        <v>54</v>
      </c>
      <c r="C565">
        <v>533.15</v>
      </c>
      <c r="D565">
        <v>250</v>
      </c>
      <c r="E565">
        <v>0</v>
      </c>
      <c r="F565">
        <v>0.38</v>
      </c>
      <c r="G565">
        <v>3.5000000000000003E-2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>
      <c r="A566">
        <f t="shared" si="8"/>
        <v>565</v>
      </c>
      <c r="B566" t="s">
        <v>54</v>
      </c>
      <c r="C566">
        <v>533.15</v>
      </c>
      <c r="D566">
        <v>300</v>
      </c>
      <c r="E566">
        <v>0</v>
      </c>
      <c r="F566">
        <v>0.36</v>
      </c>
      <c r="G566">
        <v>4.3999999999999997E-2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>
      <c r="A567">
        <f t="shared" si="8"/>
        <v>566</v>
      </c>
      <c r="B567" t="s">
        <v>54</v>
      </c>
      <c r="C567">
        <v>533.15</v>
      </c>
      <c r="D567">
        <v>400</v>
      </c>
      <c r="E567">
        <v>0</v>
      </c>
      <c r="F567">
        <v>0.35799999999999998</v>
      </c>
      <c r="G567">
        <v>5.8999999999999997E-2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>
      <c r="A568">
        <f t="shared" si="8"/>
        <v>567</v>
      </c>
      <c r="B568" t="s">
        <v>54</v>
      </c>
      <c r="C568">
        <v>533.15</v>
      </c>
      <c r="D568">
        <v>500</v>
      </c>
      <c r="E568">
        <v>0</v>
      </c>
      <c r="F568">
        <v>0.376</v>
      </c>
      <c r="G568">
        <v>7.2999999999999995E-2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>
      <c r="A569">
        <f t="shared" si="8"/>
        <v>568</v>
      </c>
      <c r="B569" t="s">
        <v>54</v>
      </c>
      <c r="C569">
        <v>533.15</v>
      </c>
      <c r="D569">
        <v>600</v>
      </c>
      <c r="E569">
        <v>0</v>
      </c>
      <c r="F569">
        <v>0.39600000000000002</v>
      </c>
      <c r="G569">
        <v>8.6999999999999994E-2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>
      <c r="A570">
        <f t="shared" si="8"/>
        <v>569</v>
      </c>
      <c r="B570" t="s">
        <v>54</v>
      </c>
      <c r="C570">
        <v>533.15</v>
      </c>
      <c r="D570">
        <v>700</v>
      </c>
      <c r="E570">
        <v>0</v>
      </c>
      <c r="F570">
        <v>0.42000000000000004</v>
      </c>
      <c r="G570">
        <v>0.1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>
      <c r="A571">
        <f t="shared" si="8"/>
        <v>570</v>
      </c>
      <c r="B571" t="s">
        <v>54</v>
      </c>
      <c r="C571">
        <v>533.15</v>
      </c>
      <c r="D571">
        <v>800</v>
      </c>
      <c r="E571">
        <v>0</v>
      </c>
      <c r="F571">
        <v>0.43999999999999995</v>
      </c>
      <c r="G571">
        <v>0.113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>
      <c r="A572">
        <f t="shared" si="8"/>
        <v>571</v>
      </c>
      <c r="B572" t="s">
        <v>54</v>
      </c>
      <c r="C572">
        <v>533.15</v>
      </c>
      <c r="D572">
        <v>900</v>
      </c>
      <c r="E572">
        <v>0</v>
      </c>
      <c r="F572">
        <v>0.45199999999999996</v>
      </c>
      <c r="G572">
        <v>0.125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>
      <c r="A573">
        <f t="shared" si="8"/>
        <v>572</v>
      </c>
      <c r="B573" t="s">
        <v>54</v>
      </c>
      <c r="C573">
        <v>533.15</v>
      </c>
      <c r="D573">
        <v>1000</v>
      </c>
      <c r="E573">
        <v>0</v>
      </c>
      <c r="F573">
        <v>0.46399999999999997</v>
      </c>
      <c r="G573">
        <v>0.13500000000000001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>
      <c r="A574">
        <f t="shared" si="8"/>
        <v>573</v>
      </c>
      <c r="B574" t="s">
        <v>54</v>
      </c>
      <c r="C574">
        <v>533.15</v>
      </c>
      <c r="D574">
        <v>1100</v>
      </c>
      <c r="E574">
        <v>0</v>
      </c>
      <c r="F574">
        <v>0.47599999999999998</v>
      </c>
      <c r="G574">
        <v>0.14499999999999999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>
      <c r="A575">
        <f t="shared" si="8"/>
        <v>574</v>
      </c>
      <c r="B575" t="s">
        <v>54</v>
      </c>
      <c r="C575">
        <v>533.15</v>
      </c>
      <c r="D575">
        <v>1200</v>
      </c>
      <c r="E575">
        <v>0</v>
      </c>
      <c r="F575">
        <v>0.49</v>
      </c>
      <c r="G575">
        <v>0.155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>
      <c r="A576">
        <f t="shared" si="8"/>
        <v>575</v>
      </c>
      <c r="B576" t="s">
        <v>54</v>
      </c>
      <c r="C576">
        <v>533.15</v>
      </c>
      <c r="D576">
        <v>1300</v>
      </c>
      <c r="E576">
        <v>0</v>
      </c>
      <c r="F576">
        <v>0.496</v>
      </c>
      <c r="G576">
        <v>0.16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>
      <c r="A577">
        <f t="shared" si="8"/>
        <v>576</v>
      </c>
      <c r="B577" t="s">
        <v>54</v>
      </c>
      <c r="C577">
        <v>533.15</v>
      </c>
      <c r="D577">
        <v>1400</v>
      </c>
      <c r="E577">
        <v>0</v>
      </c>
      <c r="F577">
        <v>0.498</v>
      </c>
      <c r="G577">
        <v>0.16500000000000001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>
      <c r="A578">
        <f t="shared" si="8"/>
        <v>577</v>
      </c>
      <c r="B578" t="s">
        <v>54</v>
      </c>
      <c r="C578">
        <v>533.15</v>
      </c>
      <c r="D578">
        <v>1500</v>
      </c>
      <c r="E578">
        <v>0</v>
      </c>
      <c r="F578">
        <v>0.5</v>
      </c>
      <c r="G578">
        <v>0.17499999999999999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>
      <c r="A579">
        <f t="shared" si="8"/>
        <v>578</v>
      </c>
      <c r="B579" t="s">
        <v>54</v>
      </c>
      <c r="C579">
        <v>523.15</v>
      </c>
      <c r="D579">
        <v>100</v>
      </c>
      <c r="E579">
        <v>0</v>
      </c>
      <c r="F579">
        <v>0.59000000000000008</v>
      </c>
      <c r="G579">
        <v>1.2E-2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>
      <c r="A580">
        <f t="shared" si="8"/>
        <v>579</v>
      </c>
      <c r="B580" t="s">
        <v>54</v>
      </c>
      <c r="C580">
        <v>523.15</v>
      </c>
      <c r="D580">
        <v>200</v>
      </c>
      <c r="E580">
        <v>0</v>
      </c>
      <c r="F580">
        <v>0.36399999999999999</v>
      </c>
      <c r="G580">
        <v>2.7E-2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>
      <c r="A581">
        <f t="shared" si="8"/>
        <v>580</v>
      </c>
      <c r="B581" t="s">
        <v>54</v>
      </c>
      <c r="C581">
        <v>523.15</v>
      </c>
      <c r="D581">
        <v>300</v>
      </c>
      <c r="E581">
        <v>0</v>
      </c>
      <c r="F581">
        <v>0.31999999999999995</v>
      </c>
      <c r="G581">
        <v>4.2000000000000003E-2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>
      <c r="A582">
        <f t="shared" si="8"/>
        <v>581</v>
      </c>
      <c r="B582" t="s">
        <v>54</v>
      </c>
      <c r="C582">
        <v>523.15</v>
      </c>
      <c r="D582">
        <v>400</v>
      </c>
      <c r="E582">
        <v>0</v>
      </c>
      <c r="F582">
        <v>0.32399999999999995</v>
      </c>
      <c r="G582">
        <v>5.5E-2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>
      <c r="A583">
        <f t="shared" si="8"/>
        <v>582</v>
      </c>
      <c r="B583" t="s">
        <v>54</v>
      </c>
      <c r="C583">
        <v>523.15</v>
      </c>
      <c r="D583">
        <v>500</v>
      </c>
      <c r="E583">
        <v>0</v>
      </c>
      <c r="F583">
        <v>0.33999999999999997</v>
      </c>
      <c r="G583">
        <v>6.4000000000000001E-2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>
      <c r="A584">
        <f t="shared" si="8"/>
        <v>583</v>
      </c>
      <c r="B584" t="s">
        <v>54</v>
      </c>
      <c r="C584">
        <v>523.15</v>
      </c>
      <c r="D584">
        <v>600</v>
      </c>
      <c r="E584">
        <v>0</v>
      </c>
      <c r="F584">
        <v>0.36399999999999999</v>
      </c>
      <c r="G584">
        <v>7.3999999999999996E-2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>
      <c r="A585">
        <f t="shared" si="8"/>
        <v>584</v>
      </c>
      <c r="B585" t="s">
        <v>54</v>
      </c>
      <c r="C585">
        <v>523.15</v>
      </c>
      <c r="D585">
        <v>700</v>
      </c>
      <c r="E585">
        <v>0</v>
      </c>
      <c r="F585">
        <v>0.38700000000000001</v>
      </c>
      <c r="G585">
        <v>8.4000000000000005E-2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>
      <c r="A586">
        <f t="shared" si="8"/>
        <v>585</v>
      </c>
      <c r="B586" t="s">
        <v>54</v>
      </c>
      <c r="C586">
        <v>523.15</v>
      </c>
      <c r="D586">
        <v>800</v>
      </c>
      <c r="E586">
        <v>0</v>
      </c>
      <c r="F586">
        <v>0.40700000000000003</v>
      </c>
      <c r="G586">
        <v>9.4E-2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>
      <c r="A587">
        <f t="shared" si="8"/>
        <v>586</v>
      </c>
      <c r="B587" t="s">
        <v>54</v>
      </c>
      <c r="C587">
        <v>523.15</v>
      </c>
      <c r="D587">
        <v>900</v>
      </c>
      <c r="E587">
        <v>0</v>
      </c>
      <c r="F587">
        <v>0.42000000000000004</v>
      </c>
      <c r="G587">
        <v>0.104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>
      <c r="A588">
        <f t="shared" si="8"/>
        <v>587</v>
      </c>
      <c r="B588" t="s">
        <v>54</v>
      </c>
      <c r="C588">
        <v>523.15</v>
      </c>
      <c r="D588">
        <v>1000</v>
      </c>
      <c r="E588">
        <v>0</v>
      </c>
      <c r="F588">
        <v>0.43300000000000005</v>
      </c>
      <c r="G588">
        <v>0.115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>
      <c r="A589">
        <f t="shared" si="8"/>
        <v>588</v>
      </c>
      <c r="B589" t="s">
        <v>54</v>
      </c>
      <c r="C589">
        <v>523.15</v>
      </c>
      <c r="D589">
        <v>1100</v>
      </c>
      <c r="E589">
        <v>0</v>
      </c>
      <c r="F589">
        <v>0.44499999999999995</v>
      </c>
      <c r="G589">
        <v>0.125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>
      <c r="A590">
        <f t="shared" si="8"/>
        <v>589</v>
      </c>
      <c r="B590" t="s">
        <v>54</v>
      </c>
      <c r="C590">
        <v>523.15</v>
      </c>
      <c r="D590">
        <v>1200</v>
      </c>
      <c r="E590">
        <v>0</v>
      </c>
      <c r="F590">
        <v>0.45199999999999996</v>
      </c>
      <c r="G590">
        <v>0.13200000000000001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>
      <c r="A591">
        <f t="shared" si="8"/>
        <v>590</v>
      </c>
      <c r="B591" t="s">
        <v>54</v>
      </c>
      <c r="C591">
        <v>523.15</v>
      </c>
      <c r="D591">
        <v>1300</v>
      </c>
      <c r="E591">
        <v>0</v>
      </c>
      <c r="F591">
        <v>0.45799999999999996</v>
      </c>
      <c r="G591">
        <v>0.13600000000000001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>
      <c r="A592">
        <f t="shared" si="8"/>
        <v>591</v>
      </c>
      <c r="B592" t="s">
        <v>54</v>
      </c>
      <c r="C592">
        <v>523.15</v>
      </c>
      <c r="D592">
        <v>1400</v>
      </c>
      <c r="E592">
        <v>0</v>
      </c>
      <c r="F592">
        <v>0.45999999999999996</v>
      </c>
      <c r="G592">
        <v>0.14000000000000001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>
      <c r="A593">
        <f t="shared" si="8"/>
        <v>592</v>
      </c>
      <c r="B593" t="s">
        <v>54</v>
      </c>
      <c r="C593">
        <v>523.15</v>
      </c>
      <c r="D593">
        <v>1500</v>
      </c>
      <c r="E593">
        <v>0</v>
      </c>
      <c r="F593">
        <v>0.45999999999999996</v>
      </c>
      <c r="G593">
        <v>0.14399999999999999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>
      <c r="A594">
        <f t="shared" si="8"/>
        <v>593</v>
      </c>
      <c r="B594" t="s">
        <v>54</v>
      </c>
      <c r="C594">
        <v>473.15</v>
      </c>
      <c r="D594">
        <v>100</v>
      </c>
      <c r="E594">
        <v>0</v>
      </c>
      <c r="F594">
        <v>0.28500000000000003</v>
      </c>
      <c r="G594">
        <v>1.2999999999999999E-2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>
      <c r="A595">
        <f t="shared" si="8"/>
        <v>594</v>
      </c>
      <c r="B595" t="s">
        <v>54</v>
      </c>
      <c r="C595">
        <v>473.15</v>
      </c>
      <c r="D595">
        <v>200</v>
      </c>
      <c r="E595">
        <v>0</v>
      </c>
      <c r="F595">
        <v>0.18000000000000005</v>
      </c>
      <c r="G595">
        <v>2.5999999999999999E-2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>
      <c r="A596">
        <f t="shared" si="8"/>
        <v>595</v>
      </c>
      <c r="B596" t="s">
        <v>54</v>
      </c>
      <c r="C596">
        <v>473.15</v>
      </c>
      <c r="D596">
        <v>300</v>
      </c>
      <c r="E596">
        <v>0</v>
      </c>
      <c r="F596">
        <v>0.17500000000000004</v>
      </c>
      <c r="G596">
        <v>3.4000000000000002E-2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>
      <c r="A597">
        <f t="shared" si="8"/>
        <v>596</v>
      </c>
      <c r="B597" t="s">
        <v>54</v>
      </c>
      <c r="C597">
        <v>473.15</v>
      </c>
      <c r="D597">
        <v>400</v>
      </c>
      <c r="E597">
        <v>0</v>
      </c>
      <c r="F597">
        <v>0.18400000000000005</v>
      </c>
      <c r="G597">
        <v>4.1000000000000002E-2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>
      <c r="A598">
        <f t="shared" si="8"/>
        <v>597</v>
      </c>
      <c r="B598" t="s">
        <v>54</v>
      </c>
      <c r="C598">
        <v>473.15</v>
      </c>
      <c r="D598">
        <v>500</v>
      </c>
      <c r="E598">
        <v>0</v>
      </c>
      <c r="F598">
        <v>0.19999999999999996</v>
      </c>
      <c r="G598">
        <v>4.7E-2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>
      <c r="A599">
        <f t="shared" si="8"/>
        <v>598</v>
      </c>
      <c r="B599" t="s">
        <v>54</v>
      </c>
      <c r="C599">
        <v>473.15</v>
      </c>
      <c r="D599">
        <v>600</v>
      </c>
      <c r="E599">
        <v>0</v>
      </c>
      <c r="F599">
        <v>0.21999999999999997</v>
      </c>
      <c r="G599">
        <v>5.1999999999999998E-2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>
      <c r="A600">
        <f t="shared" si="8"/>
        <v>599</v>
      </c>
      <c r="B600" t="s">
        <v>54</v>
      </c>
      <c r="C600">
        <v>473.15</v>
      </c>
      <c r="D600">
        <v>700</v>
      </c>
      <c r="E600">
        <v>0</v>
      </c>
      <c r="F600">
        <v>0.24</v>
      </c>
      <c r="G600">
        <v>5.6000000000000001E-2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>
      <c r="A601">
        <f t="shared" si="8"/>
        <v>600</v>
      </c>
      <c r="B601" t="s">
        <v>54</v>
      </c>
      <c r="C601">
        <v>473.15</v>
      </c>
      <c r="D601">
        <v>800</v>
      </c>
      <c r="E601">
        <v>0</v>
      </c>
      <c r="F601">
        <v>0.255</v>
      </c>
      <c r="G601">
        <v>5.8000000000000003E-2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>
      <c r="A602">
        <f t="shared" si="8"/>
        <v>601</v>
      </c>
      <c r="B602" t="s">
        <v>54</v>
      </c>
      <c r="C602">
        <v>473.15</v>
      </c>
      <c r="D602">
        <v>900</v>
      </c>
      <c r="E602">
        <v>0</v>
      </c>
      <c r="F602">
        <v>0.26800000000000002</v>
      </c>
      <c r="G602">
        <v>6.0999999999999999E-2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>
      <c r="A603">
        <f t="shared" si="8"/>
        <v>602</v>
      </c>
      <c r="B603" t="s">
        <v>54</v>
      </c>
      <c r="C603">
        <v>473.15</v>
      </c>
      <c r="D603">
        <v>1000</v>
      </c>
      <c r="E603">
        <v>0</v>
      </c>
      <c r="F603">
        <v>0.28000000000000003</v>
      </c>
      <c r="G603">
        <v>6.3E-2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>
      <c r="A604">
        <f t="shared" si="8"/>
        <v>603</v>
      </c>
      <c r="B604" t="s">
        <v>54</v>
      </c>
      <c r="C604">
        <v>473.15</v>
      </c>
      <c r="D604">
        <v>1100</v>
      </c>
      <c r="E604">
        <v>0</v>
      </c>
      <c r="F604">
        <v>0.28400000000000003</v>
      </c>
      <c r="G604">
        <v>6.5000000000000002E-2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>
      <c r="A605">
        <f t="shared" si="8"/>
        <v>604</v>
      </c>
      <c r="B605" t="s">
        <v>54</v>
      </c>
      <c r="C605">
        <v>473.15</v>
      </c>
      <c r="D605">
        <v>1200</v>
      </c>
      <c r="E605">
        <v>0</v>
      </c>
      <c r="F605">
        <v>0.29400000000000004</v>
      </c>
      <c r="G605">
        <v>6.7000000000000004E-2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>
      <c r="A606">
        <f t="shared" si="8"/>
        <v>605</v>
      </c>
      <c r="B606" t="s">
        <v>54</v>
      </c>
      <c r="C606">
        <v>473.15</v>
      </c>
      <c r="D606">
        <v>1300</v>
      </c>
      <c r="E606">
        <v>0</v>
      </c>
      <c r="F606">
        <v>0.30000000000000004</v>
      </c>
      <c r="G606">
        <v>6.9000000000000006E-2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>
      <c r="A607">
        <f t="shared" si="8"/>
        <v>606</v>
      </c>
      <c r="B607" t="s">
        <v>54</v>
      </c>
      <c r="C607">
        <v>473.15</v>
      </c>
      <c r="D607">
        <v>1400</v>
      </c>
      <c r="E607">
        <v>0</v>
      </c>
      <c r="F607">
        <v>0.30600000000000005</v>
      </c>
      <c r="G607">
        <v>7.0000000000000007E-2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>
      <c r="A608">
        <f t="shared" si="8"/>
        <v>607</v>
      </c>
      <c r="B608" t="s">
        <v>54</v>
      </c>
      <c r="C608">
        <v>473.15</v>
      </c>
      <c r="D608">
        <v>1500</v>
      </c>
      <c r="E608">
        <v>0</v>
      </c>
      <c r="F608">
        <v>0.31000000000000005</v>
      </c>
      <c r="G608">
        <v>7.1999999999999995E-2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>
      <c r="A609">
        <f t="shared" si="8"/>
        <v>608</v>
      </c>
      <c r="B609" t="s">
        <v>54</v>
      </c>
      <c r="C609">
        <v>423.15</v>
      </c>
      <c r="D609">
        <v>100</v>
      </c>
      <c r="E609">
        <v>0</v>
      </c>
      <c r="F609">
        <v>0.12</v>
      </c>
      <c r="G609">
        <v>1.35E-2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>
      <c r="A610">
        <f t="shared" si="8"/>
        <v>609</v>
      </c>
      <c r="B610" t="s">
        <v>54</v>
      </c>
      <c r="C610">
        <v>423.15</v>
      </c>
      <c r="D610">
        <v>200</v>
      </c>
      <c r="E610">
        <v>0</v>
      </c>
      <c r="F610">
        <v>8.9999999999999969E-2</v>
      </c>
      <c r="G610">
        <v>2.1499999999999998E-2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>
      <c r="A611">
        <f t="shared" si="8"/>
        <v>610</v>
      </c>
      <c r="B611" t="s">
        <v>54</v>
      </c>
      <c r="C611">
        <v>423.15</v>
      </c>
      <c r="D611">
        <v>300</v>
      </c>
      <c r="E611">
        <v>0</v>
      </c>
      <c r="F611">
        <v>9.9999999999999978E-2</v>
      </c>
      <c r="G611">
        <v>2.5999999999999999E-2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>
      <c r="A612">
        <f t="shared" si="8"/>
        <v>611</v>
      </c>
      <c r="B612" t="s">
        <v>54</v>
      </c>
      <c r="C612">
        <v>423.15</v>
      </c>
      <c r="D612">
        <v>400</v>
      </c>
      <c r="E612">
        <v>0</v>
      </c>
      <c r="F612">
        <v>0.11799999999999999</v>
      </c>
      <c r="G612">
        <v>2.9000000000000001E-2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>
      <c r="A613">
        <f t="shared" si="8"/>
        <v>612</v>
      </c>
      <c r="B613" t="s">
        <v>54</v>
      </c>
      <c r="C613">
        <v>423.15</v>
      </c>
      <c r="D613">
        <v>500</v>
      </c>
      <c r="E613">
        <v>0</v>
      </c>
      <c r="F613">
        <v>0.13800000000000001</v>
      </c>
      <c r="G613">
        <v>3.2000000000000001E-2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>
      <c r="A614">
        <f t="shared" ref="A614:A677" si="9">A613+1</f>
        <v>613</v>
      </c>
      <c r="B614" t="s">
        <v>54</v>
      </c>
      <c r="C614">
        <v>423.15</v>
      </c>
      <c r="D614">
        <v>600</v>
      </c>
      <c r="E614">
        <v>0</v>
      </c>
      <c r="F614">
        <v>0.16000000000000003</v>
      </c>
      <c r="G614">
        <v>3.4500000000000003E-2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>
      <c r="A615">
        <f t="shared" si="9"/>
        <v>614</v>
      </c>
      <c r="B615" t="s">
        <v>54</v>
      </c>
      <c r="C615">
        <v>423.15</v>
      </c>
      <c r="D615">
        <v>700</v>
      </c>
      <c r="E615">
        <v>0</v>
      </c>
      <c r="F615">
        <v>0.17600000000000005</v>
      </c>
      <c r="G615">
        <v>3.6999999999999998E-2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>
      <c r="A616">
        <f t="shared" si="9"/>
        <v>615</v>
      </c>
      <c r="B616" t="s">
        <v>54</v>
      </c>
      <c r="C616">
        <v>423.15</v>
      </c>
      <c r="D616">
        <v>800</v>
      </c>
      <c r="E616">
        <v>0</v>
      </c>
      <c r="F616">
        <v>0.19199999999999995</v>
      </c>
      <c r="G616">
        <v>3.9E-2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>
      <c r="A617">
        <f t="shared" si="9"/>
        <v>616</v>
      </c>
      <c r="B617" t="s">
        <v>54</v>
      </c>
      <c r="C617">
        <v>423.15</v>
      </c>
      <c r="D617">
        <v>900</v>
      </c>
      <c r="E617">
        <v>0</v>
      </c>
      <c r="F617">
        <v>0.20599999999999996</v>
      </c>
      <c r="G617">
        <v>4.0500000000000001E-2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>
      <c r="A618">
        <f t="shared" si="9"/>
        <v>617</v>
      </c>
      <c r="B618" t="s">
        <v>54</v>
      </c>
      <c r="C618">
        <v>423.15</v>
      </c>
      <c r="D618">
        <v>1000</v>
      </c>
      <c r="E618">
        <v>0</v>
      </c>
      <c r="F618">
        <v>0.21999999999999997</v>
      </c>
      <c r="G618">
        <v>4.2000000000000003E-2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>
      <c r="A619">
        <f t="shared" si="9"/>
        <v>618</v>
      </c>
      <c r="B619" t="s">
        <v>54</v>
      </c>
      <c r="C619">
        <v>423.15</v>
      </c>
      <c r="D619">
        <v>1100</v>
      </c>
      <c r="E619">
        <v>0</v>
      </c>
      <c r="F619">
        <v>0.22999999999999998</v>
      </c>
      <c r="G619">
        <v>4.3999999999999997E-2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>
      <c r="A620">
        <f t="shared" si="9"/>
        <v>619</v>
      </c>
      <c r="B620" t="s">
        <v>54</v>
      </c>
      <c r="C620">
        <v>423.15</v>
      </c>
      <c r="D620">
        <v>1200</v>
      </c>
      <c r="E620">
        <v>0</v>
      </c>
      <c r="F620">
        <v>0.23599999999999999</v>
      </c>
      <c r="G620">
        <v>4.4999999999999998E-2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>
      <c r="A621">
        <f t="shared" si="9"/>
        <v>620</v>
      </c>
      <c r="B621" t="s">
        <v>54</v>
      </c>
      <c r="C621">
        <v>423.15</v>
      </c>
      <c r="D621">
        <v>1300</v>
      </c>
      <c r="E621">
        <v>0</v>
      </c>
      <c r="F621">
        <v>0.24199999999999999</v>
      </c>
      <c r="G621">
        <v>4.5999999999999999E-2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>
      <c r="A622">
        <f t="shared" si="9"/>
        <v>621</v>
      </c>
      <c r="B622" t="s">
        <v>54</v>
      </c>
      <c r="C622">
        <v>423.15</v>
      </c>
      <c r="D622">
        <v>1400</v>
      </c>
      <c r="E622">
        <v>0</v>
      </c>
      <c r="F622">
        <v>0.246</v>
      </c>
      <c r="G622">
        <v>4.7E-2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>
      <c r="A623">
        <f t="shared" si="9"/>
        <v>622</v>
      </c>
      <c r="B623" t="s">
        <v>54</v>
      </c>
      <c r="C623">
        <v>423.15</v>
      </c>
      <c r="D623">
        <v>1500</v>
      </c>
      <c r="E623">
        <v>0</v>
      </c>
      <c r="F623">
        <v>0.248</v>
      </c>
      <c r="G623">
        <v>4.8000000000000001E-2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>
      <c r="A624">
        <f t="shared" si="9"/>
        <v>623</v>
      </c>
      <c r="B624" t="s">
        <v>54</v>
      </c>
      <c r="C624">
        <v>383.15</v>
      </c>
      <c r="D624">
        <v>100</v>
      </c>
      <c r="E624">
        <v>0</v>
      </c>
      <c r="F624">
        <v>4.4000000000000039E-2</v>
      </c>
      <c r="G624">
        <v>1.4E-2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>
      <c r="A625">
        <f t="shared" si="9"/>
        <v>624</v>
      </c>
      <c r="B625" t="s">
        <v>54</v>
      </c>
      <c r="C625">
        <v>383.15</v>
      </c>
      <c r="D625">
        <v>200</v>
      </c>
      <c r="E625">
        <v>0</v>
      </c>
      <c r="F625">
        <v>4.2000000000000037E-2</v>
      </c>
      <c r="G625">
        <v>2.1000000000000001E-2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>
      <c r="A626">
        <f t="shared" si="9"/>
        <v>625</v>
      </c>
      <c r="B626" t="s">
        <v>54</v>
      </c>
      <c r="C626">
        <v>383.15</v>
      </c>
      <c r="D626">
        <v>300</v>
      </c>
      <c r="E626">
        <v>0</v>
      </c>
      <c r="F626">
        <v>5.2000000000000046E-2</v>
      </c>
      <c r="G626">
        <v>2.4E-2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>
      <c r="A627">
        <f t="shared" si="9"/>
        <v>626</v>
      </c>
      <c r="B627" t="s">
        <v>54</v>
      </c>
      <c r="C627">
        <v>383.15</v>
      </c>
      <c r="D627">
        <v>400</v>
      </c>
      <c r="E627">
        <v>0</v>
      </c>
      <c r="F627">
        <v>6.7999999999999949E-2</v>
      </c>
      <c r="G627">
        <v>2.5999999999999999E-2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>
      <c r="A628">
        <f t="shared" si="9"/>
        <v>627</v>
      </c>
      <c r="B628" t="s">
        <v>54</v>
      </c>
      <c r="C628">
        <v>383.15</v>
      </c>
      <c r="D628">
        <v>500</v>
      </c>
      <c r="E628">
        <v>0</v>
      </c>
      <c r="F628">
        <v>8.5999999999999965E-2</v>
      </c>
      <c r="G628">
        <v>2.8000000000000001E-2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>
      <c r="A629">
        <f t="shared" si="9"/>
        <v>628</v>
      </c>
      <c r="B629" t="s">
        <v>54</v>
      </c>
      <c r="C629">
        <v>383.15</v>
      </c>
      <c r="D629">
        <v>600</v>
      </c>
      <c r="E629">
        <v>0</v>
      </c>
      <c r="F629">
        <v>0.10699999999999998</v>
      </c>
      <c r="G629">
        <v>0.03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>
      <c r="A630">
        <f t="shared" si="9"/>
        <v>629</v>
      </c>
      <c r="B630" t="s">
        <v>54</v>
      </c>
      <c r="C630">
        <v>383.15</v>
      </c>
      <c r="D630">
        <v>700</v>
      </c>
      <c r="E630">
        <v>0</v>
      </c>
      <c r="F630">
        <v>0.128</v>
      </c>
      <c r="G630">
        <v>3.15E-2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>
      <c r="A631">
        <f t="shared" si="9"/>
        <v>630</v>
      </c>
      <c r="B631" t="s">
        <v>54</v>
      </c>
      <c r="C631">
        <v>383.15</v>
      </c>
      <c r="D631">
        <v>800</v>
      </c>
      <c r="E631">
        <v>0</v>
      </c>
      <c r="F631">
        <v>0.14600000000000002</v>
      </c>
      <c r="G631">
        <v>3.3000000000000002E-2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>
      <c r="A632">
        <f t="shared" si="9"/>
        <v>631</v>
      </c>
      <c r="B632" t="s">
        <v>54</v>
      </c>
      <c r="C632">
        <v>383.15</v>
      </c>
      <c r="D632">
        <v>900</v>
      </c>
      <c r="E632">
        <v>0</v>
      </c>
      <c r="F632">
        <v>0.16000000000000003</v>
      </c>
      <c r="G632">
        <v>3.4500000000000003E-2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>
      <c r="A633">
        <f t="shared" si="9"/>
        <v>632</v>
      </c>
      <c r="B633" t="s">
        <v>54</v>
      </c>
      <c r="C633">
        <v>383.15</v>
      </c>
      <c r="D633">
        <v>1000</v>
      </c>
      <c r="E633">
        <v>0</v>
      </c>
      <c r="F633">
        <v>0.17000000000000004</v>
      </c>
      <c r="G633">
        <v>3.5999999999999997E-2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>
      <c r="A634">
        <f t="shared" si="9"/>
        <v>633</v>
      </c>
      <c r="B634" t="s">
        <v>54</v>
      </c>
      <c r="C634">
        <v>383.15</v>
      </c>
      <c r="D634">
        <v>1100</v>
      </c>
      <c r="E634">
        <v>0</v>
      </c>
      <c r="F634">
        <v>0.17800000000000005</v>
      </c>
      <c r="G634">
        <v>3.6999999999999998E-2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>
      <c r="A635">
        <f t="shared" si="9"/>
        <v>634</v>
      </c>
      <c r="B635" t="s">
        <v>54</v>
      </c>
      <c r="C635">
        <v>383.15</v>
      </c>
      <c r="D635">
        <v>1200</v>
      </c>
      <c r="E635">
        <v>0</v>
      </c>
      <c r="F635">
        <v>0.18400000000000005</v>
      </c>
      <c r="G635">
        <v>3.7499999999999999E-2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>
      <c r="A636">
        <f t="shared" si="9"/>
        <v>635</v>
      </c>
      <c r="B636" t="s">
        <v>54</v>
      </c>
      <c r="C636">
        <v>383.15</v>
      </c>
      <c r="D636">
        <v>1300</v>
      </c>
      <c r="E636">
        <v>0</v>
      </c>
      <c r="F636">
        <v>0.18999999999999995</v>
      </c>
      <c r="G636">
        <v>3.85E-2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>
      <c r="A637">
        <f t="shared" si="9"/>
        <v>636</v>
      </c>
      <c r="B637" t="s">
        <v>54</v>
      </c>
      <c r="C637">
        <v>383.15</v>
      </c>
      <c r="D637">
        <v>1400</v>
      </c>
      <c r="E637">
        <v>0</v>
      </c>
      <c r="F637">
        <v>0.19599999999999995</v>
      </c>
      <c r="G637">
        <v>3.9E-2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>
      <c r="A638">
        <f t="shared" si="9"/>
        <v>637</v>
      </c>
      <c r="B638" t="s">
        <v>54</v>
      </c>
      <c r="C638">
        <v>383.15</v>
      </c>
      <c r="D638">
        <v>1500</v>
      </c>
      <c r="E638">
        <v>0</v>
      </c>
      <c r="F638">
        <v>0.19999999999999996</v>
      </c>
      <c r="G638">
        <v>0.04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>
      <c r="A639">
        <f t="shared" si="9"/>
        <v>638</v>
      </c>
      <c r="B639" t="s">
        <v>56</v>
      </c>
      <c r="C639">
        <v>523.15</v>
      </c>
      <c r="D639">
        <v>100</v>
      </c>
      <c r="E639">
        <v>0</v>
      </c>
      <c r="G639">
        <v>1.1654229666093223E-2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>
      <c r="A640">
        <f t="shared" si="9"/>
        <v>639</v>
      </c>
      <c r="B640" t="s">
        <v>56</v>
      </c>
      <c r="C640">
        <v>523.15</v>
      </c>
      <c r="D640">
        <v>200</v>
      </c>
      <c r="E640">
        <v>0</v>
      </c>
      <c r="G640">
        <v>2.5462717577967652E-2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>
      <c r="A641">
        <f t="shared" si="9"/>
        <v>640</v>
      </c>
      <c r="B641" t="s">
        <v>56</v>
      </c>
      <c r="C641">
        <v>523.15</v>
      </c>
      <c r="D641">
        <v>300</v>
      </c>
      <c r="E641">
        <v>0</v>
      </c>
      <c r="G641">
        <v>4.1658717632980111E-2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>
      <c r="A642">
        <f t="shared" si="9"/>
        <v>641</v>
      </c>
      <c r="B642" t="s">
        <v>56</v>
      </c>
      <c r="C642">
        <v>523.15</v>
      </c>
      <c r="D642">
        <v>400</v>
      </c>
      <c r="E642">
        <v>0</v>
      </c>
      <c r="G642">
        <v>5.3342372941081906E-2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>
      <c r="A643">
        <f t="shared" si="9"/>
        <v>642</v>
      </c>
      <c r="B643" t="s">
        <v>56</v>
      </c>
      <c r="C643">
        <v>523.15</v>
      </c>
      <c r="D643">
        <v>500</v>
      </c>
      <c r="E643">
        <v>0</v>
      </c>
      <c r="G643">
        <v>6.3935751164943835E-2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>
      <c r="A644">
        <f t="shared" si="9"/>
        <v>643</v>
      </c>
      <c r="B644" t="s">
        <v>56</v>
      </c>
      <c r="C644">
        <v>523.15</v>
      </c>
      <c r="D644">
        <v>600</v>
      </c>
      <c r="E644">
        <v>0</v>
      </c>
      <c r="G644">
        <v>7.4331984294592632E-2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>
      <c r="A645">
        <f t="shared" si="9"/>
        <v>644</v>
      </c>
      <c r="B645" t="s">
        <v>56</v>
      </c>
      <c r="C645">
        <v>523.15</v>
      </c>
      <c r="D645">
        <v>800</v>
      </c>
      <c r="E645">
        <v>0</v>
      </c>
      <c r="G645">
        <v>9.4945568013244136E-2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>
      <c r="A646">
        <f t="shared" si="9"/>
        <v>645</v>
      </c>
      <c r="B646" t="s">
        <v>56</v>
      </c>
      <c r="C646">
        <v>523.15</v>
      </c>
      <c r="D646">
        <v>1000</v>
      </c>
      <c r="E646">
        <v>0</v>
      </c>
      <c r="G646">
        <v>0.11558115877824592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>
      <c r="A647">
        <f t="shared" si="9"/>
        <v>646</v>
      </c>
      <c r="B647" t="s">
        <v>56</v>
      </c>
      <c r="C647">
        <v>523.15</v>
      </c>
      <c r="D647">
        <v>1200</v>
      </c>
      <c r="E647">
        <v>0</v>
      </c>
      <c r="G647">
        <v>0.13265200046779374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>
      <c r="A648">
        <f t="shared" si="9"/>
        <v>647</v>
      </c>
      <c r="B648" t="s">
        <v>56</v>
      </c>
      <c r="C648">
        <v>523.15</v>
      </c>
      <c r="D648">
        <v>1400</v>
      </c>
      <c r="E648">
        <v>0</v>
      </c>
      <c r="G648">
        <v>0.14205452717487729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>
      <c r="A649">
        <f t="shared" si="9"/>
        <v>648</v>
      </c>
      <c r="B649" t="s">
        <v>56</v>
      </c>
      <c r="C649">
        <v>473.15</v>
      </c>
      <c r="D649">
        <v>100</v>
      </c>
      <c r="E649">
        <v>0</v>
      </c>
      <c r="G649">
        <v>1.335119421485307E-2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>
      <c r="A650">
        <f t="shared" si="9"/>
        <v>649</v>
      </c>
      <c r="B650" t="s">
        <v>56</v>
      </c>
      <c r="C650">
        <v>473.15</v>
      </c>
      <c r="D650">
        <v>200</v>
      </c>
      <c r="E650">
        <v>0</v>
      </c>
      <c r="G650">
        <v>2.5902958221708051E-2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>
      <c r="A651">
        <f t="shared" si="9"/>
        <v>650</v>
      </c>
      <c r="B651" t="s">
        <v>56</v>
      </c>
      <c r="C651">
        <v>473.15</v>
      </c>
      <c r="D651">
        <v>300</v>
      </c>
      <c r="E651">
        <v>0</v>
      </c>
      <c r="G651">
        <v>3.3920573967329656E-2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>
      <c r="A652">
        <f t="shared" si="9"/>
        <v>651</v>
      </c>
      <c r="B652" t="s">
        <v>56</v>
      </c>
      <c r="C652">
        <v>473.15</v>
      </c>
      <c r="D652">
        <v>400</v>
      </c>
      <c r="E652">
        <v>0</v>
      </c>
      <c r="G652">
        <v>4.1198975216340215E-2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>
      <c r="A653">
        <f t="shared" si="9"/>
        <v>652</v>
      </c>
      <c r="B653" t="s">
        <v>56</v>
      </c>
      <c r="C653">
        <v>473.15</v>
      </c>
      <c r="D653">
        <v>500</v>
      </c>
      <c r="E653">
        <v>0</v>
      </c>
      <c r="G653">
        <v>4.7220875217887065E-2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>
      <c r="A654">
        <f t="shared" si="9"/>
        <v>653</v>
      </c>
      <c r="B654" t="s">
        <v>56</v>
      </c>
      <c r="C654">
        <v>473.15</v>
      </c>
      <c r="D654">
        <v>600</v>
      </c>
      <c r="E654">
        <v>0</v>
      </c>
      <c r="G654">
        <v>5.1920750494778178E-2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>
      <c r="A655">
        <f t="shared" si="9"/>
        <v>654</v>
      </c>
      <c r="B655" t="s">
        <v>56</v>
      </c>
      <c r="C655">
        <v>473.15</v>
      </c>
      <c r="D655">
        <v>800</v>
      </c>
      <c r="E655">
        <v>0</v>
      </c>
      <c r="G655">
        <v>5.8601737957833022E-2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>
      <c r="A656">
        <f t="shared" si="9"/>
        <v>655</v>
      </c>
      <c r="B656" t="s">
        <v>56</v>
      </c>
      <c r="C656">
        <v>473.15</v>
      </c>
      <c r="D656">
        <v>1000</v>
      </c>
      <c r="E656">
        <v>0</v>
      </c>
      <c r="G656">
        <v>6.3447714473007705E-2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>
      <c r="A657">
        <f t="shared" si="9"/>
        <v>656</v>
      </c>
      <c r="B657" t="s">
        <v>56</v>
      </c>
      <c r="C657">
        <v>473.15</v>
      </c>
      <c r="D657">
        <v>1200</v>
      </c>
      <c r="E657">
        <v>0</v>
      </c>
      <c r="G657">
        <v>6.7369720087507731E-2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>
      <c r="A658">
        <f t="shared" si="9"/>
        <v>657</v>
      </c>
      <c r="B658" t="s">
        <v>56</v>
      </c>
      <c r="C658">
        <v>473.15</v>
      </c>
      <c r="D658">
        <v>1400</v>
      </c>
      <c r="E658">
        <v>0</v>
      </c>
      <c r="G658">
        <v>7.0338017128363614E-2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>
      <c r="A659">
        <f t="shared" si="9"/>
        <v>658</v>
      </c>
      <c r="B659" t="s">
        <v>56</v>
      </c>
      <c r="C659">
        <v>423.15</v>
      </c>
      <c r="D659">
        <v>100</v>
      </c>
      <c r="E659">
        <v>0</v>
      </c>
      <c r="G659">
        <v>1.2926187307679089E-2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>
      <c r="A660">
        <f t="shared" si="9"/>
        <v>659</v>
      </c>
      <c r="B660" t="s">
        <v>56</v>
      </c>
      <c r="C660">
        <v>423.15</v>
      </c>
      <c r="D660">
        <v>200</v>
      </c>
      <c r="E660">
        <v>0</v>
      </c>
      <c r="G660">
        <v>2.1524681641977818E-2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>
      <c r="A661">
        <f t="shared" si="9"/>
        <v>660</v>
      </c>
      <c r="B661" t="s">
        <v>56</v>
      </c>
      <c r="C661">
        <v>423.15</v>
      </c>
      <c r="D661">
        <v>300</v>
      </c>
      <c r="E661">
        <v>0</v>
      </c>
      <c r="G661">
        <v>2.5902958221708051E-2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>
      <c r="A662">
        <f t="shared" si="9"/>
        <v>661</v>
      </c>
      <c r="B662" t="s">
        <v>56</v>
      </c>
      <c r="C662">
        <v>423.15</v>
      </c>
      <c r="D662">
        <v>400</v>
      </c>
      <c r="E662">
        <v>0</v>
      </c>
      <c r="G662">
        <v>2.9444401214742785E-2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>
      <c r="A663">
        <f t="shared" si="9"/>
        <v>662</v>
      </c>
      <c r="B663" t="s">
        <v>56</v>
      </c>
      <c r="C663">
        <v>423.15</v>
      </c>
      <c r="D663">
        <v>500</v>
      </c>
      <c r="E663">
        <v>0</v>
      </c>
      <c r="G663">
        <v>3.2123465375665343E-2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>
      <c r="A664">
        <f t="shared" si="9"/>
        <v>663</v>
      </c>
      <c r="B664" t="s">
        <v>56</v>
      </c>
      <c r="C664">
        <v>423.15</v>
      </c>
      <c r="D664">
        <v>600</v>
      </c>
      <c r="E664">
        <v>0</v>
      </c>
      <c r="G664">
        <v>3.4371243775399234E-2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>
      <c r="A665">
        <f t="shared" si="9"/>
        <v>664</v>
      </c>
      <c r="B665" t="s">
        <v>56</v>
      </c>
      <c r="C665">
        <v>423.15</v>
      </c>
      <c r="D665">
        <v>800</v>
      </c>
      <c r="E665">
        <v>0</v>
      </c>
      <c r="G665">
        <v>3.8908867074869603E-2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>
      <c r="A666">
        <f t="shared" si="9"/>
        <v>665</v>
      </c>
      <c r="B666" t="s">
        <v>56</v>
      </c>
      <c r="C666">
        <v>423.15</v>
      </c>
      <c r="D666">
        <v>1000</v>
      </c>
      <c r="E666">
        <v>0</v>
      </c>
      <c r="G666">
        <v>4.2119036161479502E-2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>
      <c r="A667">
        <f t="shared" si="9"/>
        <v>666</v>
      </c>
      <c r="B667" t="s">
        <v>56</v>
      </c>
      <c r="C667">
        <v>423.15</v>
      </c>
      <c r="D667">
        <v>1200</v>
      </c>
      <c r="E667">
        <v>0</v>
      </c>
      <c r="G667">
        <v>4.4893106553037E-2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>
      <c r="A668">
        <f t="shared" si="9"/>
        <v>667</v>
      </c>
      <c r="B668" t="s">
        <v>56</v>
      </c>
      <c r="C668">
        <v>423.15</v>
      </c>
      <c r="D668">
        <v>1400</v>
      </c>
      <c r="E668">
        <v>0</v>
      </c>
      <c r="G668">
        <v>4.7220875217887065E-2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>
      <c r="A669">
        <f t="shared" si="9"/>
        <v>668</v>
      </c>
      <c r="B669" t="s">
        <v>56</v>
      </c>
      <c r="C669">
        <v>523.15</v>
      </c>
      <c r="D669">
        <v>100</v>
      </c>
      <c r="E669">
        <v>1.0922277076324873</v>
      </c>
      <c r="G669">
        <v>1.039242920309191E-2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>
      <c r="A670">
        <f t="shared" si="9"/>
        <v>669</v>
      </c>
      <c r="B670" t="s">
        <v>56</v>
      </c>
      <c r="C670">
        <v>523.15</v>
      </c>
      <c r="D670">
        <v>200</v>
      </c>
      <c r="E670">
        <v>1.0922277076324873</v>
      </c>
      <c r="G670">
        <v>2.1530567028999519E-2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>
      <c r="A671">
        <f t="shared" si="9"/>
        <v>670</v>
      </c>
      <c r="B671" t="s">
        <v>56</v>
      </c>
      <c r="C671">
        <v>523.15</v>
      </c>
      <c r="D671">
        <v>300</v>
      </c>
      <c r="E671">
        <v>1.0922277076324873</v>
      </c>
      <c r="G671">
        <v>3.0217598104230733E-2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>
      <c r="A672">
        <f t="shared" si="9"/>
        <v>671</v>
      </c>
      <c r="B672" t="s">
        <v>56</v>
      </c>
      <c r="C672">
        <v>523.15</v>
      </c>
      <c r="D672">
        <v>400</v>
      </c>
      <c r="E672">
        <v>1.0922277076324873</v>
      </c>
      <c r="G672">
        <v>3.8158727343898469E-2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>
      <c r="A673">
        <f t="shared" si="9"/>
        <v>672</v>
      </c>
      <c r="B673" t="s">
        <v>56</v>
      </c>
      <c r="C673">
        <v>523.15</v>
      </c>
      <c r="D673">
        <v>500</v>
      </c>
      <c r="E673">
        <v>1.0922277076324873</v>
      </c>
      <c r="G673">
        <v>4.5301877413605515E-2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>
      <c r="A674">
        <f t="shared" si="9"/>
        <v>673</v>
      </c>
      <c r="B674" t="s">
        <v>56</v>
      </c>
      <c r="C674">
        <v>523.15</v>
      </c>
      <c r="D674">
        <v>600</v>
      </c>
      <c r="E674">
        <v>1.0922277076324873</v>
      </c>
      <c r="G674">
        <v>5.2576464677326282E-2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>
      <c r="A675">
        <f t="shared" si="9"/>
        <v>674</v>
      </c>
      <c r="B675" t="s">
        <v>56</v>
      </c>
      <c r="C675">
        <v>523.15</v>
      </c>
      <c r="D675">
        <v>800</v>
      </c>
      <c r="E675">
        <v>1.0922277076324873</v>
      </c>
      <c r="G675">
        <v>6.1985364900773242E-2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>
      <c r="A676">
        <f t="shared" si="9"/>
        <v>675</v>
      </c>
      <c r="B676" t="s">
        <v>56</v>
      </c>
      <c r="C676">
        <v>523.15</v>
      </c>
      <c r="D676">
        <v>1000</v>
      </c>
      <c r="E676">
        <v>1.0922277076324873</v>
      </c>
      <c r="G676">
        <v>6.906146248740648E-2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>
      <c r="A677">
        <f t="shared" si="9"/>
        <v>676</v>
      </c>
      <c r="B677" t="s">
        <v>56</v>
      </c>
      <c r="C677">
        <v>523.15</v>
      </c>
      <c r="D677">
        <v>1200</v>
      </c>
      <c r="E677">
        <v>1.0922277076324873</v>
      </c>
      <c r="G677">
        <v>7.5744096553542237E-2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>
      <c r="A678">
        <f t="shared" ref="A678:A741" si="10">A677+1</f>
        <v>677</v>
      </c>
      <c r="B678" t="s">
        <v>56</v>
      </c>
      <c r="C678">
        <v>523.15</v>
      </c>
      <c r="D678">
        <v>1400</v>
      </c>
      <c r="E678">
        <v>1.0922277076324873</v>
      </c>
      <c r="G678">
        <v>8.0435142606903334E-2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>
      <c r="A679">
        <f t="shared" si="10"/>
        <v>678</v>
      </c>
      <c r="B679" t="s">
        <v>56</v>
      </c>
      <c r="C679">
        <v>473.15</v>
      </c>
      <c r="D679">
        <v>100</v>
      </c>
      <c r="E679">
        <v>1.0922277076324873</v>
      </c>
      <c r="G679">
        <v>1.0831739507242191E-2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>
      <c r="A680">
        <f t="shared" si="10"/>
        <v>679</v>
      </c>
      <c r="B680" t="s">
        <v>56</v>
      </c>
      <c r="C680">
        <v>473.15</v>
      </c>
      <c r="D680">
        <v>200</v>
      </c>
      <c r="E680">
        <v>1.0922277076324873</v>
      </c>
      <c r="G680">
        <v>1.927675356363617E-2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>
      <c r="A681">
        <f t="shared" si="10"/>
        <v>680</v>
      </c>
      <c r="B681" t="s">
        <v>56</v>
      </c>
      <c r="C681">
        <v>473.15</v>
      </c>
      <c r="D681">
        <v>300</v>
      </c>
      <c r="E681">
        <v>1.0922277076324873</v>
      </c>
      <c r="G681">
        <v>2.4708318681157651E-2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>
      <c r="A682">
        <f t="shared" si="10"/>
        <v>681</v>
      </c>
      <c r="B682" t="s">
        <v>56</v>
      </c>
      <c r="C682">
        <v>473.15</v>
      </c>
      <c r="D682">
        <v>400</v>
      </c>
      <c r="E682">
        <v>1.0922277076324873</v>
      </c>
      <c r="G682">
        <v>2.8832901482255532E-2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>
      <c r="A683">
        <f t="shared" si="10"/>
        <v>682</v>
      </c>
      <c r="B683" t="s">
        <v>56</v>
      </c>
      <c r="C683">
        <v>473.15</v>
      </c>
      <c r="D683">
        <v>500</v>
      </c>
      <c r="E683">
        <v>1.0922277076324873</v>
      </c>
      <c r="G683">
        <v>3.2071583391169757E-2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>
      <c r="A684">
        <f t="shared" si="10"/>
        <v>683</v>
      </c>
      <c r="B684" t="s">
        <v>56</v>
      </c>
      <c r="C684">
        <v>473.15</v>
      </c>
      <c r="D684">
        <v>600</v>
      </c>
      <c r="E684">
        <v>1.0922277076324873</v>
      </c>
      <c r="G684">
        <v>3.5337474668443135E-2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>
      <c r="A685">
        <f t="shared" si="10"/>
        <v>684</v>
      </c>
      <c r="B685" t="s">
        <v>56</v>
      </c>
      <c r="C685">
        <v>473.15</v>
      </c>
      <c r="D685">
        <v>800</v>
      </c>
      <c r="E685">
        <v>1.0922277076324873</v>
      </c>
      <c r="G685">
        <v>4.0050917454565564E-2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>
      <c r="A686">
        <f t="shared" si="10"/>
        <v>685</v>
      </c>
      <c r="B686" t="s">
        <v>56</v>
      </c>
      <c r="C686">
        <v>473.15</v>
      </c>
      <c r="D686">
        <v>1000</v>
      </c>
      <c r="E686">
        <v>1.0922277076324873</v>
      </c>
      <c r="G686">
        <v>4.3384333801124268E-2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>
      <c r="A687">
        <f t="shared" si="10"/>
        <v>686</v>
      </c>
      <c r="B687" t="s">
        <v>56</v>
      </c>
      <c r="C687">
        <v>473.15</v>
      </c>
      <c r="D687">
        <v>1200</v>
      </c>
      <c r="E687">
        <v>1.0922277076324873</v>
      </c>
      <c r="G687">
        <v>4.6264149675884887E-2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>
      <c r="A688">
        <f t="shared" si="10"/>
        <v>687</v>
      </c>
      <c r="B688" t="s">
        <v>56</v>
      </c>
      <c r="C688">
        <v>473.15</v>
      </c>
      <c r="D688">
        <v>1400</v>
      </c>
      <c r="E688">
        <v>1.0922277076324873</v>
      </c>
      <c r="G688">
        <v>4.8680108541576603E-2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>
      <c r="A689">
        <f t="shared" si="10"/>
        <v>688</v>
      </c>
      <c r="B689" t="s">
        <v>56</v>
      </c>
      <c r="C689">
        <v>423.15</v>
      </c>
      <c r="D689">
        <v>100</v>
      </c>
      <c r="E689">
        <v>1.0922277076324873</v>
      </c>
      <c r="G689">
        <v>1.0831739507242191E-2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>
      <c r="A690">
        <f t="shared" si="10"/>
        <v>689</v>
      </c>
      <c r="B690" t="s">
        <v>56</v>
      </c>
      <c r="C690">
        <v>423.15</v>
      </c>
      <c r="D690">
        <v>200</v>
      </c>
      <c r="E690">
        <v>1.0922277076324873</v>
      </c>
      <c r="G690">
        <v>1.7483218158741206E-2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>
      <c r="A691">
        <f t="shared" si="10"/>
        <v>690</v>
      </c>
      <c r="B691" t="s">
        <v>56</v>
      </c>
      <c r="C691">
        <v>423.15</v>
      </c>
      <c r="D691">
        <v>300</v>
      </c>
      <c r="E691">
        <v>1.0922277076324873</v>
      </c>
      <c r="G691">
        <v>2.0627449211961846E-2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>
      <c r="A692">
        <f t="shared" si="10"/>
        <v>691</v>
      </c>
      <c r="B692" t="s">
        <v>56</v>
      </c>
      <c r="C692">
        <v>423.15</v>
      </c>
      <c r="D692">
        <v>400</v>
      </c>
      <c r="E692">
        <v>1.0922277076324873</v>
      </c>
      <c r="G692">
        <v>2.2889243639344359E-2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>
      <c r="A693">
        <f t="shared" si="10"/>
        <v>692</v>
      </c>
      <c r="B693" t="s">
        <v>56</v>
      </c>
      <c r="C693">
        <v>423.15</v>
      </c>
      <c r="D693">
        <v>500</v>
      </c>
      <c r="E693">
        <v>1.0922277076324873</v>
      </c>
      <c r="G693">
        <v>2.4708318681157651E-2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>
      <c r="A694">
        <f t="shared" si="10"/>
        <v>693</v>
      </c>
      <c r="B694" t="s">
        <v>56</v>
      </c>
      <c r="C694">
        <v>423.15</v>
      </c>
      <c r="D694">
        <v>600</v>
      </c>
      <c r="E694">
        <v>1.0922277076324873</v>
      </c>
      <c r="G694">
        <v>2.6536028258544685E-2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>
      <c r="A695">
        <f t="shared" si="10"/>
        <v>694</v>
      </c>
      <c r="B695" t="s">
        <v>56</v>
      </c>
      <c r="C695">
        <v>423.15</v>
      </c>
      <c r="D695">
        <v>800</v>
      </c>
      <c r="E695">
        <v>1.0922277076324873</v>
      </c>
      <c r="G695">
        <v>2.929391734207273E-2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>
      <c r="A696">
        <f t="shared" si="10"/>
        <v>695</v>
      </c>
      <c r="B696" t="s">
        <v>56</v>
      </c>
      <c r="C696">
        <v>423.15</v>
      </c>
      <c r="D696">
        <v>1000</v>
      </c>
      <c r="E696">
        <v>1.0922277076324873</v>
      </c>
      <c r="G696">
        <v>3.2071583391169757E-2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>
      <c r="A697">
        <f t="shared" si="10"/>
        <v>696</v>
      </c>
      <c r="B697" t="s">
        <v>56</v>
      </c>
      <c r="C697">
        <v>423.15</v>
      </c>
      <c r="D697">
        <v>1200</v>
      </c>
      <c r="E697">
        <v>1.0922277076324873</v>
      </c>
      <c r="G697">
        <v>3.4401566438925939E-2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>
      <c r="A698">
        <f t="shared" si="10"/>
        <v>697</v>
      </c>
      <c r="B698" t="s">
        <v>56</v>
      </c>
      <c r="C698">
        <v>423.15</v>
      </c>
      <c r="D698">
        <v>1400</v>
      </c>
      <c r="E698">
        <v>1.0922277076324873</v>
      </c>
      <c r="G698">
        <v>3.5806271743948355E-2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>
      <c r="A699">
        <f t="shared" si="10"/>
        <v>698</v>
      </c>
      <c r="B699" t="s">
        <v>56</v>
      </c>
      <c r="C699">
        <v>523.15</v>
      </c>
      <c r="D699">
        <v>100</v>
      </c>
      <c r="E699">
        <v>4.2778918548939089</v>
      </c>
      <c r="G699">
        <v>4.7756917293426005E-3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>
      <c r="A700">
        <f t="shared" si="10"/>
        <v>699</v>
      </c>
      <c r="B700" t="s">
        <v>56</v>
      </c>
      <c r="C700">
        <v>523.15</v>
      </c>
      <c r="D700">
        <v>200</v>
      </c>
      <c r="E700">
        <v>4.2778918548939089</v>
      </c>
      <c r="G700">
        <v>9.602054258156096E-3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>
      <c r="A701">
        <f t="shared" si="10"/>
        <v>700</v>
      </c>
      <c r="B701" t="s">
        <v>56</v>
      </c>
      <c r="C701">
        <v>523.15</v>
      </c>
      <c r="D701">
        <v>300</v>
      </c>
      <c r="E701">
        <v>4.2778918548939089</v>
      </c>
      <c r="G701">
        <v>1.35001714923094E-2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>
      <c r="A702">
        <f t="shared" si="10"/>
        <v>701</v>
      </c>
      <c r="B702" t="s">
        <v>56</v>
      </c>
      <c r="C702">
        <v>523.15</v>
      </c>
      <c r="D702">
        <v>400</v>
      </c>
      <c r="E702">
        <v>4.2778918548939089</v>
      </c>
      <c r="G702">
        <v>1.6445635687125985E-2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>
      <c r="A703">
        <f t="shared" si="10"/>
        <v>702</v>
      </c>
      <c r="B703" t="s">
        <v>56</v>
      </c>
      <c r="C703">
        <v>523.15</v>
      </c>
      <c r="D703">
        <v>500</v>
      </c>
      <c r="E703">
        <v>4.2778918548939089</v>
      </c>
      <c r="G703">
        <v>1.9905976872930491E-2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>
      <c r="A704">
        <f t="shared" si="10"/>
        <v>703</v>
      </c>
      <c r="B704" t="s">
        <v>56</v>
      </c>
      <c r="C704">
        <v>523.15</v>
      </c>
      <c r="D704">
        <v>600</v>
      </c>
      <c r="E704">
        <v>4.2778918548939089</v>
      </c>
      <c r="G704">
        <v>2.2892736209870895E-2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>
      <c r="A705">
        <f t="shared" si="10"/>
        <v>704</v>
      </c>
      <c r="B705" t="s">
        <v>56</v>
      </c>
      <c r="C705">
        <v>523.15</v>
      </c>
      <c r="D705">
        <v>800</v>
      </c>
      <c r="E705">
        <v>4.2778918548939089</v>
      </c>
      <c r="G705">
        <v>2.7913767704913581E-2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>
      <c r="A706">
        <f t="shared" si="10"/>
        <v>705</v>
      </c>
      <c r="B706" t="s">
        <v>56</v>
      </c>
      <c r="C706">
        <v>523.15</v>
      </c>
      <c r="D706">
        <v>1000</v>
      </c>
      <c r="E706">
        <v>4.2778918548939089</v>
      </c>
      <c r="G706">
        <v>3.2479384583385527E-2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>
      <c r="A707">
        <f t="shared" si="10"/>
        <v>706</v>
      </c>
      <c r="B707" t="s">
        <v>56</v>
      </c>
      <c r="C707">
        <v>523.15</v>
      </c>
      <c r="D707">
        <v>1200</v>
      </c>
      <c r="E707">
        <v>4.2778918548939089</v>
      </c>
      <c r="G707">
        <v>3.7604990909859595E-2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>
      <c r="A708">
        <f t="shared" si="10"/>
        <v>707</v>
      </c>
      <c r="B708" t="s">
        <v>56</v>
      </c>
      <c r="C708">
        <v>523.15</v>
      </c>
      <c r="D708">
        <v>1400</v>
      </c>
      <c r="E708">
        <v>4.2778918548939089</v>
      </c>
      <c r="G708">
        <v>4.0707346561086412E-2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>
      <c r="A709">
        <f t="shared" si="10"/>
        <v>708</v>
      </c>
      <c r="B709" t="s">
        <v>56</v>
      </c>
      <c r="C709">
        <v>423.15</v>
      </c>
      <c r="D709">
        <v>100</v>
      </c>
      <c r="E709">
        <v>4.2778918548939089</v>
      </c>
      <c r="G709">
        <v>4.2958555994449333E-3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>
      <c r="A710">
        <f t="shared" si="10"/>
        <v>709</v>
      </c>
      <c r="B710" t="s">
        <v>56</v>
      </c>
      <c r="C710">
        <v>423.15</v>
      </c>
      <c r="D710">
        <v>200</v>
      </c>
      <c r="E710">
        <v>4.2778918548939089</v>
      </c>
      <c r="G710">
        <v>7.6653772480114908E-3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>
      <c r="A711">
        <f t="shared" si="10"/>
        <v>710</v>
      </c>
      <c r="B711" t="s">
        <v>56</v>
      </c>
      <c r="C711">
        <v>423.15</v>
      </c>
      <c r="D711">
        <v>300</v>
      </c>
      <c r="E711">
        <v>4.2778918548939089</v>
      </c>
      <c r="G711">
        <v>1.0573478301694523E-2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>
      <c r="A712">
        <f t="shared" si="10"/>
        <v>711</v>
      </c>
      <c r="B712" t="s">
        <v>56</v>
      </c>
      <c r="C712">
        <v>423.15</v>
      </c>
      <c r="D712">
        <v>400</v>
      </c>
      <c r="E712">
        <v>4.2778918548939089</v>
      </c>
      <c r="G712">
        <v>1.2034489754198931E-2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>
      <c r="A713">
        <f t="shared" si="10"/>
        <v>712</v>
      </c>
      <c r="B713" t="s">
        <v>56</v>
      </c>
      <c r="C713">
        <v>423.15</v>
      </c>
      <c r="D713">
        <v>500</v>
      </c>
      <c r="E713">
        <v>4.2778918548939089</v>
      </c>
      <c r="G713">
        <v>1.35001714923094E-2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>
      <c r="A714">
        <f t="shared" si="10"/>
        <v>713</v>
      </c>
      <c r="B714" t="s">
        <v>56</v>
      </c>
      <c r="C714">
        <v>423.15</v>
      </c>
      <c r="D714">
        <v>600</v>
      </c>
      <c r="E714">
        <v>4.2778918548939089</v>
      </c>
      <c r="G714">
        <v>1.5461717486211396E-2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>
      <c r="A715">
        <f t="shared" si="10"/>
        <v>714</v>
      </c>
      <c r="B715" t="s">
        <v>56</v>
      </c>
      <c r="C715">
        <v>423.15</v>
      </c>
      <c r="D715">
        <v>800</v>
      </c>
      <c r="E715">
        <v>4.2778918548939089</v>
      </c>
      <c r="G715">
        <v>1.8419796189701385E-2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>
      <c r="A716">
        <f t="shared" si="10"/>
        <v>715</v>
      </c>
      <c r="B716" t="s">
        <v>56</v>
      </c>
      <c r="C716">
        <v>423.15</v>
      </c>
      <c r="D716">
        <v>1000</v>
      </c>
      <c r="E716">
        <v>4.2778918548939089</v>
      </c>
      <c r="G716">
        <v>2.0899424558075634E-2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>
      <c r="A717">
        <f t="shared" si="10"/>
        <v>716</v>
      </c>
      <c r="B717" t="s">
        <v>56</v>
      </c>
      <c r="C717">
        <v>423.15</v>
      </c>
      <c r="D717">
        <v>1200</v>
      </c>
      <c r="E717">
        <v>4.2778918548939089</v>
      </c>
      <c r="G717">
        <v>2.3392405886980362E-2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>
      <c r="A718">
        <f t="shared" si="10"/>
        <v>717</v>
      </c>
      <c r="B718" t="s">
        <v>56</v>
      </c>
      <c r="C718">
        <v>423.15</v>
      </c>
      <c r="D718">
        <v>1400</v>
      </c>
      <c r="E718">
        <v>4.2778918548939089</v>
      </c>
      <c r="G718">
        <v>2.5898848327461161E-2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>
      <c r="A719">
        <f t="shared" si="10"/>
        <v>718</v>
      </c>
      <c r="B719" t="s">
        <v>64</v>
      </c>
      <c r="C719">
        <v>387.15</v>
      </c>
      <c r="D719">
        <v>5.0662500000000001</v>
      </c>
      <c r="E719">
        <v>0</v>
      </c>
      <c r="G719">
        <v>7.0999999999999991E-4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>
      <c r="A720">
        <f t="shared" si="10"/>
        <v>719</v>
      </c>
      <c r="B720" t="s">
        <v>64</v>
      </c>
      <c r="C720">
        <v>401.15</v>
      </c>
      <c r="D720">
        <v>6.0794999999999995</v>
      </c>
      <c r="E720">
        <v>0</v>
      </c>
      <c r="G720">
        <v>7.6099999999999996E-4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>
      <c r="A721">
        <f t="shared" si="10"/>
        <v>720</v>
      </c>
      <c r="B721" t="s">
        <v>64</v>
      </c>
      <c r="C721">
        <v>420.15</v>
      </c>
      <c r="D721">
        <v>8.3593124999999997</v>
      </c>
      <c r="E721">
        <v>0</v>
      </c>
      <c r="G721">
        <v>7.6900000000000004E-4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>
      <c r="A722">
        <f t="shared" si="10"/>
        <v>721</v>
      </c>
      <c r="B722" t="s">
        <v>64</v>
      </c>
      <c r="C722">
        <v>448.15</v>
      </c>
      <c r="D722">
        <v>13.020262499999999</v>
      </c>
      <c r="E722">
        <v>0</v>
      </c>
      <c r="G722">
        <v>8.4099999999999995E-4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>
      <c r="A723">
        <f t="shared" si="10"/>
        <v>722</v>
      </c>
      <c r="B723" t="s">
        <v>64</v>
      </c>
      <c r="C723">
        <v>455.15</v>
      </c>
      <c r="D723">
        <v>14.286824999999999</v>
      </c>
      <c r="E723">
        <v>0</v>
      </c>
      <c r="G723">
        <v>8.3099999999999992E-4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>
      <c r="A724">
        <f t="shared" si="10"/>
        <v>723</v>
      </c>
      <c r="B724" t="s">
        <v>64</v>
      </c>
      <c r="C724">
        <v>465.15</v>
      </c>
      <c r="D724">
        <v>16.921274999999998</v>
      </c>
      <c r="E724">
        <v>0</v>
      </c>
      <c r="G724">
        <v>1.01E-3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>
      <c r="A725">
        <f t="shared" si="10"/>
        <v>724</v>
      </c>
      <c r="B725" t="s">
        <v>64</v>
      </c>
      <c r="C725">
        <v>468.15</v>
      </c>
      <c r="D725">
        <v>17.731874999999999</v>
      </c>
      <c r="E725">
        <v>0</v>
      </c>
      <c r="G725">
        <v>9.5799999999999998E-4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>
      <c r="A726">
        <f t="shared" si="10"/>
        <v>725</v>
      </c>
      <c r="B726" t="s">
        <v>64</v>
      </c>
      <c r="C726">
        <v>481.15</v>
      </c>
      <c r="D726">
        <v>22.291499999999999</v>
      </c>
      <c r="E726">
        <v>0</v>
      </c>
      <c r="G726">
        <v>1.1000000000000001E-3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>
      <c r="A727">
        <f t="shared" si="10"/>
        <v>726</v>
      </c>
      <c r="B727" t="s">
        <v>64</v>
      </c>
      <c r="C727">
        <v>500.15</v>
      </c>
      <c r="D727">
        <v>30.498825</v>
      </c>
      <c r="E727">
        <v>0</v>
      </c>
      <c r="G727">
        <v>1.09E-3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>
      <c r="A728">
        <f t="shared" si="10"/>
        <v>727</v>
      </c>
      <c r="B728" t="s">
        <v>64</v>
      </c>
      <c r="C728">
        <v>501.15</v>
      </c>
      <c r="D728">
        <v>31.106774999999999</v>
      </c>
      <c r="E728">
        <v>0</v>
      </c>
      <c r="G728">
        <v>1.06E-3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>
      <c r="A729">
        <f t="shared" si="10"/>
        <v>728</v>
      </c>
      <c r="B729" t="s">
        <v>64</v>
      </c>
      <c r="C729">
        <v>501.15</v>
      </c>
      <c r="D729">
        <v>30.701474999999999</v>
      </c>
      <c r="E729">
        <v>0</v>
      </c>
      <c r="G729">
        <v>1.07E-3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>
      <c r="A730">
        <f t="shared" si="10"/>
        <v>729</v>
      </c>
      <c r="B730" t="s">
        <v>64</v>
      </c>
      <c r="C730">
        <v>504.15</v>
      </c>
      <c r="D730">
        <v>32.727974999999994</v>
      </c>
      <c r="E730">
        <v>0</v>
      </c>
      <c r="G730">
        <v>1.09E-3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>
      <c r="A731">
        <f t="shared" si="10"/>
        <v>730</v>
      </c>
      <c r="B731" t="s">
        <v>64</v>
      </c>
      <c r="C731">
        <v>505.15</v>
      </c>
      <c r="D731">
        <v>33.031950000000002</v>
      </c>
      <c r="E731">
        <v>0</v>
      </c>
      <c r="G731">
        <v>1.08E-3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>
      <c r="A732">
        <f t="shared" si="10"/>
        <v>731</v>
      </c>
      <c r="B732" t="s">
        <v>64</v>
      </c>
      <c r="C732">
        <v>528.15</v>
      </c>
      <c r="D732">
        <v>47.724074999999999</v>
      </c>
      <c r="E732">
        <v>0</v>
      </c>
      <c r="G732">
        <v>1.1999999999999999E-3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>
      <c r="A733">
        <f t="shared" si="10"/>
        <v>732</v>
      </c>
      <c r="B733" t="s">
        <v>64</v>
      </c>
      <c r="C733">
        <v>530.15</v>
      </c>
      <c r="D733">
        <v>49.142625000000002</v>
      </c>
      <c r="E733">
        <v>0</v>
      </c>
      <c r="G733">
        <v>1.1999999999999999E-3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>
      <c r="A734">
        <f t="shared" si="10"/>
        <v>733</v>
      </c>
      <c r="B734" t="s">
        <v>64</v>
      </c>
      <c r="C734">
        <v>564.15</v>
      </c>
      <c r="D734">
        <v>79.540125000000003</v>
      </c>
      <c r="E734">
        <v>0</v>
      </c>
      <c r="G734">
        <v>1.5E-3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>
      <c r="A735">
        <f t="shared" si="10"/>
        <v>734</v>
      </c>
      <c r="B735" t="s">
        <v>64</v>
      </c>
      <c r="C735">
        <v>571.15</v>
      </c>
      <c r="D735">
        <v>87.03817500000001</v>
      </c>
      <c r="E735">
        <v>0</v>
      </c>
      <c r="G735">
        <v>1.6000000000000001E-3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>
      <c r="A736">
        <f t="shared" si="10"/>
        <v>735</v>
      </c>
      <c r="B736" t="s">
        <v>64</v>
      </c>
      <c r="C736">
        <v>578.15</v>
      </c>
      <c r="D736">
        <v>95.752124999999992</v>
      </c>
      <c r="E736">
        <v>0</v>
      </c>
      <c r="G736">
        <v>1.6999999999999999E-3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>
      <c r="A737">
        <f t="shared" si="10"/>
        <v>736</v>
      </c>
      <c r="B737" t="s">
        <v>64</v>
      </c>
      <c r="C737">
        <v>587.15</v>
      </c>
      <c r="D737">
        <v>107.20184999999999</v>
      </c>
      <c r="E737">
        <v>0</v>
      </c>
      <c r="G737">
        <v>1.9E-3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>
      <c r="A738">
        <f t="shared" si="10"/>
        <v>737</v>
      </c>
      <c r="B738" t="s">
        <v>64</v>
      </c>
      <c r="C738">
        <v>595.15</v>
      </c>
      <c r="D738">
        <v>118.65157499999999</v>
      </c>
      <c r="E738">
        <v>0</v>
      </c>
      <c r="G738">
        <v>1.8E-3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>
      <c r="A739">
        <f t="shared" si="10"/>
        <v>738</v>
      </c>
      <c r="B739" t="s">
        <v>64</v>
      </c>
      <c r="C739">
        <v>616.15</v>
      </c>
      <c r="D739">
        <v>154.31797500000002</v>
      </c>
      <c r="E739">
        <v>0</v>
      </c>
      <c r="G739">
        <v>2.2000000000000001E-3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>
      <c r="A740">
        <f t="shared" si="10"/>
        <v>739</v>
      </c>
      <c r="B740" t="s">
        <v>64</v>
      </c>
      <c r="C740">
        <v>621.15</v>
      </c>
      <c r="D740">
        <v>164.045175</v>
      </c>
      <c r="E740">
        <v>0</v>
      </c>
      <c r="G740">
        <v>2.3E-3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>
      <c r="A741">
        <f t="shared" si="10"/>
        <v>740</v>
      </c>
      <c r="B741" t="s">
        <v>64</v>
      </c>
      <c r="C741">
        <v>436.15</v>
      </c>
      <c r="D741">
        <v>7.9540124999999993</v>
      </c>
      <c r="E741">
        <v>0</v>
      </c>
      <c r="G741">
        <v>2.8000000000000003E-4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>
      <c r="A742">
        <f t="shared" ref="A742:A805" si="11">A741+1</f>
        <v>741</v>
      </c>
      <c r="B742" t="s">
        <v>64</v>
      </c>
      <c r="C742">
        <v>452.15</v>
      </c>
      <c r="D742">
        <v>11.399062499999999</v>
      </c>
      <c r="E742">
        <v>0</v>
      </c>
      <c r="G742">
        <v>3.5999999999999997E-4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>
      <c r="A743">
        <f t="shared" si="11"/>
        <v>742</v>
      </c>
      <c r="B743" t="s">
        <v>64</v>
      </c>
      <c r="C743">
        <v>470.65</v>
      </c>
      <c r="D743">
        <v>14.894774999999999</v>
      </c>
      <c r="E743">
        <v>0</v>
      </c>
      <c r="G743">
        <v>3.6999999999999999E-4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>
      <c r="A744">
        <f t="shared" si="11"/>
        <v>743</v>
      </c>
      <c r="B744" t="s">
        <v>64</v>
      </c>
      <c r="C744">
        <v>472.15</v>
      </c>
      <c r="D744">
        <v>16.515975000000001</v>
      </c>
      <c r="E744">
        <v>0</v>
      </c>
      <c r="G744">
        <v>3.5999999999999997E-4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>
      <c r="A745">
        <f t="shared" si="11"/>
        <v>744</v>
      </c>
      <c r="B745" t="s">
        <v>64</v>
      </c>
      <c r="C745">
        <v>495.15</v>
      </c>
      <c r="D745">
        <v>25.533899999999999</v>
      </c>
      <c r="E745">
        <v>0</v>
      </c>
      <c r="G745">
        <v>4.2999999999999999E-4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>
      <c r="A746">
        <f t="shared" si="11"/>
        <v>745</v>
      </c>
      <c r="B746" t="s">
        <v>64</v>
      </c>
      <c r="C746">
        <v>497.15</v>
      </c>
      <c r="D746">
        <v>26.3445</v>
      </c>
      <c r="E746">
        <v>0</v>
      </c>
      <c r="G746">
        <v>3.8000000000000002E-4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>
      <c r="A747">
        <f t="shared" si="11"/>
        <v>746</v>
      </c>
      <c r="B747" t="s">
        <v>64</v>
      </c>
      <c r="C747">
        <v>500.15</v>
      </c>
      <c r="D747">
        <v>27.864374999999999</v>
      </c>
      <c r="E747">
        <v>0</v>
      </c>
      <c r="G747">
        <v>4.0000000000000002E-4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>
      <c r="A748">
        <f t="shared" si="11"/>
        <v>747</v>
      </c>
      <c r="B748" t="s">
        <v>64</v>
      </c>
      <c r="C748">
        <v>506.15</v>
      </c>
      <c r="D748">
        <v>30.802799999999998</v>
      </c>
      <c r="E748">
        <v>0</v>
      </c>
      <c r="G748">
        <v>4.0999999999999999E-4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>
      <c r="A749">
        <f t="shared" si="11"/>
        <v>748</v>
      </c>
      <c r="B749" t="s">
        <v>64</v>
      </c>
      <c r="C749">
        <v>515.65</v>
      </c>
      <c r="D749">
        <v>36.476999999999997</v>
      </c>
      <c r="E749">
        <v>0</v>
      </c>
      <c r="G749">
        <v>4.6000000000000001E-4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>
      <c r="A750">
        <f t="shared" si="11"/>
        <v>749</v>
      </c>
      <c r="B750" t="s">
        <v>64</v>
      </c>
      <c r="C750">
        <v>517.15</v>
      </c>
      <c r="D750">
        <v>37.287599999999998</v>
      </c>
      <c r="E750">
        <v>0</v>
      </c>
      <c r="G750">
        <v>4.4999999999999999E-4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>
      <c r="A751">
        <f t="shared" si="11"/>
        <v>750</v>
      </c>
      <c r="B751" t="s">
        <v>64</v>
      </c>
      <c r="C751">
        <v>560.15</v>
      </c>
      <c r="D751">
        <v>72.548699999999997</v>
      </c>
      <c r="E751">
        <v>0</v>
      </c>
      <c r="G751">
        <v>5.4000000000000001E-4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>
      <c r="A752">
        <f t="shared" si="11"/>
        <v>751</v>
      </c>
      <c r="B752" t="s">
        <v>64</v>
      </c>
      <c r="C752">
        <v>561.15</v>
      </c>
      <c r="D752">
        <v>73.460624999999993</v>
      </c>
      <c r="E752">
        <v>0</v>
      </c>
      <c r="G752">
        <v>5.2000000000000006E-4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>
      <c r="A753">
        <f t="shared" si="11"/>
        <v>752</v>
      </c>
      <c r="B753" t="s">
        <v>64</v>
      </c>
      <c r="C753">
        <v>590.15</v>
      </c>
      <c r="D753">
        <v>108.113775</v>
      </c>
      <c r="E753">
        <v>0</v>
      </c>
      <c r="G753">
        <v>6.4999999999999997E-4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>
      <c r="A754">
        <f t="shared" si="11"/>
        <v>753</v>
      </c>
      <c r="B754" t="s">
        <v>64</v>
      </c>
      <c r="C754">
        <v>592.15</v>
      </c>
      <c r="D754">
        <v>112.572075</v>
      </c>
      <c r="E754">
        <v>0</v>
      </c>
      <c r="G754">
        <v>6.7000000000000002E-4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>
      <c r="A755">
        <f t="shared" si="11"/>
        <v>754</v>
      </c>
      <c r="B755" t="s">
        <v>65</v>
      </c>
      <c r="C755">
        <v>473.15</v>
      </c>
      <c r="D755">
        <v>98</v>
      </c>
      <c r="E755">
        <v>0</v>
      </c>
      <c r="G755">
        <v>1.2199999999999999E-2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>
      <c r="A756">
        <f t="shared" si="11"/>
        <v>755</v>
      </c>
      <c r="B756" t="s">
        <v>65</v>
      </c>
      <c r="C756">
        <v>473.15</v>
      </c>
      <c r="D756">
        <v>98</v>
      </c>
      <c r="E756">
        <v>0</v>
      </c>
      <c r="G756">
        <v>1.21E-2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>
      <c r="A757">
        <f t="shared" si="11"/>
        <v>756</v>
      </c>
      <c r="B757" t="s">
        <v>65</v>
      </c>
      <c r="C757">
        <v>473.15</v>
      </c>
      <c r="D757">
        <v>98</v>
      </c>
      <c r="E757">
        <v>0</v>
      </c>
      <c r="G757">
        <v>1.2199999999999999E-2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>
      <c r="A758">
        <f t="shared" si="11"/>
        <v>757</v>
      </c>
      <c r="B758" t="s">
        <v>65</v>
      </c>
      <c r="C758">
        <v>473.15</v>
      </c>
      <c r="D758">
        <v>196</v>
      </c>
      <c r="E758">
        <v>0</v>
      </c>
      <c r="G758">
        <v>2.4700000000000003E-2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>
      <c r="A759">
        <f t="shared" si="11"/>
        <v>758</v>
      </c>
      <c r="B759" t="s">
        <v>65</v>
      </c>
      <c r="C759">
        <v>473.15</v>
      </c>
      <c r="D759">
        <v>196</v>
      </c>
      <c r="E759">
        <v>0</v>
      </c>
      <c r="G759">
        <v>2.4399999999999998E-2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>
      <c r="A760">
        <f t="shared" si="11"/>
        <v>759</v>
      </c>
      <c r="B760" t="s">
        <v>65</v>
      </c>
      <c r="C760">
        <v>473.15</v>
      </c>
      <c r="D760">
        <v>196</v>
      </c>
      <c r="E760">
        <v>0</v>
      </c>
      <c r="G760">
        <v>2.35E-2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>
      <c r="A761">
        <f t="shared" si="11"/>
        <v>760</v>
      </c>
      <c r="B761" t="s">
        <v>65</v>
      </c>
      <c r="C761">
        <v>473.15</v>
      </c>
      <c r="D761">
        <v>196</v>
      </c>
      <c r="E761">
        <v>0</v>
      </c>
      <c r="G761">
        <v>2.3799999999999998E-2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>
      <c r="A762">
        <f t="shared" si="11"/>
        <v>761</v>
      </c>
      <c r="B762" t="s">
        <v>65</v>
      </c>
      <c r="C762">
        <v>473.15</v>
      </c>
      <c r="D762">
        <v>196</v>
      </c>
      <c r="E762">
        <v>0</v>
      </c>
      <c r="G762">
        <v>2.4E-2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>
      <c r="A763">
        <f t="shared" si="11"/>
        <v>762</v>
      </c>
      <c r="B763" t="s">
        <v>65</v>
      </c>
      <c r="C763">
        <v>473.15</v>
      </c>
      <c r="D763">
        <v>196</v>
      </c>
      <c r="E763">
        <v>0</v>
      </c>
      <c r="G763">
        <v>2.41E-2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>
      <c r="A764">
        <f t="shared" si="11"/>
        <v>763</v>
      </c>
      <c r="B764" t="s">
        <v>65</v>
      </c>
      <c r="C764">
        <v>473.15</v>
      </c>
      <c r="D764">
        <v>294</v>
      </c>
      <c r="E764">
        <v>0</v>
      </c>
      <c r="G764">
        <v>3.2799999999999996E-2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>
      <c r="A765">
        <f t="shared" si="11"/>
        <v>764</v>
      </c>
      <c r="B765" t="s">
        <v>65</v>
      </c>
      <c r="C765">
        <v>473.15</v>
      </c>
      <c r="D765">
        <v>294</v>
      </c>
      <c r="E765">
        <v>0</v>
      </c>
      <c r="G765">
        <v>3.2400000000000005E-2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>
      <c r="A766">
        <f t="shared" si="11"/>
        <v>765</v>
      </c>
      <c r="B766" t="s">
        <v>65</v>
      </c>
      <c r="C766">
        <v>473.15</v>
      </c>
      <c r="D766">
        <v>294</v>
      </c>
      <c r="E766">
        <v>0</v>
      </c>
      <c r="G766">
        <v>3.1699999999999999E-2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>
      <c r="A767">
        <f t="shared" si="11"/>
        <v>766</v>
      </c>
      <c r="B767" t="s">
        <v>65</v>
      </c>
      <c r="C767">
        <v>473.15</v>
      </c>
      <c r="D767">
        <v>294</v>
      </c>
      <c r="E767">
        <v>0</v>
      </c>
      <c r="G767">
        <v>3.2899999999999999E-2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>
      <c r="A768">
        <f t="shared" si="11"/>
        <v>767</v>
      </c>
      <c r="B768" t="s">
        <v>65</v>
      </c>
      <c r="C768">
        <v>473.15</v>
      </c>
      <c r="D768">
        <v>294</v>
      </c>
      <c r="E768">
        <v>0</v>
      </c>
      <c r="G768">
        <v>3.2599999999999997E-2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>
      <c r="A769">
        <f t="shared" si="11"/>
        <v>768</v>
      </c>
      <c r="B769" t="s">
        <v>65</v>
      </c>
      <c r="C769">
        <v>473.15</v>
      </c>
      <c r="D769">
        <v>294</v>
      </c>
      <c r="E769">
        <v>0</v>
      </c>
      <c r="G769">
        <v>3.2599999999999997E-2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>
      <c r="A770">
        <f t="shared" si="11"/>
        <v>769</v>
      </c>
      <c r="B770" t="s">
        <v>65</v>
      </c>
      <c r="C770">
        <v>473.15</v>
      </c>
      <c r="D770">
        <v>392</v>
      </c>
      <c r="E770">
        <v>0</v>
      </c>
      <c r="G770">
        <v>3.8399999999999997E-2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>
      <c r="A771">
        <f t="shared" si="11"/>
        <v>770</v>
      </c>
      <c r="B771" t="s">
        <v>65</v>
      </c>
      <c r="C771">
        <v>473.15</v>
      </c>
      <c r="D771">
        <v>392</v>
      </c>
      <c r="E771">
        <v>0</v>
      </c>
      <c r="G771">
        <v>3.9300000000000002E-2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>
      <c r="A772">
        <f t="shared" si="11"/>
        <v>771</v>
      </c>
      <c r="B772" t="s">
        <v>65</v>
      </c>
      <c r="C772">
        <v>473.15</v>
      </c>
      <c r="D772">
        <v>392</v>
      </c>
      <c r="E772">
        <v>0</v>
      </c>
      <c r="G772">
        <v>0.04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>
      <c r="A773">
        <f t="shared" si="11"/>
        <v>772</v>
      </c>
      <c r="B773" t="s">
        <v>65</v>
      </c>
      <c r="C773">
        <v>473.15</v>
      </c>
      <c r="D773">
        <v>392</v>
      </c>
      <c r="E773">
        <v>0</v>
      </c>
      <c r="G773">
        <v>4.0500000000000001E-2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>
      <c r="A774">
        <f t="shared" si="11"/>
        <v>773</v>
      </c>
      <c r="B774" t="s">
        <v>65</v>
      </c>
      <c r="C774">
        <v>473.15</v>
      </c>
      <c r="D774">
        <v>392</v>
      </c>
      <c r="E774">
        <v>0</v>
      </c>
      <c r="G774">
        <v>3.7599999999999995E-2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>
      <c r="A775">
        <f t="shared" si="11"/>
        <v>774</v>
      </c>
      <c r="B775" t="s">
        <v>65</v>
      </c>
      <c r="C775">
        <v>473.15</v>
      </c>
      <c r="D775">
        <v>392</v>
      </c>
      <c r="E775">
        <v>0</v>
      </c>
      <c r="G775">
        <v>3.7599999999999995E-2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>
      <c r="A776">
        <f t="shared" si="11"/>
        <v>775</v>
      </c>
      <c r="B776" t="s">
        <v>65</v>
      </c>
      <c r="C776">
        <v>473.15</v>
      </c>
      <c r="D776">
        <v>490</v>
      </c>
      <c r="E776">
        <v>0</v>
      </c>
      <c r="G776">
        <v>4.4400000000000002E-2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>
      <c r="A777">
        <f t="shared" si="11"/>
        <v>776</v>
      </c>
      <c r="B777" t="s">
        <v>65</v>
      </c>
      <c r="C777">
        <v>473.15</v>
      </c>
      <c r="D777">
        <v>490</v>
      </c>
      <c r="E777">
        <v>0</v>
      </c>
      <c r="G777">
        <v>4.3899999999999995E-2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>
      <c r="A778">
        <f t="shared" si="11"/>
        <v>777</v>
      </c>
      <c r="B778" t="s">
        <v>65</v>
      </c>
      <c r="C778">
        <v>473.15</v>
      </c>
      <c r="D778">
        <v>490</v>
      </c>
      <c r="E778">
        <v>0</v>
      </c>
      <c r="G778">
        <v>4.5599999999999995E-2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>
      <c r="A779">
        <f t="shared" si="11"/>
        <v>778</v>
      </c>
      <c r="B779" t="s">
        <v>65</v>
      </c>
      <c r="C779">
        <v>473.15</v>
      </c>
      <c r="D779">
        <v>490</v>
      </c>
      <c r="E779">
        <v>0</v>
      </c>
      <c r="G779">
        <v>4.36E-2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>
      <c r="A780">
        <f t="shared" si="11"/>
        <v>779</v>
      </c>
      <c r="B780" t="s">
        <v>65</v>
      </c>
      <c r="C780">
        <v>473.15</v>
      </c>
      <c r="D780">
        <v>490</v>
      </c>
      <c r="E780">
        <v>0</v>
      </c>
      <c r="G780">
        <v>4.3799999999999999E-2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>
      <c r="A781">
        <f t="shared" si="11"/>
        <v>780</v>
      </c>
      <c r="B781" t="s">
        <v>65</v>
      </c>
      <c r="C781">
        <v>473.15</v>
      </c>
      <c r="D781">
        <v>490</v>
      </c>
      <c r="E781">
        <v>0</v>
      </c>
      <c r="G781">
        <v>4.5599999999999995E-2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>
      <c r="A782">
        <f t="shared" si="11"/>
        <v>781</v>
      </c>
      <c r="B782" t="s">
        <v>65</v>
      </c>
      <c r="C782">
        <v>473.15</v>
      </c>
      <c r="D782">
        <v>490</v>
      </c>
      <c r="E782">
        <v>0</v>
      </c>
      <c r="G782">
        <v>4.36E-2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>
      <c r="A783">
        <f t="shared" si="11"/>
        <v>782</v>
      </c>
      <c r="B783" t="s">
        <v>65</v>
      </c>
      <c r="C783">
        <v>473.15</v>
      </c>
      <c r="D783">
        <v>490</v>
      </c>
      <c r="E783">
        <v>0</v>
      </c>
      <c r="G783">
        <v>4.3799999999999999E-2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>
      <c r="A784">
        <f t="shared" si="11"/>
        <v>783</v>
      </c>
      <c r="B784" t="s">
        <v>65</v>
      </c>
      <c r="C784">
        <v>473.15</v>
      </c>
      <c r="D784">
        <v>490</v>
      </c>
      <c r="E784">
        <v>0</v>
      </c>
      <c r="G784">
        <v>4.4500000000000005E-2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>
      <c r="A785">
        <f t="shared" si="11"/>
        <v>784</v>
      </c>
      <c r="B785" t="s">
        <v>65</v>
      </c>
      <c r="C785">
        <v>473.15</v>
      </c>
      <c r="D785">
        <v>490</v>
      </c>
      <c r="E785">
        <v>0</v>
      </c>
      <c r="G785">
        <v>4.3200000000000002E-2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>
      <c r="A786">
        <f t="shared" si="11"/>
        <v>785</v>
      </c>
      <c r="B786" t="s">
        <v>65</v>
      </c>
      <c r="C786">
        <v>473.15</v>
      </c>
      <c r="D786">
        <v>490</v>
      </c>
      <c r="E786">
        <v>0</v>
      </c>
      <c r="G786">
        <v>4.2800000000000005E-2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>
      <c r="A787">
        <f t="shared" si="11"/>
        <v>786</v>
      </c>
      <c r="B787" t="s">
        <v>65</v>
      </c>
      <c r="C787">
        <v>523.15</v>
      </c>
      <c r="D787">
        <v>98</v>
      </c>
      <c r="E787">
        <v>0</v>
      </c>
      <c r="G787">
        <v>1.0700000000000001E-2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>
      <c r="A788">
        <f t="shared" si="11"/>
        <v>787</v>
      </c>
      <c r="B788" t="s">
        <v>65</v>
      </c>
      <c r="C788">
        <v>523.15</v>
      </c>
      <c r="D788">
        <v>98</v>
      </c>
      <c r="E788">
        <v>0</v>
      </c>
      <c r="G788">
        <v>1.0700000000000001E-2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>
      <c r="A789">
        <f t="shared" si="11"/>
        <v>788</v>
      </c>
      <c r="B789" t="s">
        <v>65</v>
      </c>
      <c r="C789">
        <v>523.15</v>
      </c>
      <c r="D789">
        <v>98</v>
      </c>
      <c r="E789">
        <v>0</v>
      </c>
      <c r="G789">
        <v>1.0800000000000001E-2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>
      <c r="A790">
        <f t="shared" si="11"/>
        <v>789</v>
      </c>
      <c r="B790" t="s">
        <v>65</v>
      </c>
      <c r="C790">
        <v>523.15</v>
      </c>
      <c r="D790">
        <v>196</v>
      </c>
      <c r="E790">
        <v>0</v>
      </c>
      <c r="G790">
        <v>2.7699999999999999E-2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>
      <c r="A791">
        <f t="shared" si="11"/>
        <v>790</v>
      </c>
      <c r="B791" t="s">
        <v>65</v>
      </c>
      <c r="C791">
        <v>523.15</v>
      </c>
      <c r="D791">
        <v>196</v>
      </c>
      <c r="E791">
        <v>0</v>
      </c>
      <c r="G791">
        <v>2.7400000000000001E-2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>
      <c r="A792">
        <f t="shared" si="11"/>
        <v>791</v>
      </c>
      <c r="B792" t="s">
        <v>65</v>
      </c>
      <c r="C792">
        <v>523.15</v>
      </c>
      <c r="D792">
        <v>196</v>
      </c>
      <c r="E792">
        <v>0</v>
      </c>
      <c r="G792">
        <v>2.5600000000000001E-2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>
      <c r="A793">
        <f t="shared" si="11"/>
        <v>792</v>
      </c>
      <c r="B793" t="s">
        <v>65</v>
      </c>
      <c r="C793">
        <v>523.15</v>
      </c>
      <c r="D793">
        <v>196</v>
      </c>
      <c r="E793">
        <v>0</v>
      </c>
      <c r="G793">
        <v>2.7400000000000001E-2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>
      <c r="A794">
        <f t="shared" si="11"/>
        <v>793</v>
      </c>
      <c r="B794" t="s">
        <v>65</v>
      </c>
      <c r="C794">
        <v>523.15</v>
      </c>
      <c r="D794">
        <v>196</v>
      </c>
      <c r="E794">
        <v>0</v>
      </c>
      <c r="G794">
        <v>2.7099999999999999E-2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>
      <c r="A795">
        <f t="shared" si="11"/>
        <v>794</v>
      </c>
      <c r="B795" t="s">
        <v>65</v>
      </c>
      <c r="C795">
        <v>523.15</v>
      </c>
      <c r="D795">
        <v>196</v>
      </c>
      <c r="E795">
        <v>0</v>
      </c>
      <c r="G795">
        <v>2.7900000000000001E-2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>
      <c r="A796">
        <f t="shared" si="11"/>
        <v>795</v>
      </c>
      <c r="B796" t="s">
        <v>65</v>
      </c>
      <c r="C796">
        <v>523.15</v>
      </c>
      <c r="D796">
        <v>294</v>
      </c>
      <c r="E796">
        <v>0</v>
      </c>
      <c r="G796">
        <v>4.3400000000000001E-2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>
      <c r="A797">
        <f t="shared" si="11"/>
        <v>796</v>
      </c>
      <c r="B797" t="s">
        <v>65</v>
      </c>
      <c r="C797">
        <v>523.15</v>
      </c>
      <c r="D797">
        <v>294</v>
      </c>
      <c r="E797">
        <v>0</v>
      </c>
      <c r="G797">
        <v>4.3400000000000001E-2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>
      <c r="A798">
        <f t="shared" si="11"/>
        <v>797</v>
      </c>
      <c r="B798" t="s">
        <v>65</v>
      </c>
      <c r="C798">
        <v>523.15</v>
      </c>
      <c r="D798">
        <v>294</v>
      </c>
      <c r="E798">
        <v>0</v>
      </c>
      <c r="G798">
        <v>4.1700000000000001E-2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>
      <c r="A799">
        <f t="shared" si="11"/>
        <v>798</v>
      </c>
      <c r="B799" t="s">
        <v>65</v>
      </c>
      <c r="C799">
        <v>523.15</v>
      </c>
      <c r="D799">
        <v>294</v>
      </c>
      <c r="E799">
        <v>0</v>
      </c>
      <c r="G799">
        <v>4.2999999999999997E-2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>
      <c r="A800">
        <f t="shared" si="11"/>
        <v>799</v>
      </c>
      <c r="B800" t="s">
        <v>65</v>
      </c>
      <c r="C800">
        <v>523.15</v>
      </c>
      <c r="D800">
        <v>294</v>
      </c>
      <c r="E800">
        <v>0</v>
      </c>
      <c r="G800">
        <v>4.4000000000000004E-2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>
      <c r="A801">
        <f t="shared" si="11"/>
        <v>800</v>
      </c>
      <c r="B801" t="s">
        <v>65</v>
      </c>
      <c r="C801">
        <v>523.15</v>
      </c>
      <c r="D801">
        <v>392</v>
      </c>
      <c r="E801">
        <v>0</v>
      </c>
      <c r="G801">
        <v>5.6900000000000006E-2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>
      <c r="A802">
        <f t="shared" si="11"/>
        <v>801</v>
      </c>
      <c r="B802" t="s">
        <v>65</v>
      </c>
      <c r="C802">
        <v>523.15</v>
      </c>
      <c r="D802">
        <v>392</v>
      </c>
      <c r="E802">
        <v>0</v>
      </c>
      <c r="G802">
        <v>5.6100000000000004E-2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>
      <c r="A803">
        <f t="shared" si="11"/>
        <v>802</v>
      </c>
      <c r="B803" t="s">
        <v>65</v>
      </c>
      <c r="C803">
        <v>523.15</v>
      </c>
      <c r="D803">
        <v>392</v>
      </c>
      <c r="E803">
        <v>0</v>
      </c>
      <c r="G803">
        <v>5.5300000000000002E-2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>
      <c r="A804">
        <f t="shared" si="11"/>
        <v>803</v>
      </c>
      <c r="B804" t="s">
        <v>65</v>
      </c>
      <c r="C804">
        <v>523.15</v>
      </c>
      <c r="D804">
        <v>392</v>
      </c>
      <c r="E804">
        <v>0</v>
      </c>
      <c r="G804">
        <v>5.5999999999999994E-2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>
      <c r="A805">
        <f t="shared" si="11"/>
        <v>804</v>
      </c>
      <c r="B805" t="s">
        <v>65</v>
      </c>
      <c r="C805">
        <v>523.15</v>
      </c>
      <c r="D805">
        <v>392</v>
      </c>
      <c r="E805">
        <v>0</v>
      </c>
      <c r="G805">
        <v>5.5300000000000002E-2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>
      <c r="A806">
        <f t="shared" ref="A806:A869" si="12">A805+1</f>
        <v>805</v>
      </c>
      <c r="B806" t="s">
        <v>65</v>
      </c>
      <c r="C806">
        <v>523.15</v>
      </c>
      <c r="D806">
        <v>392</v>
      </c>
      <c r="E806">
        <v>0</v>
      </c>
      <c r="G806">
        <v>5.5800000000000002E-2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>
      <c r="A807">
        <f t="shared" si="12"/>
        <v>806</v>
      </c>
      <c r="B807" t="s">
        <v>65</v>
      </c>
      <c r="C807">
        <v>523.15</v>
      </c>
      <c r="D807">
        <v>392</v>
      </c>
      <c r="E807">
        <v>0</v>
      </c>
      <c r="G807">
        <v>5.5399999999999998E-2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>
      <c r="A808">
        <f t="shared" si="12"/>
        <v>807</v>
      </c>
      <c r="B808" t="s">
        <v>65</v>
      </c>
      <c r="C808">
        <v>523.15</v>
      </c>
      <c r="D808">
        <v>490</v>
      </c>
      <c r="E808">
        <v>0</v>
      </c>
      <c r="G808">
        <v>6.5000000000000002E-2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>
      <c r="A809">
        <f t="shared" si="12"/>
        <v>808</v>
      </c>
      <c r="B809" t="s">
        <v>65</v>
      </c>
      <c r="C809">
        <v>523.15</v>
      </c>
      <c r="D809">
        <v>490</v>
      </c>
      <c r="E809">
        <v>0</v>
      </c>
      <c r="G809">
        <v>6.6000000000000003E-2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>
      <c r="A810">
        <f t="shared" si="12"/>
        <v>809</v>
      </c>
      <c r="B810" t="s">
        <v>65</v>
      </c>
      <c r="C810">
        <v>575.15</v>
      </c>
      <c r="D810">
        <v>157</v>
      </c>
      <c r="E810">
        <v>0</v>
      </c>
      <c r="G810">
        <v>1.7600000000000001E-2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>
      <c r="A811">
        <f t="shared" si="12"/>
        <v>810</v>
      </c>
      <c r="B811" t="s">
        <v>65</v>
      </c>
      <c r="C811">
        <v>575.15</v>
      </c>
      <c r="D811">
        <v>157</v>
      </c>
      <c r="E811">
        <v>0</v>
      </c>
      <c r="G811">
        <v>1.8100000000000002E-2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>
      <c r="A812">
        <f t="shared" si="12"/>
        <v>811</v>
      </c>
      <c r="B812" t="s">
        <v>65</v>
      </c>
      <c r="C812">
        <v>575.15</v>
      </c>
      <c r="D812">
        <v>157</v>
      </c>
      <c r="E812">
        <v>0</v>
      </c>
      <c r="G812">
        <v>1.7299999999999999E-2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>
      <c r="A813">
        <f t="shared" si="12"/>
        <v>812</v>
      </c>
      <c r="B813" t="s">
        <v>65</v>
      </c>
      <c r="C813">
        <v>575.15</v>
      </c>
      <c r="D813">
        <v>196</v>
      </c>
      <c r="E813">
        <v>0</v>
      </c>
      <c r="G813">
        <v>2.8500000000000001E-2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>
      <c r="A814">
        <f t="shared" si="12"/>
        <v>813</v>
      </c>
      <c r="B814" t="s">
        <v>65</v>
      </c>
      <c r="C814">
        <v>575.15</v>
      </c>
      <c r="D814">
        <v>196</v>
      </c>
      <c r="E814">
        <v>0</v>
      </c>
      <c r="G814">
        <v>2.7799999999999998E-2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>
      <c r="A815">
        <f t="shared" si="12"/>
        <v>814</v>
      </c>
      <c r="B815" t="s">
        <v>65</v>
      </c>
      <c r="C815">
        <v>575.15</v>
      </c>
      <c r="D815">
        <v>196</v>
      </c>
      <c r="E815">
        <v>0</v>
      </c>
      <c r="G815">
        <v>2.7400000000000001E-2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>
      <c r="A816">
        <f t="shared" si="12"/>
        <v>815</v>
      </c>
      <c r="B816" t="s">
        <v>65</v>
      </c>
      <c r="C816">
        <v>575.15</v>
      </c>
      <c r="D816">
        <v>196</v>
      </c>
      <c r="E816">
        <v>0</v>
      </c>
      <c r="G816">
        <v>2.7099999999999999E-2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>
      <c r="A817">
        <f t="shared" si="12"/>
        <v>816</v>
      </c>
      <c r="B817" t="s">
        <v>65</v>
      </c>
      <c r="C817">
        <v>575.15</v>
      </c>
      <c r="D817">
        <v>294</v>
      </c>
      <c r="E817">
        <v>0</v>
      </c>
      <c r="G817">
        <v>5.45E-2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>
      <c r="A818">
        <f t="shared" si="12"/>
        <v>817</v>
      </c>
      <c r="B818" t="s">
        <v>65</v>
      </c>
      <c r="C818">
        <v>575.15</v>
      </c>
      <c r="D818">
        <v>294</v>
      </c>
      <c r="E818">
        <v>0</v>
      </c>
      <c r="G818">
        <v>5.3800000000000001E-2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>
      <c r="A819">
        <f t="shared" si="12"/>
        <v>818</v>
      </c>
      <c r="B819" t="s">
        <v>65</v>
      </c>
      <c r="C819">
        <v>575.15</v>
      </c>
      <c r="D819">
        <v>294</v>
      </c>
      <c r="E819">
        <v>0</v>
      </c>
      <c r="G819">
        <v>5.5899999999999998E-2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>
      <c r="A820">
        <f t="shared" si="12"/>
        <v>819</v>
      </c>
      <c r="B820" t="s">
        <v>65</v>
      </c>
      <c r="C820">
        <v>575.15</v>
      </c>
      <c r="D820">
        <v>294</v>
      </c>
      <c r="E820">
        <v>0</v>
      </c>
      <c r="G820">
        <v>5.57E-2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>
      <c r="A821">
        <f t="shared" si="12"/>
        <v>820</v>
      </c>
      <c r="B821" t="s">
        <v>65</v>
      </c>
      <c r="C821">
        <v>575.15</v>
      </c>
      <c r="D821">
        <v>294</v>
      </c>
      <c r="E821">
        <v>0</v>
      </c>
      <c r="G821">
        <v>5.3200000000000004E-2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>
      <c r="A822">
        <f t="shared" si="12"/>
        <v>821</v>
      </c>
      <c r="B822" t="s">
        <v>65</v>
      </c>
      <c r="C822">
        <v>575.15</v>
      </c>
      <c r="D822">
        <v>294</v>
      </c>
      <c r="E822">
        <v>0</v>
      </c>
      <c r="G822">
        <v>5.4000000000000006E-2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>
      <c r="A823">
        <f t="shared" si="12"/>
        <v>822</v>
      </c>
      <c r="B823" t="s">
        <v>65</v>
      </c>
      <c r="C823">
        <v>575.15</v>
      </c>
      <c r="D823">
        <v>294</v>
      </c>
      <c r="E823">
        <v>0</v>
      </c>
      <c r="G823">
        <v>5.2999999999999999E-2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>
      <c r="A824">
        <f t="shared" si="12"/>
        <v>823</v>
      </c>
      <c r="B824" t="s">
        <v>65</v>
      </c>
      <c r="C824">
        <v>575.15</v>
      </c>
      <c r="D824">
        <v>294</v>
      </c>
      <c r="E824">
        <v>0</v>
      </c>
      <c r="G824">
        <v>5.4900000000000004E-2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>
      <c r="A825">
        <f t="shared" si="12"/>
        <v>824</v>
      </c>
      <c r="B825" t="s">
        <v>65</v>
      </c>
      <c r="C825">
        <v>575.15</v>
      </c>
      <c r="D825">
        <v>392</v>
      </c>
      <c r="E825">
        <v>0</v>
      </c>
      <c r="G825">
        <v>8.0600000000000005E-2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>
      <c r="A826">
        <f t="shared" si="12"/>
        <v>825</v>
      </c>
      <c r="B826" t="s">
        <v>65</v>
      </c>
      <c r="C826">
        <v>575.15</v>
      </c>
      <c r="D826">
        <v>392</v>
      </c>
      <c r="E826">
        <v>0</v>
      </c>
      <c r="G826">
        <v>8.3800000000000013E-2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>
      <c r="A827">
        <f t="shared" si="12"/>
        <v>826</v>
      </c>
      <c r="B827" t="s">
        <v>65</v>
      </c>
      <c r="C827">
        <v>575.15</v>
      </c>
      <c r="D827">
        <v>392</v>
      </c>
      <c r="E827">
        <v>0</v>
      </c>
      <c r="G827">
        <v>8.3100000000000007E-2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>
      <c r="A828">
        <f t="shared" si="12"/>
        <v>827</v>
      </c>
      <c r="B828" t="s">
        <v>65</v>
      </c>
      <c r="C828">
        <v>575.15</v>
      </c>
      <c r="D828">
        <v>392</v>
      </c>
      <c r="E828">
        <v>0</v>
      </c>
      <c r="G828">
        <v>8.0299999999999996E-2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>
      <c r="A829">
        <f t="shared" si="12"/>
        <v>828</v>
      </c>
      <c r="B829" t="s">
        <v>65</v>
      </c>
      <c r="C829">
        <v>575.15</v>
      </c>
      <c r="D829">
        <v>392</v>
      </c>
      <c r="E829">
        <v>0</v>
      </c>
      <c r="G829">
        <v>8.2899999999999988E-2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>
      <c r="A830">
        <f t="shared" si="12"/>
        <v>829</v>
      </c>
      <c r="B830" t="s">
        <v>65</v>
      </c>
      <c r="C830">
        <v>575.15</v>
      </c>
      <c r="D830">
        <v>490</v>
      </c>
      <c r="E830">
        <v>0</v>
      </c>
      <c r="G830">
        <v>0.128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>
      <c r="A831">
        <f t="shared" si="12"/>
        <v>830</v>
      </c>
      <c r="B831" t="s">
        <v>65</v>
      </c>
      <c r="C831">
        <v>603.15</v>
      </c>
      <c r="D831">
        <v>294</v>
      </c>
      <c r="E831">
        <v>0</v>
      </c>
      <c r="F831">
        <v>0.73499999999999999</v>
      </c>
      <c r="G831">
        <v>6.0999999999999999E-2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>
      <c r="A832">
        <f t="shared" si="12"/>
        <v>831</v>
      </c>
      <c r="B832" t="s">
        <v>65</v>
      </c>
      <c r="C832">
        <v>603.15</v>
      </c>
      <c r="D832">
        <v>294</v>
      </c>
      <c r="E832">
        <v>0</v>
      </c>
      <c r="F832">
        <v>0.71</v>
      </c>
      <c r="G832">
        <v>5.9000000000000004E-2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>
      <c r="A833">
        <f t="shared" si="12"/>
        <v>832</v>
      </c>
      <c r="B833" t="s">
        <v>65</v>
      </c>
      <c r="C833">
        <v>603.15</v>
      </c>
      <c r="D833">
        <v>294</v>
      </c>
      <c r="E833">
        <v>0</v>
      </c>
      <c r="F833">
        <v>0.71300000000000008</v>
      </c>
      <c r="G833">
        <v>0.06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>
      <c r="A834">
        <f t="shared" si="12"/>
        <v>833</v>
      </c>
      <c r="B834" t="s">
        <v>65</v>
      </c>
      <c r="C834">
        <v>473.15</v>
      </c>
      <c r="D834">
        <v>196</v>
      </c>
      <c r="E834">
        <v>0</v>
      </c>
      <c r="F834">
        <v>0.15100000000000002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>
      <c r="A835">
        <f t="shared" si="12"/>
        <v>834</v>
      </c>
      <c r="B835" t="s">
        <v>65</v>
      </c>
      <c r="C835">
        <v>473.15</v>
      </c>
      <c r="D835">
        <v>196</v>
      </c>
      <c r="E835">
        <v>0</v>
      </c>
      <c r="F835">
        <v>0.14900000000000002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>
      <c r="A836">
        <f t="shared" si="12"/>
        <v>835</v>
      </c>
      <c r="B836" t="s">
        <v>65</v>
      </c>
      <c r="C836">
        <v>473.15</v>
      </c>
      <c r="D836">
        <v>196</v>
      </c>
      <c r="E836">
        <v>0</v>
      </c>
      <c r="F836">
        <v>0.15300000000000002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>
      <c r="A837">
        <f t="shared" si="12"/>
        <v>836</v>
      </c>
      <c r="B837" t="s">
        <v>65</v>
      </c>
      <c r="C837">
        <v>473.15</v>
      </c>
      <c r="D837">
        <v>196</v>
      </c>
      <c r="E837">
        <v>0</v>
      </c>
      <c r="F837">
        <v>0.16600000000000004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>
      <c r="A838">
        <f t="shared" si="12"/>
        <v>837</v>
      </c>
      <c r="B838" t="s">
        <v>65</v>
      </c>
      <c r="C838">
        <v>473.15</v>
      </c>
      <c r="D838">
        <v>196</v>
      </c>
      <c r="E838">
        <v>0</v>
      </c>
      <c r="F838">
        <v>0.15000000000000002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>
      <c r="A839">
        <f t="shared" si="12"/>
        <v>838</v>
      </c>
      <c r="B839" t="s">
        <v>65</v>
      </c>
      <c r="C839">
        <v>473.15</v>
      </c>
      <c r="D839">
        <v>196</v>
      </c>
      <c r="E839">
        <v>0</v>
      </c>
      <c r="F839">
        <v>0.15800000000000003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>
      <c r="A840">
        <f t="shared" si="12"/>
        <v>839</v>
      </c>
      <c r="B840" t="s">
        <v>65</v>
      </c>
      <c r="C840">
        <v>473.15</v>
      </c>
      <c r="D840">
        <v>588</v>
      </c>
      <c r="E840">
        <v>0</v>
      </c>
      <c r="F840">
        <v>0.18200000000000005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>
      <c r="A841">
        <f t="shared" si="12"/>
        <v>840</v>
      </c>
      <c r="B841" t="s">
        <v>65</v>
      </c>
      <c r="C841">
        <v>523.15</v>
      </c>
      <c r="D841">
        <v>196</v>
      </c>
      <c r="E841">
        <v>0</v>
      </c>
      <c r="F841">
        <v>0.35599999999999998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>
      <c r="A842">
        <f t="shared" si="12"/>
        <v>841</v>
      </c>
      <c r="B842" t="s">
        <v>65</v>
      </c>
      <c r="C842">
        <v>523.15</v>
      </c>
      <c r="D842">
        <v>196</v>
      </c>
      <c r="E842">
        <v>0</v>
      </c>
      <c r="F842">
        <v>0.37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>
      <c r="A843">
        <f t="shared" si="12"/>
        <v>842</v>
      </c>
      <c r="B843" t="s">
        <v>65</v>
      </c>
      <c r="C843">
        <v>523.15</v>
      </c>
      <c r="D843">
        <v>196</v>
      </c>
      <c r="E843">
        <v>0</v>
      </c>
      <c r="F843">
        <v>0.34399999999999997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>
      <c r="A844">
        <f t="shared" si="12"/>
        <v>843</v>
      </c>
      <c r="B844" t="s">
        <v>65</v>
      </c>
      <c r="C844">
        <v>523.15</v>
      </c>
      <c r="D844">
        <v>196</v>
      </c>
      <c r="E844">
        <v>0</v>
      </c>
      <c r="F844">
        <v>0.38500000000000001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>
      <c r="A845">
        <f t="shared" si="12"/>
        <v>844</v>
      </c>
      <c r="B845" t="s">
        <v>65</v>
      </c>
      <c r="C845">
        <v>523.15</v>
      </c>
      <c r="D845">
        <v>490</v>
      </c>
      <c r="E845">
        <v>0</v>
      </c>
      <c r="F845">
        <v>0.32699999999999996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>
      <c r="A846">
        <f t="shared" si="12"/>
        <v>845</v>
      </c>
      <c r="B846" t="s">
        <v>65</v>
      </c>
      <c r="C846">
        <v>523.15</v>
      </c>
      <c r="D846">
        <v>490</v>
      </c>
      <c r="E846">
        <v>0</v>
      </c>
      <c r="F846">
        <v>0.32599999999999996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>
      <c r="A847">
        <f t="shared" si="12"/>
        <v>846</v>
      </c>
      <c r="B847" t="s">
        <v>65</v>
      </c>
      <c r="C847">
        <v>523.15</v>
      </c>
      <c r="D847">
        <v>490</v>
      </c>
      <c r="E847">
        <v>0</v>
      </c>
      <c r="F847">
        <v>0.33099999999999996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>
      <c r="A848">
        <f t="shared" si="12"/>
        <v>847</v>
      </c>
      <c r="B848" t="s">
        <v>65</v>
      </c>
      <c r="C848">
        <v>523.15</v>
      </c>
      <c r="D848">
        <v>490</v>
      </c>
      <c r="E848">
        <v>0</v>
      </c>
      <c r="F848">
        <v>0.33599999999999997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>
      <c r="A849">
        <f t="shared" si="12"/>
        <v>848</v>
      </c>
      <c r="B849" t="s">
        <v>65</v>
      </c>
      <c r="C849">
        <v>573.15</v>
      </c>
      <c r="D849">
        <v>196</v>
      </c>
      <c r="E849">
        <v>0</v>
      </c>
      <c r="F849">
        <v>0.61799999999999999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>
      <c r="A850">
        <f t="shared" si="12"/>
        <v>849</v>
      </c>
      <c r="B850" t="s">
        <v>65</v>
      </c>
      <c r="C850">
        <v>573.15</v>
      </c>
      <c r="D850">
        <v>196</v>
      </c>
      <c r="E850">
        <v>0</v>
      </c>
      <c r="F850">
        <v>0.63300000000000001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>
      <c r="A851">
        <f t="shared" si="12"/>
        <v>850</v>
      </c>
      <c r="B851" t="s">
        <v>65</v>
      </c>
      <c r="C851">
        <v>573.15</v>
      </c>
      <c r="D851">
        <v>196</v>
      </c>
      <c r="E851">
        <v>0</v>
      </c>
      <c r="F851">
        <v>0.63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>
      <c r="A852">
        <f t="shared" si="12"/>
        <v>851</v>
      </c>
      <c r="B852" t="s">
        <v>65</v>
      </c>
      <c r="C852">
        <v>573.15</v>
      </c>
      <c r="D852">
        <v>196</v>
      </c>
      <c r="E852">
        <v>0</v>
      </c>
      <c r="F852">
        <v>0.64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>
      <c r="A853">
        <f t="shared" si="12"/>
        <v>852</v>
      </c>
      <c r="B853" t="s">
        <v>65</v>
      </c>
      <c r="C853">
        <v>573.15</v>
      </c>
      <c r="D853">
        <v>196</v>
      </c>
      <c r="E853">
        <v>0</v>
      </c>
      <c r="F853">
        <v>0.64100000000000001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>
      <c r="A854">
        <f t="shared" si="12"/>
        <v>853</v>
      </c>
      <c r="B854" t="s">
        <v>65</v>
      </c>
      <c r="C854">
        <v>573.15</v>
      </c>
      <c r="D854">
        <v>294</v>
      </c>
      <c r="E854">
        <v>0</v>
      </c>
      <c r="F854">
        <v>0.54800000000000004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>
      <c r="A855">
        <f t="shared" si="12"/>
        <v>854</v>
      </c>
      <c r="B855" t="s">
        <v>65</v>
      </c>
      <c r="C855">
        <v>573.15</v>
      </c>
      <c r="D855">
        <v>294</v>
      </c>
      <c r="E855">
        <v>0</v>
      </c>
      <c r="F855">
        <v>0.54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>
      <c r="A856">
        <f t="shared" si="12"/>
        <v>855</v>
      </c>
      <c r="B856" t="s">
        <v>65</v>
      </c>
      <c r="C856">
        <v>573.15</v>
      </c>
      <c r="D856">
        <v>294</v>
      </c>
      <c r="E856">
        <v>0</v>
      </c>
      <c r="F856">
        <v>0.55000000000000004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>
      <c r="A857">
        <f t="shared" si="12"/>
        <v>856</v>
      </c>
      <c r="B857" t="s">
        <v>65</v>
      </c>
      <c r="C857">
        <v>573.15</v>
      </c>
      <c r="D857">
        <v>294</v>
      </c>
      <c r="E857">
        <v>0</v>
      </c>
      <c r="F857">
        <v>0.53400000000000003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>
      <c r="A858">
        <f t="shared" si="12"/>
        <v>857</v>
      </c>
      <c r="B858" t="s">
        <v>65</v>
      </c>
      <c r="C858">
        <v>573.15</v>
      </c>
      <c r="D858">
        <v>294</v>
      </c>
      <c r="E858">
        <v>0</v>
      </c>
      <c r="F858">
        <v>0.53499999999999992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>
      <c r="A859">
        <f t="shared" si="12"/>
        <v>858</v>
      </c>
      <c r="B859" t="s">
        <v>65</v>
      </c>
      <c r="C859">
        <v>573.15</v>
      </c>
      <c r="D859">
        <v>392</v>
      </c>
      <c r="E859">
        <v>0</v>
      </c>
      <c r="F859">
        <v>0.54899999999999993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>
      <c r="A860">
        <f t="shared" si="12"/>
        <v>859</v>
      </c>
      <c r="B860" t="s">
        <v>65</v>
      </c>
      <c r="C860">
        <v>573.15</v>
      </c>
      <c r="D860">
        <v>392</v>
      </c>
      <c r="E860">
        <v>0</v>
      </c>
      <c r="F860">
        <v>0.54200000000000004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>
      <c r="A861">
        <f t="shared" si="12"/>
        <v>860</v>
      </c>
      <c r="B861" t="s">
        <v>65</v>
      </c>
      <c r="C861">
        <v>573.15</v>
      </c>
      <c r="D861">
        <v>392</v>
      </c>
      <c r="E861">
        <v>0</v>
      </c>
      <c r="F861">
        <v>0.55499999999999994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>
      <c r="A862">
        <f t="shared" si="12"/>
        <v>861</v>
      </c>
      <c r="B862" t="s">
        <v>65</v>
      </c>
      <c r="C862">
        <v>573.15</v>
      </c>
      <c r="D862">
        <v>392</v>
      </c>
      <c r="E862">
        <v>0</v>
      </c>
      <c r="F862">
        <v>0.56600000000000006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>
      <c r="A863">
        <f t="shared" si="12"/>
        <v>862</v>
      </c>
      <c r="B863" t="s">
        <v>65</v>
      </c>
      <c r="C863">
        <v>573.15</v>
      </c>
      <c r="D863">
        <v>392</v>
      </c>
      <c r="E863">
        <v>0</v>
      </c>
      <c r="F863">
        <v>0.53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>
      <c r="A864">
        <f t="shared" si="12"/>
        <v>863</v>
      </c>
      <c r="B864" t="s">
        <v>65</v>
      </c>
      <c r="C864">
        <v>573.15</v>
      </c>
      <c r="D864">
        <v>490</v>
      </c>
      <c r="E864">
        <v>0</v>
      </c>
      <c r="F864">
        <v>0.59699999999999998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>
      <c r="A865">
        <f t="shared" si="12"/>
        <v>864</v>
      </c>
      <c r="B865" t="s">
        <v>65</v>
      </c>
      <c r="C865">
        <v>573.15</v>
      </c>
      <c r="D865">
        <v>490</v>
      </c>
      <c r="E865">
        <v>0</v>
      </c>
      <c r="F865">
        <v>0.58899999999999997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>
      <c r="A866">
        <f t="shared" si="12"/>
        <v>865</v>
      </c>
      <c r="B866" t="s">
        <v>65</v>
      </c>
      <c r="C866">
        <v>573.15</v>
      </c>
      <c r="D866">
        <v>490</v>
      </c>
      <c r="E866">
        <v>0</v>
      </c>
      <c r="F866">
        <v>0.58699999999999997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>
      <c r="A867">
        <f t="shared" si="12"/>
        <v>866</v>
      </c>
      <c r="B867" t="s">
        <v>65</v>
      </c>
      <c r="C867">
        <v>573.15</v>
      </c>
      <c r="D867">
        <v>490</v>
      </c>
      <c r="E867">
        <v>0</v>
      </c>
      <c r="F867">
        <v>0.59000000000000008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>
      <c r="A868">
        <f t="shared" si="12"/>
        <v>867</v>
      </c>
      <c r="B868" t="s">
        <v>66</v>
      </c>
      <c r="C868">
        <v>450.15</v>
      </c>
      <c r="D868">
        <v>25.254000000000001</v>
      </c>
      <c r="E868">
        <v>0</v>
      </c>
      <c r="G868">
        <v>2.235E-3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>
      <c r="A869">
        <f t="shared" si="12"/>
        <v>868</v>
      </c>
      <c r="B869" t="s">
        <v>66</v>
      </c>
      <c r="C869">
        <v>474.15</v>
      </c>
      <c r="D869">
        <v>34.131999999999998</v>
      </c>
      <c r="E869">
        <v>0</v>
      </c>
      <c r="G869">
        <v>2.8319999999999999E-3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>
      <c r="A870">
        <f t="shared" ref="A870:A933" si="13">A869+1</f>
        <v>869</v>
      </c>
      <c r="B870" t="s">
        <v>66</v>
      </c>
      <c r="C870">
        <v>477.15</v>
      </c>
      <c r="D870">
        <v>53.457999999999998</v>
      </c>
      <c r="E870">
        <v>0</v>
      </c>
      <c r="G870">
        <v>5.816E-3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>
      <c r="A871">
        <f t="shared" si="13"/>
        <v>870</v>
      </c>
      <c r="B871" t="s">
        <v>66</v>
      </c>
      <c r="C871">
        <v>502.15</v>
      </c>
      <c r="D871">
        <v>74.355000000000004</v>
      </c>
      <c r="E871">
        <v>0</v>
      </c>
      <c r="G871">
        <v>7.6709999999999999E-3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>
      <c r="A872">
        <f t="shared" si="13"/>
        <v>871</v>
      </c>
      <c r="B872" t="s">
        <v>66</v>
      </c>
      <c r="C872">
        <v>502.15</v>
      </c>
      <c r="D872">
        <v>71.518000000000001</v>
      </c>
      <c r="E872">
        <v>0</v>
      </c>
      <c r="G872">
        <v>7.5430000000000002E-3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>
      <c r="A873">
        <f t="shared" si="13"/>
        <v>872</v>
      </c>
      <c r="B873" t="s">
        <v>66</v>
      </c>
      <c r="C873">
        <v>508.15</v>
      </c>
      <c r="D873">
        <v>60.697000000000003</v>
      </c>
      <c r="E873">
        <v>0</v>
      </c>
      <c r="G873">
        <v>4.7280000000000004E-3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>
      <c r="A874">
        <f t="shared" si="13"/>
        <v>873</v>
      </c>
      <c r="B874" t="s">
        <v>66</v>
      </c>
      <c r="C874">
        <v>534.15</v>
      </c>
      <c r="D874">
        <v>101.46299999999999</v>
      </c>
      <c r="E874">
        <v>0</v>
      </c>
      <c r="G874">
        <v>1.078E-2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>
      <c r="A875">
        <f t="shared" si="13"/>
        <v>874</v>
      </c>
      <c r="B875" t="s">
        <v>66</v>
      </c>
      <c r="C875">
        <v>534.15</v>
      </c>
      <c r="D875">
        <v>97.917000000000002</v>
      </c>
      <c r="E875">
        <v>0</v>
      </c>
      <c r="G875">
        <v>1.01E-2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>
      <c r="A876">
        <f t="shared" si="13"/>
        <v>875</v>
      </c>
      <c r="B876" t="s">
        <v>66</v>
      </c>
      <c r="C876">
        <v>538.15</v>
      </c>
      <c r="D876">
        <v>74.227000000000004</v>
      </c>
      <c r="E876">
        <v>0</v>
      </c>
      <c r="G876">
        <v>4.718E-3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>
      <c r="A877">
        <f t="shared" si="13"/>
        <v>876</v>
      </c>
      <c r="B877" t="s">
        <v>66</v>
      </c>
      <c r="C877">
        <v>538.15</v>
      </c>
      <c r="D877">
        <v>71.492999999999995</v>
      </c>
      <c r="E877">
        <v>0</v>
      </c>
      <c r="G877">
        <v>4.2620000000000002E-3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>
      <c r="A878">
        <f t="shared" si="13"/>
        <v>877</v>
      </c>
      <c r="B878" t="s">
        <v>66</v>
      </c>
      <c r="C878">
        <v>582.15</v>
      </c>
      <c r="D878">
        <v>173.76</v>
      </c>
      <c r="E878">
        <v>0</v>
      </c>
      <c r="G878">
        <v>2.1139999999999999E-2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>
      <c r="A879">
        <f t="shared" si="13"/>
        <v>878</v>
      </c>
      <c r="B879" t="s">
        <v>66</v>
      </c>
      <c r="C879">
        <v>582.15</v>
      </c>
      <c r="D879">
        <v>170.31</v>
      </c>
      <c r="E879">
        <v>0</v>
      </c>
      <c r="G879">
        <v>1.9220000000000001E-2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>
      <c r="A880">
        <f t="shared" si="13"/>
        <v>879</v>
      </c>
      <c r="B880" t="s">
        <v>66</v>
      </c>
      <c r="C880">
        <v>582.15</v>
      </c>
      <c r="D880">
        <v>166.26</v>
      </c>
      <c r="E880">
        <v>0</v>
      </c>
      <c r="G880">
        <v>1.8259999999999998E-2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>
      <c r="A881">
        <f t="shared" si="13"/>
        <v>880</v>
      </c>
      <c r="B881" t="s">
        <v>66</v>
      </c>
      <c r="C881">
        <v>607.15</v>
      </c>
      <c r="D881">
        <v>198.7</v>
      </c>
      <c r="E881">
        <v>0</v>
      </c>
      <c r="G881">
        <v>2.1239999999999998E-2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>
      <c r="A882">
        <f t="shared" si="13"/>
        <v>881</v>
      </c>
      <c r="B882" t="s">
        <v>66</v>
      </c>
      <c r="C882">
        <v>607.15</v>
      </c>
      <c r="D882">
        <v>195.26</v>
      </c>
      <c r="E882">
        <v>0</v>
      </c>
      <c r="G882">
        <v>1.9900000000000001E-2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>
      <c r="A883">
        <f t="shared" si="13"/>
        <v>882</v>
      </c>
      <c r="B883" t="s">
        <v>67</v>
      </c>
      <c r="C883">
        <v>323.14999999999998</v>
      </c>
      <c r="D883">
        <v>100</v>
      </c>
      <c r="E883">
        <v>0</v>
      </c>
      <c r="G883">
        <v>1.9990000000000001E-2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>
      <c r="A884">
        <f t="shared" si="13"/>
        <v>883</v>
      </c>
      <c r="B884" t="s">
        <v>67</v>
      </c>
      <c r="C884">
        <v>323.14999999999998</v>
      </c>
      <c r="D884">
        <v>200</v>
      </c>
      <c r="E884">
        <v>0</v>
      </c>
      <c r="G884">
        <v>2.2929999999999999E-2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>
      <c r="A885">
        <f t="shared" si="13"/>
        <v>884</v>
      </c>
      <c r="B885" t="s">
        <v>67</v>
      </c>
      <c r="C885">
        <v>323.14999999999998</v>
      </c>
      <c r="D885">
        <v>400</v>
      </c>
      <c r="E885">
        <v>0</v>
      </c>
      <c r="G885">
        <v>2.6550000000000001E-2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>
      <c r="A886">
        <f t="shared" si="13"/>
        <v>885</v>
      </c>
      <c r="B886" t="s">
        <v>67</v>
      </c>
      <c r="C886">
        <v>323.14999999999998</v>
      </c>
      <c r="D886">
        <v>600</v>
      </c>
      <c r="E886">
        <v>0</v>
      </c>
      <c r="G886">
        <v>2.8539999999999999E-2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>
      <c r="A887">
        <f t="shared" si="13"/>
        <v>886</v>
      </c>
      <c r="B887" t="s">
        <v>67</v>
      </c>
      <c r="C887">
        <v>373.15</v>
      </c>
      <c r="D887">
        <v>100</v>
      </c>
      <c r="E887">
        <v>0</v>
      </c>
      <c r="G887">
        <v>1.444E-2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>
      <c r="A888">
        <f t="shared" si="13"/>
        <v>887</v>
      </c>
      <c r="B888" t="s">
        <v>67</v>
      </c>
      <c r="C888">
        <v>373.15</v>
      </c>
      <c r="D888">
        <v>200</v>
      </c>
      <c r="E888">
        <v>0</v>
      </c>
      <c r="G888">
        <v>2.0299999999999999E-2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>
      <c r="A889">
        <f t="shared" si="13"/>
        <v>888</v>
      </c>
      <c r="B889" t="s">
        <v>67</v>
      </c>
      <c r="C889">
        <v>373.15</v>
      </c>
      <c r="D889">
        <v>400</v>
      </c>
      <c r="E889">
        <v>0</v>
      </c>
      <c r="G889">
        <v>2.5090000000000001E-2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>
      <c r="A890">
        <f t="shared" si="13"/>
        <v>889</v>
      </c>
      <c r="B890" t="s">
        <v>67</v>
      </c>
      <c r="C890">
        <v>373.15</v>
      </c>
      <c r="D890">
        <v>600</v>
      </c>
      <c r="E890">
        <v>0</v>
      </c>
      <c r="G890">
        <v>2.9069999999999999E-2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>
      <c r="A891">
        <f t="shared" si="13"/>
        <v>890</v>
      </c>
      <c r="B891" t="s">
        <v>67</v>
      </c>
      <c r="C891">
        <v>373.15</v>
      </c>
      <c r="D891">
        <v>800</v>
      </c>
      <c r="E891">
        <v>0</v>
      </c>
      <c r="G891">
        <v>3.5209999999999998E-2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>
      <c r="A892">
        <f t="shared" si="13"/>
        <v>891</v>
      </c>
      <c r="B892" t="s">
        <v>67</v>
      </c>
      <c r="C892">
        <v>423.15</v>
      </c>
      <c r="D892">
        <v>100</v>
      </c>
      <c r="E892">
        <v>0</v>
      </c>
      <c r="G892">
        <v>1.1599999999999999E-2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>
      <c r="A893">
        <f t="shared" si="13"/>
        <v>892</v>
      </c>
      <c r="B893" t="s">
        <v>67</v>
      </c>
      <c r="C893">
        <v>423.15</v>
      </c>
      <c r="D893">
        <v>200</v>
      </c>
      <c r="E893">
        <v>0</v>
      </c>
      <c r="G893">
        <v>2.0920000000000001E-2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>
      <c r="A894">
        <f t="shared" si="13"/>
        <v>893</v>
      </c>
      <c r="B894" t="s">
        <v>67</v>
      </c>
      <c r="C894">
        <v>423.15</v>
      </c>
      <c r="D894">
        <v>400</v>
      </c>
      <c r="E894">
        <v>0</v>
      </c>
      <c r="G894">
        <v>3.0370000000000001E-2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>
      <c r="A895">
        <f t="shared" si="13"/>
        <v>894</v>
      </c>
      <c r="B895" t="s">
        <v>67</v>
      </c>
      <c r="C895">
        <v>423.15</v>
      </c>
      <c r="D895">
        <v>600</v>
      </c>
      <c r="E895">
        <v>0</v>
      </c>
      <c r="G895">
        <v>4.2909999999999997E-2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>
      <c r="A896">
        <f t="shared" si="13"/>
        <v>895</v>
      </c>
      <c r="B896" t="s">
        <v>67</v>
      </c>
      <c r="C896">
        <v>423.15</v>
      </c>
      <c r="D896">
        <v>800</v>
      </c>
      <c r="E896">
        <v>0</v>
      </c>
      <c r="G896">
        <v>5.8229999999999997E-2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>
      <c r="A897">
        <f t="shared" si="13"/>
        <v>896</v>
      </c>
      <c r="B897" t="s">
        <v>68</v>
      </c>
      <c r="C897">
        <v>306.14999999999998</v>
      </c>
      <c r="D897">
        <v>8</v>
      </c>
      <c r="E897">
        <v>0</v>
      </c>
      <c r="G897">
        <v>3.7600000000000003E-3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>
      <c r="A898">
        <f t="shared" si="13"/>
        <v>897</v>
      </c>
      <c r="B898" t="s">
        <v>68</v>
      </c>
      <c r="C898">
        <v>399.45</v>
      </c>
      <c r="D898">
        <v>20</v>
      </c>
      <c r="E898">
        <v>0</v>
      </c>
      <c r="G898">
        <v>2.8649999999999999E-3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>
      <c r="A899">
        <f t="shared" si="13"/>
        <v>898</v>
      </c>
      <c r="B899" t="s">
        <v>68</v>
      </c>
      <c r="C899">
        <v>405.65</v>
      </c>
      <c r="D899">
        <v>20</v>
      </c>
      <c r="E899">
        <v>0</v>
      </c>
      <c r="G899">
        <v>2.7160000000000001E-3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>
      <c r="A900">
        <f t="shared" si="13"/>
        <v>899</v>
      </c>
      <c r="B900" t="s">
        <v>68</v>
      </c>
      <c r="C900">
        <v>419.15</v>
      </c>
      <c r="D900">
        <v>28</v>
      </c>
      <c r="E900">
        <v>0</v>
      </c>
      <c r="G900">
        <v>4.1580000000000002E-3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>
      <c r="A901">
        <f t="shared" si="13"/>
        <v>900</v>
      </c>
      <c r="B901" t="s">
        <v>68</v>
      </c>
      <c r="C901">
        <v>426.65</v>
      </c>
      <c r="D901">
        <v>31</v>
      </c>
      <c r="E901">
        <v>0</v>
      </c>
      <c r="G901">
        <v>4.3560000000000005E-3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>
      <c r="A902">
        <f t="shared" si="13"/>
        <v>901</v>
      </c>
      <c r="B902" t="s">
        <v>68</v>
      </c>
      <c r="C902">
        <v>471.25</v>
      </c>
      <c r="D902">
        <v>41</v>
      </c>
      <c r="E902">
        <v>0</v>
      </c>
      <c r="G902">
        <v>4.7580000000000001E-3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>
      <c r="A903">
        <f t="shared" si="13"/>
        <v>902</v>
      </c>
      <c r="B903" t="s">
        <v>68</v>
      </c>
      <c r="C903">
        <v>486.25</v>
      </c>
      <c r="D903">
        <v>58</v>
      </c>
      <c r="E903">
        <v>0</v>
      </c>
      <c r="G903">
        <v>7.1720000000000004E-3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>
      <c r="A904">
        <f t="shared" si="13"/>
        <v>903</v>
      </c>
      <c r="B904" t="s">
        <v>69</v>
      </c>
      <c r="C904">
        <v>373.15</v>
      </c>
      <c r="D904">
        <v>3.25</v>
      </c>
      <c r="E904">
        <v>0</v>
      </c>
      <c r="F904">
        <v>0.28799999999999992</v>
      </c>
      <c r="G904">
        <v>4.4999999999999999E-4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>
      <c r="A905">
        <f t="shared" si="13"/>
        <v>904</v>
      </c>
      <c r="B905" t="s">
        <v>69</v>
      </c>
      <c r="C905">
        <v>373.15</v>
      </c>
      <c r="D905">
        <v>6</v>
      </c>
      <c r="E905">
        <v>0</v>
      </c>
      <c r="F905">
        <v>0.15500000000000003</v>
      </c>
      <c r="G905">
        <v>9.7999999999999997E-4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>
      <c r="A906">
        <f t="shared" si="13"/>
        <v>905</v>
      </c>
      <c r="B906" t="s">
        <v>69</v>
      </c>
      <c r="C906">
        <v>373.15</v>
      </c>
      <c r="D906">
        <v>9.2000000000000011</v>
      </c>
      <c r="E906">
        <v>0</v>
      </c>
      <c r="F906">
        <v>0.10699999999999998</v>
      </c>
      <c r="G906">
        <v>1.5900000000000001E-3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>
      <c r="A907">
        <f t="shared" si="13"/>
        <v>906</v>
      </c>
      <c r="B907" t="s">
        <v>69</v>
      </c>
      <c r="C907">
        <v>373.15</v>
      </c>
      <c r="D907">
        <v>11.91</v>
      </c>
      <c r="E907">
        <v>0</v>
      </c>
      <c r="F907">
        <v>7.7000000000000068E-2</v>
      </c>
      <c r="G907">
        <v>2.0799999999999998E-3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>
      <c r="A908">
        <f t="shared" si="13"/>
        <v>907</v>
      </c>
      <c r="B908" t="s">
        <v>69</v>
      </c>
      <c r="C908">
        <v>373.15</v>
      </c>
      <c r="D908">
        <v>14.52</v>
      </c>
      <c r="E908">
        <v>0</v>
      </c>
      <c r="F908">
        <v>6.9000000000000061E-2</v>
      </c>
      <c r="G908">
        <v>2.6099999999999999E-3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>
      <c r="A909">
        <f t="shared" si="13"/>
        <v>908</v>
      </c>
      <c r="B909" t="s">
        <v>69</v>
      </c>
      <c r="C909">
        <v>373.15</v>
      </c>
      <c r="D909">
        <v>18.16</v>
      </c>
      <c r="E909">
        <v>0</v>
      </c>
      <c r="F909">
        <v>5.4000000000000048E-2</v>
      </c>
      <c r="G909">
        <v>3.2799999999999999E-3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>
      <c r="A910">
        <f t="shared" si="13"/>
        <v>909</v>
      </c>
      <c r="B910" t="s">
        <v>69</v>
      </c>
      <c r="C910">
        <v>373.15</v>
      </c>
      <c r="D910">
        <v>23.07</v>
      </c>
      <c r="E910">
        <v>0</v>
      </c>
      <c r="F910">
        <v>4.500000000000004E-2</v>
      </c>
      <c r="G910">
        <v>4.1399999999999996E-3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>
      <c r="A911">
        <f t="shared" si="13"/>
        <v>910</v>
      </c>
      <c r="B911" t="s">
        <v>69</v>
      </c>
      <c r="C911">
        <v>393.15</v>
      </c>
      <c r="D911">
        <v>5.99</v>
      </c>
      <c r="E911">
        <v>0</v>
      </c>
      <c r="F911">
        <v>0.33700000000000008</v>
      </c>
      <c r="G911">
        <v>7.0999999999999991E-4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>
      <c r="A912">
        <f t="shared" si="13"/>
        <v>911</v>
      </c>
      <c r="B912" t="s">
        <v>69</v>
      </c>
      <c r="C912">
        <v>393.15</v>
      </c>
      <c r="D912">
        <v>9.3899999999999988</v>
      </c>
      <c r="E912">
        <v>0</v>
      </c>
      <c r="F912">
        <v>0.20499999999999996</v>
      </c>
      <c r="G912">
        <v>1.2700000000000001E-3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>
      <c r="A913">
        <f t="shared" si="13"/>
        <v>912</v>
      </c>
      <c r="B913" t="s">
        <v>69</v>
      </c>
      <c r="C913">
        <v>393.15</v>
      </c>
      <c r="D913">
        <v>12.649999999999999</v>
      </c>
      <c r="E913">
        <v>0</v>
      </c>
      <c r="F913">
        <v>0.16000000000000003</v>
      </c>
      <c r="G913">
        <v>1.81E-3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>
      <c r="A914">
        <f t="shared" si="13"/>
        <v>913</v>
      </c>
      <c r="B914" t="s">
        <v>69</v>
      </c>
      <c r="C914">
        <v>393.15</v>
      </c>
      <c r="D914">
        <v>16.309999999999999</v>
      </c>
      <c r="E914">
        <v>0</v>
      </c>
      <c r="F914">
        <v>0.122</v>
      </c>
      <c r="G914">
        <v>2.3899999999999998E-3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>
      <c r="A915">
        <f t="shared" si="13"/>
        <v>914</v>
      </c>
      <c r="B915" t="s">
        <v>69</v>
      </c>
      <c r="C915">
        <v>393.15</v>
      </c>
      <c r="D915">
        <v>19.950000000000003</v>
      </c>
      <c r="E915">
        <v>0</v>
      </c>
      <c r="F915">
        <v>0.10199999999999998</v>
      </c>
      <c r="G915">
        <v>2.98E-3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>
      <c r="A916">
        <f t="shared" si="13"/>
        <v>915</v>
      </c>
      <c r="B916" t="s">
        <v>69</v>
      </c>
      <c r="C916">
        <v>393.15</v>
      </c>
      <c r="D916">
        <v>24.119999999999997</v>
      </c>
      <c r="E916">
        <v>0</v>
      </c>
      <c r="F916">
        <v>8.2999999999999963E-2</v>
      </c>
      <c r="G916">
        <v>3.63E-3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>
      <c r="A917">
        <f t="shared" si="13"/>
        <v>916</v>
      </c>
      <c r="B917" t="s">
        <v>69</v>
      </c>
      <c r="C917">
        <v>393.15</v>
      </c>
      <c r="D917">
        <v>28.479999999999997</v>
      </c>
      <c r="E917">
        <v>0</v>
      </c>
      <c r="F917">
        <v>7.4000000000000066E-2</v>
      </c>
      <c r="G917">
        <v>4.28E-3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>
      <c r="A918">
        <f t="shared" si="13"/>
        <v>917</v>
      </c>
      <c r="B918" t="s">
        <v>69</v>
      </c>
      <c r="C918">
        <v>413.15</v>
      </c>
      <c r="D918">
        <v>6.5</v>
      </c>
      <c r="E918">
        <v>0</v>
      </c>
      <c r="F918">
        <v>0.56899999999999995</v>
      </c>
      <c r="G918">
        <v>4.6999999999999999E-4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>
      <c r="A919">
        <f t="shared" si="13"/>
        <v>918</v>
      </c>
      <c r="B919" t="s">
        <v>69</v>
      </c>
      <c r="C919">
        <v>413.15</v>
      </c>
      <c r="D919">
        <v>9.26</v>
      </c>
      <c r="E919">
        <v>0</v>
      </c>
      <c r="F919">
        <v>0.40600000000000003</v>
      </c>
      <c r="G919">
        <v>9.2000000000000003E-4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>
      <c r="A920">
        <f t="shared" si="13"/>
        <v>919</v>
      </c>
      <c r="B920" t="s">
        <v>69</v>
      </c>
      <c r="C920">
        <v>413.15</v>
      </c>
      <c r="D920">
        <v>11.93</v>
      </c>
      <c r="E920">
        <v>0</v>
      </c>
      <c r="F920">
        <v>0.31700000000000006</v>
      </c>
      <c r="G920">
        <v>1.33E-3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>
      <c r="A921">
        <f t="shared" si="13"/>
        <v>920</v>
      </c>
      <c r="B921" t="s">
        <v>69</v>
      </c>
      <c r="C921">
        <v>413.15</v>
      </c>
      <c r="D921">
        <v>16.03</v>
      </c>
      <c r="E921">
        <v>0</v>
      </c>
      <c r="F921">
        <v>0.24199999999999999</v>
      </c>
      <c r="G921">
        <v>1.97E-3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>
      <c r="A922">
        <f t="shared" si="13"/>
        <v>921</v>
      </c>
      <c r="B922" t="s">
        <v>69</v>
      </c>
      <c r="C922">
        <v>413.15</v>
      </c>
      <c r="D922">
        <v>20.099999999999998</v>
      </c>
      <c r="E922">
        <v>0</v>
      </c>
      <c r="F922">
        <v>0.19999999999999996</v>
      </c>
      <c r="G922">
        <v>2.5800000000000003E-3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>
      <c r="A923">
        <f t="shared" si="13"/>
        <v>922</v>
      </c>
      <c r="B923" t="s">
        <v>69</v>
      </c>
      <c r="C923">
        <v>413.15</v>
      </c>
      <c r="D923">
        <v>24.89</v>
      </c>
      <c r="E923">
        <v>0</v>
      </c>
      <c r="F923">
        <v>0.16099999999999992</v>
      </c>
      <c r="G923">
        <v>3.2500000000000003E-3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>
      <c r="A924">
        <f t="shared" si="13"/>
        <v>923</v>
      </c>
      <c r="B924" t="s">
        <v>69</v>
      </c>
      <c r="C924">
        <v>413.15</v>
      </c>
      <c r="D924">
        <v>32.47</v>
      </c>
      <c r="E924">
        <v>0</v>
      </c>
      <c r="F924">
        <v>0.128</v>
      </c>
      <c r="G924">
        <v>4.3E-3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>
      <c r="A925">
        <f t="shared" si="13"/>
        <v>924</v>
      </c>
      <c r="B925" t="s">
        <v>69</v>
      </c>
      <c r="C925">
        <v>433.15</v>
      </c>
      <c r="D925">
        <v>8.7799999999999994</v>
      </c>
      <c r="E925">
        <v>0</v>
      </c>
      <c r="F925">
        <v>0.73199999999999998</v>
      </c>
      <c r="G925">
        <v>3.8999999999999999E-4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>
      <c r="A926">
        <f t="shared" si="13"/>
        <v>925</v>
      </c>
      <c r="B926" t="s">
        <v>69</v>
      </c>
      <c r="C926">
        <v>433.15</v>
      </c>
      <c r="D926">
        <v>11.44</v>
      </c>
      <c r="E926">
        <v>0</v>
      </c>
      <c r="F926">
        <v>0.57899999999999996</v>
      </c>
      <c r="G926">
        <v>8.4000000000000003E-4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>
      <c r="A927">
        <f t="shared" si="13"/>
        <v>926</v>
      </c>
      <c r="B927" t="s">
        <v>69</v>
      </c>
      <c r="C927">
        <v>433.15</v>
      </c>
      <c r="D927">
        <v>14.17</v>
      </c>
      <c r="E927">
        <v>0</v>
      </c>
      <c r="F927">
        <v>0.47599999999999998</v>
      </c>
      <c r="G927">
        <v>1.31E-3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>
      <c r="A928">
        <f t="shared" si="13"/>
        <v>927</v>
      </c>
      <c r="B928" t="s">
        <v>69</v>
      </c>
      <c r="C928">
        <v>433.15</v>
      </c>
      <c r="D928">
        <v>17.77</v>
      </c>
      <c r="E928">
        <v>0</v>
      </c>
      <c r="F928">
        <v>0.38800000000000001</v>
      </c>
      <c r="G928">
        <v>1.8599999999999999E-3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>
      <c r="A929">
        <f t="shared" si="13"/>
        <v>928</v>
      </c>
      <c r="B929" t="s">
        <v>69</v>
      </c>
      <c r="C929">
        <v>433.15</v>
      </c>
      <c r="D929">
        <v>21.83</v>
      </c>
      <c r="E929">
        <v>0</v>
      </c>
      <c r="F929">
        <v>0.32299999999999995</v>
      </c>
      <c r="G929">
        <v>2.49E-3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>
      <c r="A930">
        <f t="shared" si="13"/>
        <v>929</v>
      </c>
      <c r="B930" t="s">
        <v>69</v>
      </c>
      <c r="C930">
        <v>433.15</v>
      </c>
      <c r="D930">
        <v>25.880000000000003</v>
      </c>
      <c r="E930">
        <v>0</v>
      </c>
      <c r="F930">
        <v>0.27500000000000002</v>
      </c>
      <c r="G930">
        <v>3.0799999999999998E-3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>
      <c r="A931">
        <f t="shared" si="13"/>
        <v>930</v>
      </c>
      <c r="B931" t="s">
        <v>69</v>
      </c>
      <c r="C931">
        <v>433.15</v>
      </c>
      <c r="D931">
        <v>34.799999999999997</v>
      </c>
      <c r="E931">
        <v>0</v>
      </c>
      <c r="F931">
        <v>0.21099999999999997</v>
      </c>
      <c r="G931">
        <v>4.3400000000000001E-3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>
      <c r="A932">
        <f t="shared" si="13"/>
        <v>931</v>
      </c>
      <c r="B932" t="s">
        <v>69</v>
      </c>
      <c r="C932">
        <v>453.15</v>
      </c>
      <c r="D932">
        <v>14.39</v>
      </c>
      <c r="E932">
        <v>0</v>
      </c>
      <c r="F932">
        <v>0.72799999999999998</v>
      </c>
      <c r="G932">
        <v>8.1000000000000006E-4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>
      <c r="A933">
        <f t="shared" si="13"/>
        <v>932</v>
      </c>
      <c r="B933" t="s">
        <v>69</v>
      </c>
      <c r="C933">
        <v>453.15</v>
      </c>
      <c r="D933">
        <v>21.009999999999998</v>
      </c>
      <c r="E933">
        <v>0</v>
      </c>
      <c r="F933">
        <v>0.52200000000000002</v>
      </c>
      <c r="G933">
        <v>1.8599999999999999E-3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>
      <c r="A934">
        <f t="shared" ref="A934:A997" si="14">A933+1</f>
        <v>933</v>
      </c>
      <c r="B934" t="s">
        <v>69</v>
      </c>
      <c r="C934">
        <v>453.15</v>
      </c>
      <c r="D934">
        <v>26.150000000000002</v>
      </c>
      <c r="E934">
        <v>0</v>
      </c>
      <c r="F934">
        <v>0.43100000000000005</v>
      </c>
      <c r="G934">
        <v>2.7000000000000001E-3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>
      <c r="A935">
        <f t="shared" si="14"/>
        <v>934</v>
      </c>
      <c r="B935" t="s">
        <v>69</v>
      </c>
      <c r="C935">
        <v>453.15</v>
      </c>
      <c r="D935">
        <v>32.799999999999997</v>
      </c>
      <c r="E935">
        <v>0</v>
      </c>
      <c r="F935">
        <v>0.3590000000000001</v>
      </c>
      <c r="G935">
        <v>3.7399999999999998E-3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>
      <c r="A936">
        <f t="shared" si="14"/>
        <v>935</v>
      </c>
      <c r="B936" t="s">
        <v>69</v>
      </c>
      <c r="C936">
        <v>453.15</v>
      </c>
      <c r="D936">
        <v>40.700000000000003</v>
      </c>
      <c r="E936">
        <v>0</v>
      </c>
      <c r="F936">
        <v>0.30000000000000004</v>
      </c>
      <c r="G936">
        <v>4.9300000000000004E-3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>
      <c r="A937">
        <f t="shared" si="14"/>
        <v>936</v>
      </c>
      <c r="B937" t="s">
        <v>69</v>
      </c>
      <c r="C937">
        <v>453.15</v>
      </c>
      <c r="D937">
        <v>49.1</v>
      </c>
      <c r="E937">
        <v>0</v>
      </c>
      <c r="F937">
        <v>0.25700000000000001</v>
      </c>
      <c r="G937">
        <v>6.1500000000000001E-3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>
      <c r="A938">
        <f t="shared" si="14"/>
        <v>937</v>
      </c>
      <c r="B938" t="s">
        <v>69</v>
      </c>
      <c r="C938">
        <v>453.15</v>
      </c>
      <c r="D938">
        <v>62.699999999999996</v>
      </c>
      <c r="E938">
        <v>0</v>
      </c>
      <c r="F938">
        <v>0.20700000000000007</v>
      </c>
      <c r="G938">
        <v>7.8300000000000002E-3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>
      <c r="A939">
        <f t="shared" si="14"/>
        <v>938</v>
      </c>
      <c r="B939" t="s">
        <v>69</v>
      </c>
      <c r="C939">
        <v>473.15</v>
      </c>
      <c r="D939">
        <v>20</v>
      </c>
      <c r="E939">
        <v>0</v>
      </c>
      <c r="F939">
        <v>0.76700000000000002</v>
      </c>
      <c r="G939">
        <v>6.8000000000000005E-4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>
      <c r="A940">
        <f t="shared" si="14"/>
        <v>939</v>
      </c>
      <c r="B940" t="s">
        <v>69</v>
      </c>
      <c r="C940">
        <v>473.15</v>
      </c>
      <c r="D940">
        <v>24.94</v>
      </c>
      <c r="E940">
        <v>0</v>
      </c>
      <c r="F940">
        <v>0.629</v>
      </c>
      <c r="G940">
        <v>1.56E-3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>
      <c r="A941">
        <f t="shared" si="14"/>
        <v>940</v>
      </c>
      <c r="B941" t="s">
        <v>69</v>
      </c>
      <c r="C941">
        <v>473.15</v>
      </c>
      <c r="D941">
        <v>31</v>
      </c>
      <c r="E941">
        <v>0</v>
      </c>
      <c r="F941">
        <v>0.51400000000000001</v>
      </c>
      <c r="G941">
        <v>2.5700000000000002E-3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>
      <c r="A942">
        <f t="shared" si="14"/>
        <v>941</v>
      </c>
      <c r="B942" t="s">
        <v>69</v>
      </c>
      <c r="C942">
        <v>473.15</v>
      </c>
      <c r="D942">
        <v>37.599999999999994</v>
      </c>
      <c r="E942">
        <v>0</v>
      </c>
      <c r="F942">
        <v>0.42600000000000005</v>
      </c>
      <c r="G942">
        <v>3.7399999999999998E-3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>
      <c r="A943">
        <f t="shared" si="14"/>
        <v>942</v>
      </c>
      <c r="B943" t="s">
        <v>69</v>
      </c>
      <c r="C943">
        <v>473.15</v>
      </c>
      <c r="D943">
        <v>45.7</v>
      </c>
      <c r="E943">
        <v>0</v>
      </c>
      <c r="F943">
        <v>0.36499999999999999</v>
      </c>
      <c r="G943">
        <v>5.0000000000000001E-3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>
      <c r="A944">
        <f t="shared" si="14"/>
        <v>943</v>
      </c>
      <c r="B944" t="s">
        <v>69</v>
      </c>
      <c r="C944">
        <v>473.15</v>
      </c>
      <c r="D944">
        <v>60.4</v>
      </c>
      <c r="E944">
        <v>0</v>
      </c>
      <c r="F944">
        <v>0.29200000000000004</v>
      </c>
      <c r="G944">
        <v>7.1199999999999996E-3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>
      <c r="A945">
        <f t="shared" si="14"/>
        <v>944</v>
      </c>
      <c r="B945" t="s">
        <v>69</v>
      </c>
      <c r="C945">
        <v>473.15</v>
      </c>
      <c r="D945">
        <v>78</v>
      </c>
      <c r="E945">
        <v>0</v>
      </c>
      <c r="F945">
        <v>0.24400000000000011</v>
      </c>
      <c r="G945">
        <v>9.3200000000000002E-3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>
      <c r="A946">
        <f t="shared" si="14"/>
        <v>945</v>
      </c>
      <c r="B946" t="s">
        <v>69</v>
      </c>
      <c r="C946">
        <v>473.15</v>
      </c>
      <c r="D946">
        <v>20.270000000000003</v>
      </c>
      <c r="E946">
        <v>0</v>
      </c>
      <c r="F946">
        <v>0.755</v>
      </c>
      <c r="G946">
        <v>9.1E-4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>
      <c r="A947">
        <f t="shared" si="14"/>
        <v>946</v>
      </c>
      <c r="B947" t="s">
        <v>69</v>
      </c>
      <c r="C947">
        <v>473.15</v>
      </c>
      <c r="D947">
        <v>26.38</v>
      </c>
      <c r="E947">
        <v>0</v>
      </c>
      <c r="F947">
        <v>0.59200000000000008</v>
      </c>
      <c r="G947">
        <v>1.9599999999999999E-3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>
      <c r="A948">
        <f t="shared" si="14"/>
        <v>947</v>
      </c>
      <c r="B948" t="s">
        <v>69</v>
      </c>
      <c r="C948">
        <v>473.15</v>
      </c>
      <c r="D948">
        <v>34</v>
      </c>
      <c r="E948">
        <v>0</v>
      </c>
      <c r="F948">
        <v>0.47099999999999997</v>
      </c>
      <c r="G948">
        <v>3.2000000000000002E-3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>
      <c r="A949">
        <f t="shared" si="14"/>
        <v>948</v>
      </c>
      <c r="B949" t="s">
        <v>69</v>
      </c>
      <c r="C949">
        <v>473.15</v>
      </c>
      <c r="D949">
        <v>42</v>
      </c>
      <c r="E949">
        <v>0</v>
      </c>
      <c r="F949">
        <v>0.39200000000000002</v>
      </c>
      <c r="G949">
        <v>4.4800000000000005E-3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>
      <c r="A950">
        <f t="shared" si="14"/>
        <v>949</v>
      </c>
      <c r="B950" t="s">
        <v>69</v>
      </c>
      <c r="C950">
        <v>473.15</v>
      </c>
      <c r="D950">
        <v>51.2</v>
      </c>
      <c r="E950">
        <v>0</v>
      </c>
      <c r="F950">
        <v>0.33200000000000007</v>
      </c>
      <c r="G950">
        <v>5.8599999999999998E-3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>
      <c r="A951">
        <f t="shared" si="14"/>
        <v>950</v>
      </c>
      <c r="B951" t="s">
        <v>69</v>
      </c>
      <c r="C951">
        <v>473.15</v>
      </c>
      <c r="D951">
        <v>65.199999999999989</v>
      </c>
      <c r="E951">
        <v>0</v>
      </c>
      <c r="F951">
        <v>0.27599999999999991</v>
      </c>
      <c r="G951">
        <v>7.8900000000000012E-3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>
      <c r="A952">
        <f t="shared" si="14"/>
        <v>951</v>
      </c>
      <c r="B952" t="s">
        <v>69</v>
      </c>
      <c r="C952">
        <v>473.15</v>
      </c>
      <c r="D952">
        <v>81.099999999999994</v>
      </c>
      <c r="E952">
        <v>0</v>
      </c>
      <c r="F952">
        <v>0.23799999999999999</v>
      </c>
      <c r="G952">
        <v>1.0320000000000001E-2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>
      <c r="A953">
        <f t="shared" si="14"/>
        <v>952</v>
      </c>
      <c r="B953" t="s">
        <v>70</v>
      </c>
      <c r="C953">
        <v>268.14999999999998</v>
      </c>
      <c r="D953">
        <v>1.01</v>
      </c>
      <c r="E953">
        <v>0.54903839574461266</v>
      </c>
      <c r="G953">
        <v>1.2996234025323848E-3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>
      <c r="A954">
        <f t="shared" si="14"/>
        <v>953</v>
      </c>
      <c r="B954" t="s">
        <v>70</v>
      </c>
      <c r="C954">
        <v>268.14999999999998</v>
      </c>
      <c r="D954">
        <v>5.07</v>
      </c>
      <c r="E954">
        <v>0.54903839574461266</v>
      </c>
      <c r="G954">
        <v>6.0333804033905437E-3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>
      <c r="A955">
        <f t="shared" si="14"/>
        <v>954</v>
      </c>
      <c r="B955" t="s">
        <v>70</v>
      </c>
      <c r="C955">
        <v>268.14999999999998</v>
      </c>
      <c r="D955">
        <v>10.130000000000001</v>
      </c>
      <c r="E955">
        <v>0.54903839574461266</v>
      </c>
      <c r="G955">
        <v>1.1420383730151239E-2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>
      <c r="A956">
        <f t="shared" si="14"/>
        <v>955</v>
      </c>
      <c r="B956" t="s">
        <v>70</v>
      </c>
      <c r="C956">
        <v>268.14999999999998</v>
      </c>
      <c r="D956">
        <v>20.260000000000002</v>
      </c>
      <c r="E956">
        <v>0.54903839574461266</v>
      </c>
      <c r="G956">
        <v>1.967476445734356E-2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>
      <c r="A957">
        <f t="shared" si="14"/>
        <v>956</v>
      </c>
      <c r="B957" t="s">
        <v>70</v>
      </c>
      <c r="C957">
        <v>268.14999999999998</v>
      </c>
      <c r="D957">
        <v>30.4</v>
      </c>
      <c r="E957">
        <v>0.54903839574461266</v>
      </c>
      <c r="G957">
        <v>2.2983731401187941E-2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>
      <c r="A958">
        <f t="shared" si="14"/>
        <v>957</v>
      </c>
      <c r="B958" t="s">
        <v>70</v>
      </c>
      <c r="C958">
        <v>273.14999999999998</v>
      </c>
      <c r="D958">
        <v>1.01</v>
      </c>
      <c r="E958">
        <v>0.54903839574461266</v>
      </c>
      <c r="G958">
        <v>1.1111780217882236E-3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>
      <c r="A959">
        <f t="shared" si="14"/>
        <v>958</v>
      </c>
      <c r="B959" t="s">
        <v>70</v>
      </c>
      <c r="C959">
        <v>273.14999999999998</v>
      </c>
      <c r="D959">
        <v>5.07</v>
      </c>
      <c r="E959">
        <v>0.54903839574461266</v>
      </c>
      <c r="G959">
        <v>5.211538378803309E-3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>
      <c r="A960">
        <f t="shared" si="14"/>
        <v>959</v>
      </c>
      <c r="B960" t="s">
        <v>70</v>
      </c>
      <c r="C960">
        <v>273.14999999999998</v>
      </c>
      <c r="D960">
        <v>10.130000000000001</v>
      </c>
      <c r="E960">
        <v>0.54903839574461266</v>
      </c>
      <c r="G960">
        <v>9.8013689611831118E-3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>
      <c r="A961">
        <f t="shared" si="14"/>
        <v>960</v>
      </c>
      <c r="B961" t="s">
        <v>70</v>
      </c>
      <c r="C961">
        <v>273.14999999999998</v>
      </c>
      <c r="D961">
        <v>15.2</v>
      </c>
      <c r="E961">
        <v>0.54903839574461266</v>
      </c>
      <c r="G961">
        <v>1.3712432492491135E-2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>
      <c r="A962">
        <f t="shared" si="14"/>
        <v>961</v>
      </c>
      <c r="B962" t="s">
        <v>70</v>
      </c>
      <c r="C962">
        <v>273.14999999999998</v>
      </c>
      <c r="D962">
        <v>20.260000000000002</v>
      </c>
      <c r="E962">
        <v>0.54903839574461266</v>
      </c>
      <c r="G962">
        <v>1.7130646536265379E-2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>
      <c r="A963">
        <f t="shared" si="14"/>
        <v>962</v>
      </c>
      <c r="B963" t="s">
        <v>70</v>
      </c>
      <c r="C963">
        <v>273.14999999999998</v>
      </c>
      <c r="D963">
        <v>30.4</v>
      </c>
      <c r="E963">
        <v>0.54903839574461266</v>
      </c>
      <c r="G963">
        <v>2.2983731401187941E-2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>
      <c r="A964">
        <f t="shared" si="14"/>
        <v>963</v>
      </c>
      <c r="B964" t="s">
        <v>70</v>
      </c>
      <c r="C964">
        <v>273.14999999999998</v>
      </c>
      <c r="D964">
        <v>34.450000000000003</v>
      </c>
      <c r="E964">
        <v>0.54903839574461266</v>
      </c>
      <c r="G964">
        <v>2.4595905840915255E-2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>
      <c r="A965">
        <f t="shared" si="14"/>
        <v>964</v>
      </c>
      <c r="B965" t="s">
        <v>70</v>
      </c>
      <c r="C965">
        <v>278.14999999999998</v>
      </c>
      <c r="D965">
        <v>1.01</v>
      </c>
      <c r="E965">
        <v>0.54903839574461266</v>
      </c>
      <c r="G965">
        <v>9.2266151187591987E-4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>
      <c r="A966">
        <f t="shared" si="14"/>
        <v>965</v>
      </c>
      <c r="B966" t="s">
        <v>70</v>
      </c>
      <c r="C966">
        <v>278.14999999999998</v>
      </c>
      <c r="D966">
        <v>5.07</v>
      </c>
      <c r="E966">
        <v>0.54903839574461266</v>
      </c>
      <c r="G966">
        <v>4.3592081378980609E-3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>
      <c r="A967">
        <f t="shared" si="14"/>
        <v>966</v>
      </c>
      <c r="B967" t="s">
        <v>70</v>
      </c>
      <c r="C967">
        <v>278.14999999999998</v>
      </c>
      <c r="D967">
        <v>10.130000000000001</v>
      </c>
      <c r="E967">
        <v>0.54903839574461266</v>
      </c>
      <c r="G967">
        <v>8.3421917610673624E-3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>
      <c r="A968">
        <f t="shared" si="14"/>
        <v>967</v>
      </c>
      <c r="B968" t="s">
        <v>70</v>
      </c>
      <c r="C968">
        <v>278.14999999999998</v>
      </c>
      <c r="D968">
        <v>20.260000000000002</v>
      </c>
      <c r="E968">
        <v>0.54903839574461266</v>
      </c>
      <c r="G968">
        <v>1.4675187080461912E-2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>
      <c r="A969">
        <f t="shared" si="14"/>
        <v>968</v>
      </c>
      <c r="B969" t="s">
        <v>70</v>
      </c>
      <c r="C969">
        <v>278.14999999999998</v>
      </c>
      <c r="D969">
        <v>30.4</v>
      </c>
      <c r="E969">
        <v>0.54903839574461266</v>
      </c>
      <c r="G969">
        <v>1.9924823104460556E-2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>
      <c r="A970">
        <f t="shared" si="14"/>
        <v>969</v>
      </c>
      <c r="B970" t="s">
        <v>70</v>
      </c>
      <c r="C970">
        <v>278.14999999999998</v>
      </c>
      <c r="D970">
        <v>38.5</v>
      </c>
      <c r="E970">
        <v>0.54903839574461266</v>
      </c>
      <c r="G970">
        <v>2.2971710118647258E-2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>
      <c r="A971">
        <f t="shared" si="14"/>
        <v>970</v>
      </c>
      <c r="B971" t="s">
        <v>70</v>
      </c>
      <c r="C971">
        <v>283.14999999999998</v>
      </c>
      <c r="D971">
        <v>1.01</v>
      </c>
      <c r="E971">
        <v>0.54903839574461266</v>
      </c>
      <c r="G971">
        <v>8.011353858868416E-4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>
      <c r="A972">
        <f t="shared" si="14"/>
        <v>971</v>
      </c>
      <c r="B972" t="s">
        <v>70</v>
      </c>
      <c r="C972">
        <v>283.14999999999998</v>
      </c>
      <c r="D972">
        <v>5.07</v>
      </c>
      <c r="E972">
        <v>0.54903839574461266</v>
      </c>
      <c r="G972">
        <v>3.7179597009202388E-3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>
      <c r="A973">
        <f t="shared" si="14"/>
        <v>972</v>
      </c>
      <c r="B973" t="s">
        <v>70</v>
      </c>
      <c r="C973">
        <v>283.14999999999998</v>
      </c>
      <c r="D973">
        <v>10.130000000000001</v>
      </c>
      <c r="E973">
        <v>0.54903839574461266</v>
      </c>
      <c r="G973">
        <v>7.0898148692205617E-3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>
      <c r="A974">
        <f t="shared" si="14"/>
        <v>973</v>
      </c>
      <c r="B974" t="s">
        <v>70</v>
      </c>
      <c r="C974">
        <v>283.14999999999998</v>
      </c>
      <c r="D974">
        <v>20.260000000000002</v>
      </c>
      <c r="E974">
        <v>0.54903839574461266</v>
      </c>
      <c r="G974">
        <v>1.2608665888196662E-2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>
      <c r="A975">
        <f t="shared" si="14"/>
        <v>974</v>
      </c>
      <c r="B975" t="s">
        <v>70</v>
      </c>
      <c r="C975">
        <v>283.14999999999998</v>
      </c>
      <c r="D975">
        <v>30.4</v>
      </c>
      <c r="E975">
        <v>0.54903839574461266</v>
      </c>
      <c r="G975">
        <v>1.708198173526821E-2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>
      <c r="A976">
        <f t="shared" si="14"/>
        <v>975</v>
      </c>
      <c r="B976" t="s">
        <v>70</v>
      </c>
      <c r="C976">
        <v>283.14999999999998</v>
      </c>
      <c r="D976">
        <v>38.5</v>
      </c>
      <c r="E976">
        <v>0.54903839574461266</v>
      </c>
      <c r="G976">
        <v>1.9755442477757047E-2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>
      <c r="A977">
        <f t="shared" si="14"/>
        <v>976</v>
      </c>
      <c r="B977" t="s">
        <v>70</v>
      </c>
      <c r="C977">
        <v>285.55</v>
      </c>
      <c r="D977">
        <v>1.01</v>
      </c>
      <c r="E977">
        <v>0.54903839574461266</v>
      </c>
      <c r="G977">
        <v>7.2569050540627778E-4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>
      <c r="A978">
        <f t="shared" si="14"/>
        <v>977</v>
      </c>
      <c r="B978" t="s">
        <v>70</v>
      </c>
      <c r="C978">
        <v>285.55</v>
      </c>
      <c r="D978">
        <v>5.07</v>
      </c>
      <c r="E978">
        <v>0.54903839574461266</v>
      </c>
      <c r="G978">
        <v>3.3052922037177667E-3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>
      <c r="A979">
        <f t="shared" si="14"/>
        <v>978</v>
      </c>
      <c r="B979" t="s">
        <v>70</v>
      </c>
      <c r="C979">
        <v>285.55</v>
      </c>
      <c r="D979">
        <v>10.130000000000001</v>
      </c>
      <c r="E979">
        <v>0.54903839574461266</v>
      </c>
      <c r="G979">
        <v>6.497659715746347E-3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>
      <c r="A980">
        <f t="shared" si="14"/>
        <v>979</v>
      </c>
      <c r="B980" t="s">
        <v>70</v>
      </c>
      <c r="C980">
        <v>285.55</v>
      </c>
      <c r="D980">
        <v>20.260000000000002</v>
      </c>
      <c r="E980">
        <v>0.54903839574461266</v>
      </c>
      <c r="G980">
        <v>1.1637766079975033E-2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>
      <c r="A981">
        <f t="shared" si="14"/>
        <v>980</v>
      </c>
      <c r="B981" t="s">
        <v>70</v>
      </c>
      <c r="C981">
        <v>285.55</v>
      </c>
      <c r="D981">
        <v>30.4</v>
      </c>
      <c r="E981">
        <v>0.54903839574461266</v>
      </c>
      <c r="G981">
        <v>1.5721474897332496E-2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>
      <c r="A982">
        <f t="shared" si="14"/>
        <v>981</v>
      </c>
      <c r="B982" t="s">
        <v>70</v>
      </c>
      <c r="C982">
        <v>285.55</v>
      </c>
      <c r="D982">
        <v>45.6</v>
      </c>
      <c r="E982">
        <v>0.54903839574461266</v>
      </c>
      <c r="G982">
        <v>1.9961111337669066E-2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>
      <c r="A983">
        <f t="shared" si="14"/>
        <v>982</v>
      </c>
      <c r="B983" t="s">
        <v>70</v>
      </c>
      <c r="C983">
        <v>288.14999999999998</v>
      </c>
      <c r="D983">
        <v>1.01</v>
      </c>
      <c r="E983">
        <v>0.54903839574461266</v>
      </c>
      <c r="G983">
        <v>6.5023423107811082E-4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>
      <c r="A984">
        <f t="shared" si="14"/>
        <v>983</v>
      </c>
      <c r="B984" t="s">
        <v>70</v>
      </c>
      <c r="C984">
        <v>288.14999999999998</v>
      </c>
      <c r="D984">
        <v>5.07</v>
      </c>
      <c r="E984">
        <v>0.54903839574461266</v>
      </c>
      <c r="G984">
        <v>3.0967443202456683E-3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>
      <c r="A985">
        <f t="shared" si="14"/>
        <v>984</v>
      </c>
      <c r="B985" t="s">
        <v>70</v>
      </c>
      <c r="C985">
        <v>288.14999999999998</v>
      </c>
      <c r="D985">
        <v>10.130000000000001</v>
      </c>
      <c r="E985">
        <v>0.54903839574461266</v>
      </c>
      <c r="G985">
        <v>5.8882041157125578E-3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>
      <c r="A986">
        <f t="shared" si="14"/>
        <v>985</v>
      </c>
      <c r="B986" t="s">
        <v>70</v>
      </c>
      <c r="C986">
        <v>288.14999999999998</v>
      </c>
      <c r="D986">
        <v>20.260000000000002</v>
      </c>
      <c r="E986">
        <v>0.54903839574461266</v>
      </c>
      <c r="G986">
        <v>1.0512908721599953E-2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>
      <c r="A987">
        <f t="shared" si="14"/>
        <v>986</v>
      </c>
      <c r="B987" t="s">
        <v>70</v>
      </c>
      <c r="C987">
        <v>288.14999999999998</v>
      </c>
      <c r="D987">
        <v>30.4</v>
      </c>
      <c r="E987">
        <v>0.54903839574461266</v>
      </c>
      <c r="G987">
        <v>1.4287863672691879E-2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>
      <c r="A988">
        <f t="shared" si="14"/>
        <v>987</v>
      </c>
      <c r="B988" t="s">
        <v>70</v>
      </c>
      <c r="C988">
        <v>288.14999999999998</v>
      </c>
      <c r="D988">
        <v>45.6</v>
      </c>
      <c r="E988">
        <v>0.54903839574461266</v>
      </c>
      <c r="G988">
        <v>1.8050315438605066E-2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>
      <c r="A989">
        <f t="shared" si="14"/>
        <v>988</v>
      </c>
      <c r="B989" t="s">
        <v>70</v>
      </c>
      <c r="C989">
        <v>298.14999999999998</v>
      </c>
      <c r="D989">
        <v>1.01</v>
      </c>
      <c r="E989">
        <v>0.54903839574461266</v>
      </c>
      <c r="G989">
        <v>4.6154368023286013E-4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>
      <c r="A990">
        <f t="shared" si="14"/>
        <v>989</v>
      </c>
      <c r="B990" t="s">
        <v>70</v>
      </c>
      <c r="C990">
        <v>298.14999999999998</v>
      </c>
      <c r="D990">
        <v>5.07</v>
      </c>
      <c r="E990">
        <v>0.54903839574461266</v>
      </c>
      <c r="G990">
        <v>2.3076442557799265E-3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>
      <c r="A991">
        <f t="shared" si="14"/>
        <v>990</v>
      </c>
      <c r="B991" t="s">
        <v>70</v>
      </c>
      <c r="C991">
        <v>298.14999999999998</v>
      </c>
      <c r="D991">
        <v>10.130000000000001</v>
      </c>
      <c r="E991">
        <v>0.54903839574461266</v>
      </c>
      <c r="G991">
        <v>4.2759757645606158E-3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>
      <c r="A992">
        <f t="shared" si="14"/>
        <v>991</v>
      </c>
      <c r="B992" t="s">
        <v>70</v>
      </c>
      <c r="C992">
        <v>298.14999999999998</v>
      </c>
      <c r="D992">
        <v>20.260000000000002</v>
      </c>
      <c r="E992">
        <v>0.54903839574461266</v>
      </c>
      <c r="G992">
        <v>7.5903181679577523E-3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>
      <c r="A993">
        <f t="shared" si="14"/>
        <v>992</v>
      </c>
      <c r="B993" t="s">
        <v>70</v>
      </c>
      <c r="C993">
        <v>298.14999999999998</v>
      </c>
      <c r="D993">
        <v>30.4</v>
      </c>
      <c r="E993">
        <v>0.54903839574461266</v>
      </c>
      <c r="G993">
        <v>9.9618632077943768E-3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>
      <c r="A994">
        <f t="shared" si="14"/>
        <v>993</v>
      </c>
      <c r="B994" t="s">
        <v>70</v>
      </c>
      <c r="C994">
        <v>298.14999999999998</v>
      </c>
      <c r="D994">
        <v>45.6</v>
      </c>
      <c r="E994">
        <v>0.54903839574461266</v>
      </c>
      <c r="G994">
        <v>1.2805071584747514E-2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>
      <c r="A995">
        <f t="shared" si="14"/>
        <v>994</v>
      </c>
      <c r="B995" t="s">
        <v>70</v>
      </c>
      <c r="C995">
        <v>273.14999999999998</v>
      </c>
      <c r="D995">
        <v>10.130000000000001</v>
      </c>
      <c r="E995">
        <v>1.7735633027008608</v>
      </c>
      <c r="G995">
        <v>9.4164320203151807E-3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>
      <c r="A996">
        <f t="shared" si="14"/>
        <v>995</v>
      </c>
      <c r="B996" t="s">
        <v>70</v>
      </c>
      <c r="C996">
        <v>273.14999999999998</v>
      </c>
      <c r="D996">
        <v>20.260000000000002</v>
      </c>
      <c r="E996">
        <v>1.7735633027008608</v>
      </c>
      <c r="G996">
        <v>1.6924603349977814E-2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>
      <c r="A997">
        <f t="shared" si="14"/>
        <v>996</v>
      </c>
      <c r="B997" t="s">
        <v>70</v>
      </c>
      <c r="C997">
        <v>273.14999999999998</v>
      </c>
      <c r="D997">
        <v>34.450000000000003</v>
      </c>
      <c r="E997">
        <v>1.7735633027008608</v>
      </c>
      <c r="G997">
        <v>2.3544394466043048E-2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>
      <c r="A998">
        <f t="shared" ref="A998:A1061" si="15">A997+1</f>
        <v>997</v>
      </c>
      <c r="B998" t="s">
        <v>70</v>
      </c>
      <c r="C998">
        <v>285.55</v>
      </c>
      <c r="D998">
        <v>10.130000000000001</v>
      </c>
      <c r="E998">
        <v>1.7735633027008608</v>
      </c>
      <c r="G998">
        <v>5.9405485337590339E-3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>
      <c r="A999">
        <f t="shared" si="15"/>
        <v>998</v>
      </c>
      <c r="B999" t="s">
        <v>70</v>
      </c>
      <c r="C999">
        <v>285.55</v>
      </c>
      <c r="D999">
        <v>20.260000000000002</v>
      </c>
      <c r="E999">
        <v>1.7735633027008608</v>
      </c>
      <c r="G999">
        <v>1.0552342420769708E-2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>
      <c r="A1000">
        <f t="shared" si="15"/>
        <v>999</v>
      </c>
      <c r="B1000" t="s">
        <v>70</v>
      </c>
      <c r="C1000">
        <v>285.55</v>
      </c>
      <c r="D1000">
        <v>45.6</v>
      </c>
      <c r="E1000">
        <v>1.7735633027008608</v>
      </c>
      <c r="G1000">
        <v>1.760812207015058E-2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>
      <c r="A1001">
        <f t="shared" si="15"/>
        <v>1000</v>
      </c>
      <c r="B1001" t="s">
        <v>70</v>
      </c>
      <c r="C1001">
        <v>298.14999999999998</v>
      </c>
      <c r="D1001">
        <v>10.130000000000001</v>
      </c>
      <c r="E1001">
        <v>1.7735633027008608</v>
      </c>
      <c r="G1001">
        <v>3.9960158591646139E-3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>
      <c r="A1002">
        <f t="shared" si="15"/>
        <v>1001</v>
      </c>
      <c r="B1002" t="s">
        <v>70</v>
      </c>
      <c r="C1002">
        <v>298.14999999999998</v>
      </c>
      <c r="D1002">
        <v>20.260000000000002</v>
      </c>
      <c r="E1002">
        <v>1.7735633027008608</v>
      </c>
      <c r="G1002">
        <v>7.0800789734626031E-3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>
      <c r="A1003">
        <f t="shared" si="15"/>
        <v>1002</v>
      </c>
      <c r="B1003" t="s">
        <v>70</v>
      </c>
      <c r="C1003">
        <v>298.14999999999998</v>
      </c>
      <c r="D1003">
        <v>45.6</v>
      </c>
      <c r="E1003">
        <v>1.7735633027008608</v>
      </c>
      <c r="G1003">
        <v>1.2022546474616239E-2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>
      <c r="A1004">
        <f t="shared" si="15"/>
        <v>1003</v>
      </c>
      <c r="B1004" t="s">
        <v>70</v>
      </c>
      <c r="C1004">
        <v>273.14999999999998</v>
      </c>
      <c r="D1004">
        <v>10.130000000000001</v>
      </c>
      <c r="E1004">
        <v>3.2017341880593997</v>
      </c>
      <c r="G1004">
        <v>9.4600626924073727E-3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>
      <c r="A1005">
        <f t="shared" si="15"/>
        <v>1004</v>
      </c>
      <c r="B1005" t="s">
        <v>70</v>
      </c>
      <c r="C1005">
        <v>273.14999999999998</v>
      </c>
      <c r="D1005">
        <v>20.260000000000002</v>
      </c>
      <c r="E1005">
        <v>3.2017341880593997</v>
      </c>
      <c r="G1005">
        <v>1.6333323863648167E-2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>
      <c r="A1006">
        <f t="shared" si="15"/>
        <v>1005</v>
      </c>
      <c r="B1006" t="s">
        <v>70</v>
      </c>
      <c r="C1006">
        <v>273.14999999999998</v>
      </c>
      <c r="D1006">
        <v>34.450000000000003</v>
      </c>
      <c r="E1006">
        <v>3.2017341880593997</v>
      </c>
      <c r="G1006">
        <v>2.3967640117239786E-2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>
      <c r="A1007">
        <f t="shared" si="15"/>
        <v>1006</v>
      </c>
      <c r="B1007" t="s">
        <v>70</v>
      </c>
      <c r="C1007">
        <v>285.55</v>
      </c>
      <c r="D1007">
        <v>10.130000000000001</v>
      </c>
      <c r="E1007">
        <v>3.2017341880593997</v>
      </c>
      <c r="G1007">
        <v>5.6430598118200276E-3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>
      <c r="A1008">
        <f t="shared" si="15"/>
        <v>1007</v>
      </c>
      <c r="B1008" t="s">
        <v>70</v>
      </c>
      <c r="C1008">
        <v>285.55</v>
      </c>
      <c r="D1008">
        <v>20.260000000000002</v>
      </c>
      <c r="E1008">
        <v>3.2017341880593997</v>
      </c>
      <c r="G1008">
        <v>1.0143005557981028E-2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>
      <c r="A1009">
        <f t="shared" si="15"/>
        <v>1008</v>
      </c>
      <c r="B1009" t="s">
        <v>70</v>
      </c>
      <c r="C1009">
        <v>285.55</v>
      </c>
      <c r="D1009">
        <v>45.6</v>
      </c>
      <c r="E1009">
        <v>3.2017341880593997</v>
      </c>
      <c r="G1009">
        <v>1.6875813246770673E-2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>
      <c r="A1010">
        <f t="shared" si="15"/>
        <v>1009</v>
      </c>
      <c r="B1010" t="s">
        <v>71</v>
      </c>
      <c r="C1010">
        <v>298.14999999999998</v>
      </c>
      <c r="D1010">
        <v>23.51</v>
      </c>
      <c r="E1010">
        <v>0</v>
      </c>
      <c r="K1010">
        <v>4.9700000000000005E-4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</row>
    <row r="1011" spans="1:20">
      <c r="A1011">
        <f t="shared" si="15"/>
        <v>1010</v>
      </c>
      <c r="B1011" t="s">
        <v>71</v>
      </c>
      <c r="C1011">
        <v>298.14999999999998</v>
      </c>
      <c r="D1011">
        <v>31.65</v>
      </c>
      <c r="E1011">
        <v>0</v>
      </c>
      <c r="K1011">
        <v>7.1699999999999997E-4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</row>
    <row r="1012" spans="1:20">
      <c r="A1012">
        <f t="shared" si="15"/>
        <v>1011</v>
      </c>
      <c r="B1012" t="s">
        <v>71</v>
      </c>
      <c r="C1012">
        <v>298.14999999999998</v>
      </c>
      <c r="D1012">
        <v>45.44</v>
      </c>
      <c r="E1012">
        <v>0</v>
      </c>
      <c r="K1012">
        <v>1E-3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</row>
    <row r="1013" spans="1:20">
      <c r="A1013">
        <f t="shared" si="15"/>
        <v>1012</v>
      </c>
      <c r="B1013" t="s">
        <v>71</v>
      </c>
      <c r="C1013">
        <v>298.14999999999998</v>
      </c>
      <c r="D1013">
        <v>64.400000000000006</v>
      </c>
      <c r="E1013">
        <v>0</v>
      </c>
      <c r="K1013">
        <v>1.317E-3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</row>
    <row r="1014" spans="1:20">
      <c r="A1014">
        <f t="shared" si="15"/>
        <v>1013</v>
      </c>
      <c r="B1014" t="s">
        <v>71</v>
      </c>
      <c r="C1014">
        <v>298.14999999999998</v>
      </c>
      <c r="D1014">
        <v>88.94</v>
      </c>
      <c r="E1014">
        <v>0</v>
      </c>
      <c r="K1014">
        <v>1.678E-3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</row>
    <row r="1015" spans="1:20">
      <c r="A1015">
        <f t="shared" si="15"/>
        <v>1014</v>
      </c>
      <c r="B1015" t="s">
        <v>71</v>
      </c>
      <c r="C1015">
        <v>298.14999999999998</v>
      </c>
      <c r="D1015">
        <v>133.07</v>
      </c>
      <c r="E1015">
        <v>0</v>
      </c>
      <c r="K1015">
        <v>2.235E-3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</row>
    <row r="1016" spans="1:20">
      <c r="A1016">
        <f t="shared" si="15"/>
        <v>1015</v>
      </c>
      <c r="B1016" t="s">
        <v>71</v>
      </c>
      <c r="C1016">
        <v>298.14999999999998</v>
      </c>
      <c r="D1016">
        <v>172.02</v>
      </c>
      <c r="E1016">
        <v>0</v>
      </c>
      <c r="K1016">
        <v>2.5850000000000001E-3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</row>
    <row r="1017" spans="1:20">
      <c r="A1017">
        <f t="shared" si="15"/>
        <v>1016</v>
      </c>
      <c r="B1017" t="s">
        <v>71</v>
      </c>
      <c r="C1017">
        <v>298.14999999999998</v>
      </c>
      <c r="D1017">
        <v>242.35</v>
      </c>
      <c r="E1017">
        <v>0</v>
      </c>
      <c r="K1017">
        <v>3.1099999999999999E-3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</row>
    <row r="1018" spans="1:20">
      <c r="A1018">
        <f t="shared" si="15"/>
        <v>1017</v>
      </c>
      <c r="B1018" t="s">
        <v>71</v>
      </c>
      <c r="C1018">
        <v>298.14999999999998</v>
      </c>
      <c r="D1018">
        <v>331.63</v>
      </c>
      <c r="E1018">
        <v>0</v>
      </c>
      <c r="K1018">
        <v>3.6600000000000001E-3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</row>
    <row r="1019" spans="1:20">
      <c r="A1019">
        <f t="shared" si="15"/>
        <v>1018</v>
      </c>
      <c r="B1019" t="s">
        <v>71</v>
      </c>
      <c r="C1019">
        <v>298.14999999999998</v>
      </c>
      <c r="D1019">
        <v>444.02</v>
      </c>
      <c r="E1019">
        <v>0</v>
      </c>
      <c r="K1019">
        <v>4.1700000000000001E-3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</row>
    <row r="1020" spans="1:20">
      <c r="A1020">
        <f t="shared" si="15"/>
        <v>1019</v>
      </c>
      <c r="B1020" t="s">
        <v>71</v>
      </c>
      <c r="C1020">
        <v>298.14999999999998</v>
      </c>
      <c r="D1020">
        <v>537.44000000000005</v>
      </c>
      <c r="E1020">
        <v>0</v>
      </c>
      <c r="K1020">
        <v>4.3699999999999998E-3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</row>
    <row r="1021" spans="1:20">
      <c r="A1021">
        <f t="shared" si="15"/>
        <v>1020</v>
      </c>
      <c r="B1021" t="s">
        <v>71</v>
      </c>
      <c r="C1021">
        <v>298.14999999999998</v>
      </c>
      <c r="D1021">
        <v>641.20000000000005</v>
      </c>
      <c r="E1021">
        <v>0</v>
      </c>
      <c r="K1021">
        <v>4.45E-3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</row>
    <row r="1022" spans="1:20">
      <c r="A1022">
        <f t="shared" si="15"/>
        <v>1021</v>
      </c>
      <c r="B1022" t="s">
        <v>71</v>
      </c>
      <c r="C1022">
        <v>310.93</v>
      </c>
      <c r="D1022">
        <v>22.75</v>
      </c>
      <c r="E1022">
        <v>0</v>
      </c>
      <c r="K1022">
        <v>4.4000000000000002E-4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</row>
    <row r="1023" spans="1:20">
      <c r="A1023">
        <f t="shared" si="15"/>
        <v>1022</v>
      </c>
      <c r="B1023" t="s">
        <v>71</v>
      </c>
      <c r="C1023">
        <v>310.93</v>
      </c>
      <c r="D1023">
        <v>32.89</v>
      </c>
      <c r="E1023">
        <v>0</v>
      </c>
      <c r="K1023">
        <v>6.1899999999999998E-4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</row>
    <row r="1024" spans="1:20">
      <c r="A1024">
        <f t="shared" si="15"/>
        <v>1023</v>
      </c>
      <c r="B1024" t="s">
        <v>71</v>
      </c>
      <c r="C1024">
        <v>310.93</v>
      </c>
      <c r="D1024">
        <v>45.78</v>
      </c>
      <c r="E1024">
        <v>0</v>
      </c>
      <c r="K1024">
        <v>8.3900000000000001E-4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</row>
    <row r="1025" spans="1:20">
      <c r="A1025">
        <f t="shared" si="15"/>
        <v>1024</v>
      </c>
      <c r="B1025" t="s">
        <v>71</v>
      </c>
      <c r="C1025">
        <v>310.93</v>
      </c>
      <c r="D1025">
        <v>65.5</v>
      </c>
      <c r="E1025">
        <v>0</v>
      </c>
      <c r="K1025">
        <v>1.1230000000000001E-3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</row>
    <row r="1026" spans="1:20">
      <c r="A1026">
        <f t="shared" si="15"/>
        <v>1025</v>
      </c>
      <c r="B1026" t="s">
        <v>71</v>
      </c>
      <c r="C1026">
        <v>310.93</v>
      </c>
      <c r="D1026">
        <v>87.56</v>
      </c>
      <c r="E1026">
        <v>0</v>
      </c>
      <c r="K1026">
        <v>1.4400000000000001E-3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</row>
    <row r="1027" spans="1:20">
      <c r="A1027">
        <f t="shared" si="15"/>
        <v>1026</v>
      </c>
      <c r="B1027" t="s">
        <v>71</v>
      </c>
      <c r="C1027">
        <v>310.93</v>
      </c>
      <c r="D1027">
        <v>131</v>
      </c>
      <c r="E1027">
        <v>0</v>
      </c>
      <c r="K1027">
        <v>1.89E-3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</row>
    <row r="1028" spans="1:20">
      <c r="A1028">
        <f t="shared" si="15"/>
        <v>1027</v>
      </c>
      <c r="B1028" t="s">
        <v>71</v>
      </c>
      <c r="C1028">
        <v>310.93</v>
      </c>
      <c r="D1028">
        <v>177.54</v>
      </c>
      <c r="E1028">
        <v>0</v>
      </c>
      <c r="K1028">
        <v>2.2899999999999999E-3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</row>
    <row r="1029" spans="1:20">
      <c r="A1029">
        <f t="shared" si="15"/>
        <v>1028</v>
      </c>
      <c r="B1029" t="s">
        <v>71</v>
      </c>
      <c r="C1029">
        <v>310.93</v>
      </c>
      <c r="D1029">
        <v>243.73</v>
      </c>
      <c r="E1029">
        <v>0</v>
      </c>
      <c r="K1029">
        <v>2.7599999999999999E-3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</row>
    <row r="1030" spans="1:20">
      <c r="A1030">
        <f t="shared" si="15"/>
        <v>1029</v>
      </c>
      <c r="B1030" t="s">
        <v>71</v>
      </c>
      <c r="C1030">
        <v>310.93</v>
      </c>
      <c r="D1030">
        <v>338.53</v>
      </c>
      <c r="E1030">
        <v>0</v>
      </c>
      <c r="K1030">
        <v>3.3300000000000001E-3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</row>
    <row r="1031" spans="1:20">
      <c r="A1031">
        <f t="shared" si="15"/>
        <v>1030</v>
      </c>
      <c r="B1031" t="s">
        <v>71</v>
      </c>
      <c r="C1031">
        <v>310.93</v>
      </c>
      <c r="D1031">
        <v>449.88</v>
      </c>
      <c r="E1031">
        <v>0</v>
      </c>
      <c r="K1031">
        <v>3.9100000000000003E-3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</row>
    <row r="1032" spans="1:20">
      <c r="A1032">
        <f t="shared" si="15"/>
        <v>1031</v>
      </c>
      <c r="B1032" t="s">
        <v>71</v>
      </c>
      <c r="C1032">
        <v>310.93</v>
      </c>
      <c r="D1032">
        <v>542.61</v>
      </c>
      <c r="E1032">
        <v>0</v>
      </c>
      <c r="K1032">
        <v>4.1700000000000001E-3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</row>
    <row r="1033" spans="1:20">
      <c r="A1033">
        <f t="shared" si="15"/>
        <v>1032</v>
      </c>
      <c r="B1033" t="s">
        <v>71</v>
      </c>
      <c r="C1033">
        <v>310.93</v>
      </c>
      <c r="D1033">
        <v>682.23</v>
      </c>
      <c r="E1033">
        <v>0</v>
      </c>
      <c r="K1033">
        <v>4.6499999999999996E-3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</row>
    <row r="1034" spans="1:20">
      <c r="A1034">
        <f t="shared" si="15"/>
        <v>1033</v>
      </c>
      <c r="B1034" t="s">
        <v>71</v>
      </c>
      <c r="C1034">
        <v>344.26</v>
      </c>
      <c r="D1034">
        <v>22.82</v>
      </c>
      <c r="E1034">
        <v>0</v>
      </c>
      <c r="K1034">
        <v>3.4000000000000002E-4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</row>
    <row r="1035" spans="1:20">
      <c r="A1035">
        <f t="shared" si="15"/>
        <v>1034</v>
      </c>
      <c r="B1035" t="s">
        <v>71</v>
      </c>
      <c r="C1035">
        <v>344.26</v>
      </c>
      <c r="D1035">
        <v>32.200000000000003</v>
      </c>
      <c r="E1035">
        <v>0</v>
      </c>
      <c r="K1035">
        <v>4.6999999999999999E-4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</row>
    <row r="1036" spans="1:20">
      <c r="A1036">
        <f t="shared" si="15"/>
        <v>1035</v>
      </c>
      <c r="B1036" t="s">
        <v>71</v>
      </c>
      <c r="C1036">
        <v>344.26</v>
      </c>
      <c r="D1036">
        <v>45.44</v>
      </c>
      <c r="E1036">
        <v>0</v>
      </c>
      <c r="K1036">
        <v>6.3199999999999997E-4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</row>
    <row r="1037" spans="1:20">
      <c r="A1037">
        <f t="shared" si="15"/>
        <v>1036</v>
      </c>
      <c r="B1037" t="s">
        <v>71</v>
      </c>
      <c r="C1037">
        <v>344.26</v>
      </c>
      <c r="D1037">
        <v>65.02</v>
      </c>
      <c r="E1037">
        <v>0</v>
      </c>
      <c r="K1037">
        <v>9.0899999999999998E-4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</row>
    <row r="1038" spans="1:20">
      <c r="A1038">
        <f t="shared" si="15"/>
        <v>1037</v>
      </c>
      <c r="B1038" t="s">
        <v>71</v>
      </c>
      <c r="C1038">
        <v>344.26</v>
      </c>
      <c r="D1038">
        <v>91.01</v>
      </c>
      <c r="E1038">
        <v>0</v>
      </c>
      <c r="K1038">
        <v>1.183E-3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</row>
    <row r="1039" spans="1:20">
      <c r="A1039">
        <f t="shared" si="15"/>
        <v>1038</v>
      </c>
      <c r="B1039" t="s">
        <v>71</v>
      </c>
      <c r="C1039">
        <v>344.26</v>
      </c>
      <c r="D1039">
        <v>129.62</v>
      </c>
      <c r="E1039">
        <v>0</v>
      </c>
      <c r="K1039">
        <v>1.5E-3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</row>
    <row r="1040" spans="1:20">
      <c r="A1040">
        <f t="shared" si="15"/>
        <v>1039</v>
      </c>
      <c r="B1040" t="s">
        <v>71</v>
      </c>
      <c r="C1040">
        <v>344.26</v>
      </c>
      <c r="D1040">
        <v>176.16</v>
      </c>
      <c r="E1040">
        <v>0</v>
      </c>
      <c r="K1040">
        <v>1.9239999999999999E-3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</row>
    <row r="1041" spans="1:20">
      <c r="A1041">
        <f t="shared" si="15"/>
        <v>1040</v>
      </c>
      <c r="B1041" t="s">
        <v>71</v>
      </c>
      <c r="C1041">
        <v>344.26</v>
      </c>
      <c r="D1041">
        <v>243.73</v>
      </c>
      <c r="E1041">
        <v>0</v>
      </c>
      <c r="K1041">
        <v>2.385E-3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</row>
    <row r="1042" spans="1:20">
      <c r="A1042">
        <f t="shared" si="15"/>
        <v>1041</v>
      </c>
      <c r="B1042" t="s">
        <v>71</v>
      </c>
      <c r="C1042">
        <v>344.26</v>
      </c>
      <c r="D1042">
        <v>339.56</v>
      </c>
      <c r="E1042">
        <v>0</v>
      </c>
      <c r="K1042">
        <v>2.7699999999999999E-3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</row>
    <row r="1043" spans="1:20">
      <c r="A1043">
        <f t="shared" si="15"/>
        <v>1042</v>
      </c>
      <c r="B1043" t="s">
        <v>71</v>
      </c>
      <c r="C1043">
        <v>344.26</v>
      </c>
      <c r="D1043">
        <v>449.88</v>
      </c>
      <c r="E1043">
        <v>0</v>
      </c>
      <c r="K1043">
        <v>3.4199999999999999E-3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</row>
    <row r="1044" spans="1:20">
      <c r="A1044">
        <f t="shared" si="15"/>
        <v>1043</v>
      </c>
      <c r="B1044" t="s">
        <v>71</v>
      </c>
      <c r="C1044">
        <v>344.26</v>
      </c>
      <c r="D1044">
        <v>566.74</v>
      </c>
      <c r="E1044">
        <v>0</v>
      </c>
      <c r="K1044">
        <v>3.7499999999999999E-3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</row>
    <row r="1045" spans="1:20">
      <c r="A1045">
        <f t="shared" si="15"/>
        <v>1044</v>
      </c>
      <c r="B1045" t="s">
        <v>71</v>
      </c>
      <c r="C1045">
        <v>344.26</v>
      </c>
      <c r="D1045">
        <v>680.16</v>
      </c>
      <c r="E1045">
        <v>0</v>
      </c>
      <c r="K1045">
        <v>4.2399999999999998E-3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</row>
    <row r="1046" spans="1:20">
      <c r="A1046">
        <f t="shared" si="15"/>
        <v>1045</v>
      </c>
      <c r="B1046" t="s">
        <v>71</v>
      </c>
      <c r="C1046">
        <v>377.59</v>
      </c>
      <c r="D1046">
        <v>22.96</v>
      </c>
      <c r="E1046">
        <v>0</v>
      </c>
      <c r="K1046">
        <v>3.2299999999999999E-4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</row>
    <row r="1047" spans="1:20">
      <c r="A1047">
        <f t="shared" si="15"/>
        <v>1046</v>
      </c>
      <c r="B1047" t="s">
        <v>71</v>
      </c>
      <c r="C1047">
        <v>377.59</v>
      </c>
      <c r="D1047">
        <v>32.130000000000003</v>
      </c>
      <c r="E1047">
        <v>0</v>
      </c>
      <c r="K1047">
        <v>4.3199999999999998E-4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</row>
    <row r="1048" spans="1:20">
      <c r="A1048">
        <f t="shared" si="15"/>
        <v>1047</v>
      </c>
      <c r="B1048" t="s">
        <v>71</v>
      </c>
      <c r="C1048">
        <v>377.59</v>
      </c>
      <c r="D1048">
        <v>32.270000000000003</v>
      </c>
      <c r="E1048">
        <v>0</v>
      </c>
      <c r="K1048">
        <v>4.7199999999999998E-4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</row>
    <row r="1049" spans="1:20">
      <c r="A1049">
        <f t="shared" si="15"/>
        <v>1048</v>
      </c>
      <c r="B1049" t="s">
        <v>71</v>
      </c>
      <c r="C1049">
        <v>377.59</v>
      </c>
      <c r="D1049">
        <v>44.95</v>
      </c>
      <c r="E1049">
        <v>0</v>
      </c>
      <c r="K1049">
        <v>6.11E-4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</row>
    <row r="1050" spans="1:20">
      <c r="A1050">
        <f t="shared" si="15"/>
        <v>1049</v>
      </c>
      <c r="B1050" t="s">
        <v>71</v>
      </c>
      <c r="C1050">
        <v>377.59</v>
      </c>
      <c r="D1050">
        <v>65.150000000000006</v>
      </c>
      <c r="E1050">
        <v>0</v>
      </c>
      <c r="K1050">
        <v>8.8599999999999996E-4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</row>
    <row r="1051" spans="1:20">
      <c r="A1051">
        <f t="shared" si="15"/>
        <v>1050</v>
      </c>
      <c r="B1051" t="s">
        <v>71</v>
      </c>
      <c r="C1051">
        <v>377.59</v>
      </c>
      <c r="D1051">
        <v>90.32</v>
      </c>
      <c r="E1051">
        <v>0</v>
      </c>
      <c r="K1051">
        <v>1.188E-3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</row>
    <row r="1052" spans="1:20">
      <c r="A1052">
        <f t="shared" si="15"/>
        <v>1051</v>
      </c>
      <c r="B1052" t="s">
        <v>71</v>
      </c>
      <c r="C1052">
        <v>377.59</v>
      </c>
      <c r="D1052">
        <v>131</v>
      </c>
      <c r="E1052">
        <v>0</v>
      </c>
      <c r="K1052">
        <v>1.56E-3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</row>
    <row r="1053" spans="1:20">
      <c r="A1053">
        <f t="shared" si="15"/>
        <v>1052</v>
      </c>
      <c r="B1053" t="s">
        <v>71</v>
      </c>
      <c r="C1053">
        <v>377.59</v>
      </c>
      <c r="D1053">
        <v>174.78</v>
      </c>
      <c r="E1053">
        <v>0</v>
      </c>
      <c r="K1053">
        <v>1.98E-3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</row>
    <row r="1054" spans="1:20">
      <c r="A1054">
        <f t="shared" si="15"/>
        <v>1053</v>
      </c>
      <c r="B1054" t="s">
        <v>71</v>
      </c>
      <c r="C1054">
        <v>377.59</v>
      </c>
      <c r="D1054">
        <v>246.14</v>
      </c>
      <c r="E1054">
        <v>0</v>
      </c>
      <c r="K1054">
        <v>2.5100000000000001E-3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</row>
    <row r="1055" spans="1:20">
      <c r="A1055">
        <f t="shared" si="15"/>
        <v>1054</v>
      </c>
      <c r="B1055" t="s">
        <v>71</v>
      </c>
      <c r="C1055">
        <v>377.59</v>
      </c>
      <c r="D1055">
        <v>342.32</v>
      </c>
      <c r="E1055">
        <v>0</v>
      </c>
      <c r="K1055">
        <v>3.14E-3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</row>
    <row r="1056" spans="1:20">
      <c r="A1056">
        <f t="shared" si="15"/>
        <v>1055</v>
      </c>
      <c r="B1056" t="s">
        <v>71</v>
      </c>
      <c r="C1056">
        <v>377.59</v>
      </c>
      <c r="D1056">
        <v>449.88</v>
      </c>
      <c r="E1056">
        <v>0</v>
      </c>
      <c r="K1056">
        <v>3.6099999999999999E-3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</row>
    <row r="1057" spans="1:20">
      <c r="A1057">
        <f t="shared" si="15"/>
        <v>1056</v>
      </c>
      <c r="B1057" t="s">
        <v>71</v>
      </c>
      <c r="C1057">
        <v>377.59</v>
      </c>
      <c r="D1057">
        <v>564.66999999999996</v>
      </c>
      <c r="E1057">
        <v>0</v>
      </c>
      <c r="K1057">
        <v>4.0800000000000003E-3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</row>
    <row r="1058" spans="1:20">
      <c r="A1058">
        <f t="shared" si="15"/>
        <v>1057</v>
      </c>
      <c r="B1058" t="s">
        <v>71</v>
      </c>
      <c r="C1058">
        <v>377.59</v>
      </c>
      <c r="D1058">
        <v>680.85</v>
      </c>
      <c r="E1058">
        <v>0</v>
      </c>
      <c r="K1058">
        <v>4.5100000000000001E-3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</row>
    <row r="1059" spans="1:20">
      <c r="A1059">
        <f t="shared" si="15"/>
        <v>1058</v>
      </c>
      <c r="B1059" t="s">
        <v>71</v>
      </c>
      <c r="C1059">
        <v>410.93</v>
      </c>
      <c r="D1059">
        <v>23.17</v>
      </c>
      <c r="E1059">
        <v>0</v>
      </c>
      <c r="K1059">
        <v>3.2600000000000001E-4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</row>
    <row r="1060" spans="1:20">
      <c r="A1060">
        <f t="shared" si="15"/>
        <v>1059</v>
      </c>
      <c r="B1060" t="s">
        <v>71</v>
      </c>
      <c r="C1060">
        <v>410.93</v>
      </c>
      <c r="D1060">
        <v>31.99</v>
      </c>
      <c r="E1060">
        <v>0</v>
      </c>
      <c r="K1060">
        <v>4.6000000000000001E-4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</row>
    <row r="1061" spans="1:20">
      <c r="A1061">
        <f t="shared" si="15"/>
        <v>1060</v>
      </c>
      <c r="B1061" t="s">
        <v>71</v>
      </c>
      <c r="C1061">
        <v>410.93</v>
      </c>
      <c r="D1061">
        <v>45.09</v>
      </c>
      <c r="E1061">
        <v>0</v>
      </c>
      <c r="K1061">
        <v>6.7299999999999999E-4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</row>
    <row r="1062" spans="1:20">
      <c r="A1062">
        <f t="shared" ref="A1062:A1125" si="16">A1061+1</f>
        <v>1061</v>
      </c>
      <c r="B1062" t="s">
        <v>71</v>
      </c>
      <c r="C1062">
        <v>410.93</v>
      </c>
      <c r="D1062">
        <v>64.88</v>
      </c>
      <c r="E1062">
        <v>0</v>
      </c>
      <c r="K1062">
        <v>9.3800000000000003E-4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</row>
    <row r="1063" spans="1:20">
      <c r="A1063">
        <f t="shared" si="16"/>
        <v>1062</v>
      </c>
      <c r="B1063" t="s">
        <v>71</v>
      </c>
      <c r="C1063">
        <v>410.93</v>
      </c>
      <c r="D1063">
        <v>90.32</v>
      </c>
      <c r="E1063">
        <v>0</v>
      </c>
      <c r="K1063">
        <v>1.3259999999999999E-3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</row>
    <row r="1064" spans="1:20">
      <c r="A1064">
        <f t="shared" si="16"/>
        <v>1063</v>
      </c>
      <c r="B1064" t="s">
        <v>71</v>
      </c>
      <c r="C1064">
        <v>410.93</v>
      </c>
      <c r="D1064">
        <v>131</v>
      </c>
      <c r="E1064">
        <v>0</v>
      </c>
      <c r="K1064">
        <v>1.8569999999999999E-3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</row>
    <row r="1065" spans="1:20">
      <c r="A1065">
        <f t="shared" si="16"/>
        <v>1064</v>
      </c>
      <c r="B1065" t="s">
        <v>71</v>
      </c>
      <c r="C1065">
        <v>410.93</v>
      </c>
      <c r="D1065">
        <v>170.99</v>
      </c>
      <c r="E1065">
        <v>0</v>
      </c>
      <c r="K1065">
        <v>2.346E-3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</row>
    <row r="1066" spans="1:20">
      <c r="A1066">
        <f t="shared" si="16"/>
        <v>1065</v>
      </c>
      <c r="B1066" t="s">
        <v>71</v>
      </c>
      <c r="C1066">
        <v>410.93</v>
      </c>
      <c r="D1066">
        <v>245.1</v>
      </c>
      <c r="E1066">
        <v>0</v>
      </c>
      <c r="K1066">
        <v>3.0149999999999999E-3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</row>
    <row r="1067" spans="1:20">
      <c r="A1067">
        <f t="shared" si="16"/>
        <v>1066</v>
      </c>
      <c r="B1067" t="s">
        <v>71</v>
      </c>
      <c r="C1067">
        <v>410.93</v>
      </c>
      <c r="D1067">
        <v>343.01</v>
      </c>
      <c r="E1067">
        <v>0</v>
      </c>
      <c r="K1067">
        <v>3.8049999999999998E-3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</row>
    <row r="1068" spans="1:20">
      <c r="A1068">
        <f t="shared" si="16"/>
        <v>1067</v>
      </c>
      <c r="B1068" t="s">
        <v>71</v>
      </c>
      <c r="C1068">
        <v>410.93</v>
      </c>
      <c r="D1068">
        <v>449.88</v>
      </c>
      <c r="E1068">
        <v>0</v>
      </c>
      <c r="K1068">
        <v>4.4900000000000001E-3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</row>
    <row r="1069" spans="1:20">
      <c r="A1069">
        <f t="shared" si="16"/>
        <v>1068</v>
      </c>
      <c r="B1069" t="s">
        <v>71</v>
      </c>
      <c r="C1069">
        <v>410.93</v>
      </c>
      <c r="D1069">
        <v>570.19000000000005</v>
      </c>
      <c r="E1069">
        <v>0</v>
      </c>
      <c r="K1069">
        <v>5.1799999999999997E-3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</row>
    <row r="1070" spans="1:20">
      <c r="A1070">
        <f t="shared" si="16"/>
        <v>1069</v>
      </c>
      <c r="B1070" t="s">
        <v>71</v>
      </c>
      <c r="C1070">
        <v>410.93</v>
      </c>
      <c r="D1070">
        <v>678.09</v>
      </c>
      <c r="E1070">
        <v>0</v>
      </c>
      <c r="K1070">
        <v>5.7400000000000003E-3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</row>
    <row r="1071" spans="1:20">
      <c r="A1071">
        <f t="shared" si="16"/>
        <v>1070</v>
      </c>
      <c r="B1071" t="s">
        <v>71</v>
      </c>
      <c r="C1071">
        <v>444.26</v>
      </c>
      <c r="D1071">
        <v>22.27</v>
      </c>
      <c r="E1071">
        <v>0</v>
      </c>
      <c r="K1071">
        <v>3.2299999999999999E-4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</row>
    <row r="1072" spans="1:20">
      <c r="A1072">
        <f t="shared" si="16"/>
        <v>1071</v>
      </c>
      <c r="B1072" t="s">
        <v>71</v>
      </c>
      <c r="C1072">
        <v>444.26</v>
      </c>
      <c r="D1072">
        <v>32.75</v>
      </c>
      <c r="E1072">
        <v>0</v>
      </c>
      <c r="K1072">
        <v>5.3499999999999999E-4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</row>
    <row r="1073" spans="1:20">
      <c r="A1073">
        <f t="shared" si="16"/>
        <v>1072</v>
      </c>
      <c r="B1073" t="s">
        <v>71</v>
      </c>
      <c r="C1073">
        <v>444.26</v>
      </c>
      <c r="D1073">
        <v>45.64</v>
      </c>
      <c r="E1073">
        <v>0</v>
      </c>
      <c r="K1073">
        <v>7.8899999999999999E-4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</row>
    <row r="1074" spans="1:20">
      <c r="A1074">
        <f t="shared" si="16"/>
        <v>1073</v>
      </c>
      <c r="B1074" t="s">
        <v>71</v>
      </c>
      <c r="C1074">
        <v>444.26</v>
      </c>
      <c r="D1074">
        <v>65.430000000000007</v>
      </c>
      <c r="E1074">
        <v>0</v>
      </c>
      <c r="K1074">
        <v>1.15E-3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</row>
    <row r="1075" spans="1:20">
      <c r="A1075">
        <f t="shared" si="16"/>
        <v>1074</v>
      </c>
      <c r="B1075" t="s">
        <v>71</v>
      </c>
      <c r="C1075">
        <v>444.26</v>
      </c>
      <c r="D1075">
        <v>93.77</v>
      </c>
      <c r="E1075">
        <v>0</v>
      </c>
      <c r="K1075">
        <v>1.725E-3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</row>
    <row r="1076" spans="1:20">
      <c r="A1076">
        <f t="shared" si="16"/>
        <v>1075</v>
      </c>
      <c r="B1076" t="s">
        <v>71</v>
      </c>
      <c r="C1076">
        <v>444.26</v>
      </c>
      <c r="D1076">
        <v>132.38</v>
      </c>
      <c r="E1076">
        <v>0</v>
      </c>
      <c r="K1076">
        <v>2.3549999999999999E-3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</row>
    <row r="1077" spans="1:20">
      <c r="A1077">
        <f t="shared" si="16"/>
        <v>1076</v>
      </c>
      <c r="B1077" t="s">
        <v>71</v>
      </c>
      <c r="C1077">
        <v>444.26</v>
      </c>
      <c r="D1077">
        <v>177.88</v>
      </c>
      <c r="E1077">
        <v>0</v>
      </c>
      <c r="K1077">
        <v>3.0249999999999999E-3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</row>
    <row r="1078" spans="1:20">
      <c r="A1078">
        <f t="shared" si="16"/>
        <v>1077</v>
      </c>
      <c r="B1078" t="s">
        <v>71</v>
      </c>
      <c r="C1078">
        <v>444.26</v>
      </c>
      <c r="D1078">
        <v>246.83</v>
      </c>
      <c r="E1078">
        <v>0</v>
      </c>
      <c r="K1078">
        <v>3.8349999999999999E-3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</row>
    <row r="1079" spans="1:20">
      <c r="A1079">
        <f t="shared" si="16"/>
        <v>1078</v>
      </c>
      <c r="B1079" t="s">
        <v>71</v>
      </c>
      <c r="C1079">
        <v>444.26</v>
      </c>
      <c r="D1079">
        <v>347.84</v>
      </c>
      <c r="E1079">
        <v>0</v>
      </c>
      <c r="K1079">
        <v>4.875E-3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</row>
    <row r="1080" spans="1:20">
      <c r="A1080">
        <f t="shared" si="16"/>
        <v>1079</v>
      </c>
      <c r="B1080" t="s">
        <v>71</v>
      </c>
      <c r="C1080">
        <v>444.26</v>
      </c>
      <c r="D1080">
        <v>449.88</v>
      </c>
      <c r="E1080">
        <v>0</v>
      </c>
      <c r="K1080">
        <v>5.9500000000000004E-3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</row>
    <row r="1081" spans="1:20">
      <c r="A1081">
        <f t="shared" si="16"/>
        <v>1080</v>
      </c>
      <c r="B1081" t="s">
        <v>71</v>
      </c>
      <c r="C1081">
        <v>444.26</v>
      </c>
      <c r="D1081">
        <v>566.04999999999995</v>
      </c>
      <c r="E1081">
        <v>0</v>
      </c>
      <c r="K1081">
        <v>6.7999999999999996E-3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</row>
    <row r="1082" spans="1:20">
      <c r="A1082">
        <f t="shared" si="16"/>
        <v>1081</v>
      </c>
      <c r="B1082" t="s">
        <v>71</v>
      </c>
      <c r="C1082">
        <v>444.26</v>
      </c>
      <c r="D1082">
        <v>689.12</v>
      </c>
      <c r="E1082">
        <v>0</v>
      </c>
      <c r="K1082">
        <v>7.7499999999999999E-3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</row>
    <row r="1083" spans="1:20">
      <c r="A1083">
        <f t="shared" si="16"/>
        <v>1082</v>
      </c>
      <c r="B1083" t="s">
        <v>72</v>
      </c>
      <c r="C1083">
        <v>298.14999999999998</v>
      </c>
      <c r="D1083">
        <v>40.6</v>
      </c>
      <c r="E1083">
        <v>0</v>
      </c>
      <c r="K1083">
        <v>8.1000000000000006E-4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</row>
    <row r="1084" spans="1:20">
      <c r="A1084">
        <f t="shared" si="16"/>
        <v>1083</v>
      </c>
      <c r="B1084" t="s">
        <v>72</v>
      </c>
      <c r="C1084">
        <v>298.14999999999998</v>
      </c>
      <c r="D1084">
        <v>46</v>
      </c>
      <c r="E1084">
        <v>0</v>
      </c>
      <c r="K1084">
        <v>8.9999999999999998E-4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</row>
    <row r="1085" spans="1:20">
      <c r="A1085">
        <f t="shared" si="16"/>
        <v>1084</v>
      </c>
      <c r="B1085" t="s">
        <v>72</v>
      </c>
      <c r="C1085">
        <v>298.14999999999998</v>
      </c>
      <c r="D1085">
        <v>81.3</v>
      </c>
      <c r="E1085">
        <v>0</v>
      </c>
      <c r="K1085">
        <v>1.2800000000000001E-3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</row>
    <row r="1086" spans="1:20">
      <c r="A1086">
        <f t="shared" si="16"/>
        <v>1085</v>
      </c>
      <c r="B1086" t="s">
        <v>72</v>
      </c>
      <c r="C1086">
        <v>298.14999999999998</v>
      </c>
      <c r="D1086">
        <v>112</v>
      </c>
      <c r="E1086">
        <v>0</v>
      </c>
      <c r="K1086">
        <v>1.58E-3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</row>
    <row r="1087" spans="1:20">
      <c r="A1087">
        <f t="shared" si="16"/>
        <v>1086</v>
      </c>
      <c r="B1087" t="s">
        <v>72</v>
      </c>
      <c r="C1087">
        <v>298.14999999999998</v>
      </c>
      <c r="D1087">
        <v>145.9</v>
      </c>
      <c r="E1087">
        <v>0</v>
      </c>
      <c r="K1087">
        <v>1.8700000000000001E-3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</row>
    <row r="1088" spans="1:20">
      <c r="A1088">
        <f t="shared" si="16"/>
        <v>1087</v>
      </c>
      <c r="B1088" t="s">
        <v>72</v>
      </c>
      <c r="C1088">
        <v>298.14999999999998</v>
      </c>
      <c r="D1088">
        <v>176.5</v>
      </c>
      <c r="E1088">
        <v>0</v>
      </c>
      <c r="K1088">
        <v>2.1000000000000003E-3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</row>
    <row r="1089" spans="1:20">
      <c r="A1089">
        <f t="shared" si="16"/>
        <v>1088</v>
      </c>
      <c r="B1089" t="s">
        <v>72</v>
      </c>
      <c r="C1089">
        <v>298.14999999999998</v>
      </c>
      <c r="D1089">
        <v>204.9</v>
      </c>
      <c r="E1089">
        <v>0</v>
      </c>
      <c r="K1089">
        <v>2.2799999999999999E-3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</row>
    <row r="1090" spans="1:20">
      <c r="A1090">
        <f t="shared" si="16"/>
        <v>1089</v>
      </c>
      <c r="B1090" t="s">
        <v>72</v>
      </c>
      <c r="C1090">
        <v>298.14999999999998</v>
      </c>
      <c r="D1090">
        <v>330.8</v>
      </c>
      <c r="E1090">
        <v>0</v>
      </c>
      <c r="K1090">
        <v>2.6800000000000001E-3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</row>
    <row r="1091" spans="1:20">
      <c r="A1091">
        <f t="shared" si="16"/>
        <v>1090</v>
      </c>
      <c r="B1091" t="s">
        <v>72</v>
      </c>
      <c r="C1091">
        <v>298.14999999999998</v>
      </c>
      <c r="D1091">
        <v>469.1</v>
      </c>
      <c r="E1091">
        <v>0</v>
      </c>
      <c r="K1091">
        <v>2.97E-3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</row>
    <row r="1092" spans="1:20">
      <c r="A1092">
        <f t="shared" si="16"/>
        <v>1091</v>
      </c>
      <c r="B1092" t="s">
        <v>72</v>
      </c>
      <c r="C1092">
        <v>298.14999999999998</v>
      </c>
      <c r="D1092">
        <v>49.6</v>
      </c>
      <c r="E1092">
        <v>0</v>
      </c>
      <c r="K1092">
        <v>7.1999999999999994E-4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</row>
    <row r="1093" spans="1:20">
      <c r="A1093">
        <f t="shared" si="16"/>
        <v>1092</v>
      </c>
      <c r="B1093" t="s">
        <v>72</v>
      </c>
      <c r="C1093">
        <v>298.14999999999998</v>
      </c>
      <c r="D1093">
        <v>82.3</v>
      </c>
      <c r="E1093">
        <v>0</v>
      </c>
      <c r="K1093">
        <v>1.1200000000000001E-3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</row>
    <row r="1094" spans="1:20">
      <c r="A1094">
        <f t="shared" si="16"/>
        <v>1093</v>
      </c>
      <c r="B1094" t="s">
        <v>72</v>
      </c>
      <c r="C1094">
        <v>298.14999999999998</v>
      </c>
      <c r="D1094">
        <v>113.1</v>
      </c>
      <c r="E1094">
        <v>0</v>
      </c>
      <c r="K1094">
        <v>1.4199999999999998E-3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</row>
    <row r="1095" spans="1:20">
      <c r="A1095">
        <f t="shared" si="16"/>
        <v>1094</v>
      </c>
      <c r="B1095" t="s">
        <v>72</v>
      </c>
      <c r="C1095">
        <v>298.14999999999998</v>
      </c>
      <c r="D1095">
        <v>145.6</v>
      </c>
      <c r="E1095">
        <v>0</v>
      </c>
      <c r="K1095">
        <v>1.6899999999999999E-3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</row>
    <row r="1096" spans="1:20">
      <c r="A1096">
        <f t="shared" si="16"/>
        <v>1095</v>
      </c>
      <c r="B1096" t="s">
        <v>72</v>
      </c>
      <c r="C1096">
        <v>298.14999999999998</v>
      </c>
      <c r="D1096">
        <v>176.5</v>
      </c>
      <c r="E1096">
        <v>0</v>
      </c>
      <c r="K1096">
        <v>1.9E-3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</row>
    <row r="1097" spans="1:20">
      <c r="A1097">
        <f t="shared" si="16"/>
        <v>1096</v>
      </c>
      <c r="B1097" t="s">
        <v>72</v>
      </c>
      <c r="C1097">
        <v>298.14999999999998</v>
      </c>
      <c r="D1097">
        <v>208.2</v>
      </c>
      <c r="E1097">
        <v>0</v>
      </c>
      <c r="K1097">
        <v>2.0699999999999998E-3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</row>
    <row r="1098" spans="1:20">
      <c r="A1098">
        <f t="shared" si="16"/>
        <v>1097</v>
      </c>
      <c r="B1098" t="s">
        <v>72</v>
      </c>
      <c r="C1098">
        <v>298.14999999999998</v>
      </c>
      <c r="D1098">
        <v>44.3</v>
      </c>
      <c r="E1098">
        <v>0</v>
      </c>
      <c r="K1098">
        <v>6.0999999999999997E-4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</row>
    <row r="1099" spans="1:20">
      <c r="A1099">
        <f t="shared" si="16"/>
        <v>1098</v>
      </c>
      <c r="B1099" t="s">
        <v>72</v>
      </c>
      <c r="C1099">
        <v>298.14999999999998</v>
      </c>
      <c r="D1099">
        <v>79.2</v>
      </c>
      <c r="E1099">
        <v>0</v>
      </c>
      <c r="K1099">
        <v>1.01E-3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</row>
    <row r="1100" spans="1:20">
      <c r="A1100">
        <f t="shared" si="16"/>
        <v>1099</v>
      </c>
      <c r="B1100" t="s">
        <v>72</v>
      </c>
      <c r="C1100">
        <v>298.14999999999998</v>
      </c>
      <c r="D1100">
        <v>114.5</v>
      </c>
      <c r="E1100">
        <v>0</v>
      </c>
      <c r="K1100">
        <v>1.33E-3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</row>
    <row r="1101" spans="1:20">
      <c r="A1101">
        <f t="shared" si="16"/>
        <v>1100</v>
      </c>
      <c r="B1101" t="s">
        <v>72</v>
      </c>
      <c r="C1101">
        <v>298.14999999999998</v>
      </c>
      <c r="D1101">
        <v>148.1</v>
      </c>
      <c r="E1101">
        <v>0</v>
      </c>
      <c r="K1101">
        <v>1.57E-3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</row>
    <row r="1102" spans="1:20">
      <c r="A1102">
        <f t="shared" si="16"/>
        <v>1101</v>
      </c>
      <c r="B1102" t="s">
        <v>72</v>
      </c>
      <c r="C1102">
        <v>298.14999999999998</v>
      </c>
      <c r="D1102">
        <v>176.2</v>
      </c>
      <c r="E1102">
        <v>0</v>
      </c>
      <c r="K1102">
        <v>1.74E-3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</row>
    <row r="1103" spans="1:20">
      <c r="A1103">
        <f t="shared" si="16"/>
        <v>1102</v>
      </c>
      <c r="B1103" t="s">
        <v>72</v>
      </c>
      <c r="C1103">
        <v>298.14999999999998</v>
      </c>
      <c r="D1103">
        <v>208</v>
      </c>
      <c r="E1103">
        <v>0</v>
      </c>
      <c r="K1103">
        <v>1.9299999999999999E-3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</row>
    <row r="1104" spans="1:20">
      <c r="A1104">
        <f t="shared" si="16"/>
        <v>1103</v>
      </c>
      <c r="B1104" t="s">
        <v>72</v>
      </c>
      <c r="C1104">
        <v>298.14999999999998</v>
      </c>
      <c r="D1104">
        <v>49</v>
      </c>
      <c r="E1104">
        <v>0</v>
      </c>
      <c r="K1104">
        <v>6.6E-4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</row>
    <row r="1105" spans="1:20">
      <c r="A1105">
        <f t="shared" si="16"/>
        <v>1104</v>
      </c>
      <c r="B1105" t="s">
        <v>72</v>
      </c>
      <c r="C1105">
        <v>298.14999999999998</v>
      </c>
      <c r="D1105">
        <v>82</v>
      </c>
      <c r="E1105">
        <v>0</v>
      </c>
      <c r="K1105">
        <v>1.01E-3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</row>
    <row r="1106" spans="1:20">
      <c r="A1106">
        <f t="shared" si="16"/>
        <v>1105</v>
      </c>
      <c r="B1106" t="s">
        <v>72</v>
      </c>
      <c r="C1106">
        <v>298.14999999999998</v>
      </c>
      <c r="D1106">
        <v>113</v>
      </c>
      <c r="E1106">
        <v>0</v>
      </c>
      <c r="K1106">
        <v>1.2700000000000001E-3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</row>
    <row r="1107" spans="1:20">
      <c r="A1107">
        <f t="shared" si="16"/>
        <v>1106</v>
      </c>
      <c r="B1107" t="s">
        <v>72</v>
      </c>
      <c r="C1107">
        <v>298.14999999999998</v>
      </c>
      <c r="D1107">
        <v>148.30000000000001</v>
      </c>
      <c r="E1107">
        <v>0</v>
      </c>
      <c r="K1107">
        <v>1.5200000000000001E-3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</row>
    <row r="1108" spans="1:20">
      <c r="A1108">
        <f t="shared" si="16"/>
        <v>1107</v>
      </c>
      <c r="B1108" t="s">
        <v>72</v>
      </c>
      <c r="C1108">
        <v>298.14999999999998</v>
      </c>
      <c r="D1108">
        <v>180.5</v>
      </c>
      <c r="E1108">
        <v>0</v>
      </c>
      <c r="K1108">
        <v>1.7099999999999999E-3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</row>
    <row r="1109" spans="1:20">
      <c r="A1109">
        <f t="shared" si="16"/>
        <v>1108</v>
      </c>
      <c r="B1109" t="s">
        <v>72</v>
      </c>
      <c r="C1109">
        <v>298.14999999999998</v>
      </c>
      <c r="D1109">
        <v>209.2</v>
      </c>
      <c r="E1109">
        <v>0</v>
      </c>
      <c r="K1109">
        <v>1.8400000000000001E-3</v>
      </c>
      <c r="N1109">
        <v>0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</row>
    <row r="1110" spans="1:20">
      <c r="A1110">
        <f t="shared" si="16"/>
        <v>1109</v>
      </c>
      <c r="B1110" t="s">
        <v>72</v>
      </c>
      <c r="C1110">
        <v>298.14999999999998</v>
      </c>
      <c r="D1110">
        <v>49</v>
      </c>
      <c r="E1110">
        <v>0</v>
      </c>
      <c r="K1110">
        <v>6.4000000000000005E-4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</row>
    <row r="1111" spans="1:20">
      <c r="A1111">
        <f t="shared" si="16"/>
        <v>1110</v>
      </c>
      <c r="B1111" t="s">
        <v>72</v>
      </c>
      <c r="C1111">
        <v>298.14999999999998</v>
      </c>
      <c r="D1111">
        <v>82.1</v>
      </c>
      <c r="E1111">
        <v>0</v>
      </c>
      <c r="K1111">
        <v>9.7999999999999997E-4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</row>
    <row r="1112" spans="1:20">
      <c r="A1112">
        <f t="shared" si="16"/>
        <v>1111</v>
      </c>
      <c r="B1112" t="s">
        <v>72</v>
      </c>
      <c r="C1112">
        <v>298.14999999999998</v>
      </c>
      <c r="D1112">
        <v>113</v>
      </c>
      <c r="E1112">
        <v>0</v>
      </c>
      <c r="K1112">
        <v>1.24E-3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</row>
    <row r="1113" spans="1:20">
      <c r="A1113">
        <f t="shared" si="16"/>
        <v>1112</v>
      </c>
      <c r="B1113" t="s">
        <v>72</v>
      </c>
      <c r="C1113">
        <v>298.14999999999998</v>
      </c>
      <c r="D1113">
        <v>150</v>
      </c>
      <c r="E1113">
        <v>0</v>
      </c>
      <c r="K1113">
        <v>1.5E-3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</row>
    <row r="1114" spans="1:20">
      <c r="A1114">
        <f t="shared" si="16"/>
        <v>1113</v>
      </c>
      <c r="B1114" t="s">
        <v>72</v>
      </c>
      <c r="C1114">
        <v>298.14999999999998</v>
      </c>
      <c r="D1114">
        <v>181.1</v>
      </c>
      <c r="E1114">
        <v>0</v>
      </c>
      <c r="K1114">
        <v>1.66E-3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</row>
    <row r="1115" spans="1:20">
      <c r="A1115">
        <f t="shared" si="16"/>
        <v>1114</v>
      </c>
      <c r="B1115" t="s">
        <v>72</v>
      </c>
      <c r="C1115">
        <v>298.14999999999998</v>
      </c>
      <c r="D1115">
        <v>212.3</v>
      </c>
      <c r="E1115">
        <v>0</v>
      </c>
      <c r="K1115">
        <v>1.7900000000000001E-3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</row>
    <row r="1116" spans="1:20">
      <c r="A1116">
        <f t="shared" si="16"/>
        <v>1115</v>
      </c>
      <c r="B1116" t="s">
        <v>72</v>
      </c>
      <c r="C1116">
        <v>298.14999999999998</v>
      </c>
      <c r="D1116">
        <v>47.1</v>
      </c>
      <c r="E1116">
        <v>0</v>
      </c>
      <c r="K1116">
        <v>6.2E-4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</row>
    <row r="1117" spans="1:20">
      <c r="A1117">
        <f t="shared" si="16"/>
        <v>1116</v>
      </c>
      <c r="B1117" t="s">
        <v>72</v>
      </c>
      <c r="C1117">
        <v>298.14999999999998</v>
      </c>
      <c r="D1117">
        <v>81.7</v>
      </c>
      <c r="E1117">
        <v>0</v>
      </c>
      <c r="K1117">
        <v>9.3000000000000005E-4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</row>
    <row r="1118" spans="1:20">
      <c r="A1118">
        <f t="shared" si="16"/>
        <v>1117</v>
      </c>
      <c r="B1118" t="s">
        <v>72</v>
      </c>
      <c r="C1118">
        <v>298.14999999999998</v>
      </c>
      <c r="D1118">
        <v>110.8</v>
      </c>
      <c r="E1118">
        <v>0</v>
      </c>
      <c r="K1118">
        <v>1.1899999999999999E-3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</row>
    <row r="1119" spans="1:20">
      <c r="A1119">
        <f t="shared" si="16"/>
        <v>1118</v>
      </c>
      <c r="B1119" t="s">
        <v>72</v>
      </c>
      <c r="C1119">
        <v>298.14999999999998</v>
      </c>
      <c r="D1119">
        <v>145.4</v>
      </c>
      <c r="E1119">
        <v>0</v>
      </c>
      <c r="K1119">
        <v>1.4199999999999998E-3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</row>
    <row r="1120" spans="1:20">
      <c r="A1120">
        <f t="shared" si="16"/>
        <v>1119</v>
      </c>
      <c r="B1120" t="s">
        <v>72</v>
      </c>
      <c r="C1120">
        <v>298.14999999999998</v>
      </c>
      <c r="D1120">
        <v>177.8</v>
      </c>
      <c r="E1120">
        <v>0</v>
      </c>
      <c r="K1120">
        <v>1.6000000000000001E-3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</row>
    <row r="1121" spans="1:20">
      <c r="A1121">
        <f t="shared" si="16"/>
        <v>1120</v>
      </c>
      <c r="B1121" t="s">
        <v>72</v>
      </c>
      <c r="C1121">
        <v>298.14999999999998</v>
      </c>
      <c r="D1121">
        <v>206.1</v>
      </c>
      <c r="E1121">
        <v>0</v>
      </c>
      <c r="K1121">
        <v>1.73E-3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</row>
    <row r="1122" spans="1:20">
      <c r="A1122">
        <f t="shared" si="16"/>
        <v>1121</v>
      </c>
      <c r="B1122" t="s">
        <v>73</v>
      </c>
      <c r="C1122">
        <v>423.2</v>
      </c>
      <c r="D1122">
        <v>9.81</v>
      </c>
      <c r="E1122">
        <v>0</v>
      </c>
      <c r="F1122">
        <v>6.0000000000000053E-2</v>
      </c>
      <c r="K1122">
        <v>1E-3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</row>
    <row r="1123" spans="1:20">
      <c r="A1123">
        <f t="shared" si="16"/>
        <v>1122</v>
      </c>
      <c r="B1123" t="s">
        <v>73</v>
      </c>
      <c r="C1123">
        <v>423.2</v>
      </c>
      <c r="D1123">
        <v>19.61</v>
      </c>
      <c r="E1123">
        <v>0</v>
      </c>
      <c r="F1123">
        <v>3.7000000000000033E-2</v>
      </c>
      <c r="K1123">
        <v>1.8E-3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</row>
    <row r="1124" spans="1:20">
      <c r="A1124">
        <f t="shared" si="16"/>
        <v>1123</v>
      </c>
      <c r="B1124" t="s">
        <v>73</v>
      </c>
      <c r="C1124">
        <v>423.2</v>
      </c>
      <c r="D1124">
        <v>39.229999999999997</v>
      </c>
      <c r="E1124">
        <v>0</v>
      </c>
      <c r="F1124">
        <v>2.200000000000002E-2</v>
      </c>
      <c r="K1124">
        <v>3.0000000000000001E-3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</row>
    <row r="1125" spans="1:20">
      <c r="A1125">
        <f t="shared" si="16"/>
        <v>1124</v>
      </c>
      <c r="B1125" t="s">
        <v>73</v>
      </c>
      <c r="C1125">
        <v>423.2</v>
      </c>
      <c r="D1125">
        <v>58.84</v>
      </c>
      <c r="E1125">
        <v>0</v>
      </c>
      <c r="F1125">
        <v>1.7000000000000015E-2</v>
      </c>
      <c r="K1125">
        <v>4.5999999999999999E-3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</row>
    <row r="1126" spans="1:20">
      <c r="A1126">
        <f t="shared" ref="A1126:A1189" si="17">A1125+1</f>
        <v>1125</v>
      </c>
      <c r="B1126" t="s">
        <v>73</v>
      </c>
      <c r="C1126">
        <v>423.2</v>
      </c>
      <c r="D1126">
        <v>78.45</v>
      </c>
      <c r="E1126">
        <v>0</v>
      </c>
      <c r="F1126">
        <v>1.6499999999999959E-2</v>
      </c>
      <c r="K1126">
        <v>5.5999999999999999E-3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</row>
    <row r="1127" spans="1:20">
      <c r="A1127">
        <f t="shared" si="17"/>
        <v>1126</v>
      </c>
      <c r="B1127" t="s">
        <v>73</v>
      </c>
      <c r="C1127">
        <v>423.2</v>
      </c>
      <c r="D1127">
        <v>98.07</v>
      </c>
      <c r="E1127">
        <v>0</v>
      </c>
      <c r="F1127">
        <v>1.5000000000000013E-2</v>
      </c>
      <c r="K1127">
        <v>5.5999999999999999E-3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</row>
    <row r="1128" spans="1:20">
      <c r="A1128">
        <f t="shared" si="17"/>
        <v>1127</v>
      </c>
      <c r="B1128" t="s">
        <v>73</v>
      </c>
      <c r="C1128">
        <v>473.2</v>
      </c>
      <c r="D1128">
        <v>9.81</v>
      </c>
      <c r="E1128">
        <v>0</v>
      </c>
      <c r="F1128">
        <v>0.18999999999999995</v>
      </c>
      <c r="K1128">
        <v>2E-3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</row>
    <row r="1129" spans="1:20">
      <c r="A1129">
        <f t="shared" si="17"/>
        <v>1128</v>
      </c>
      <c r="B1129" t="s">
        <v>73</v>
      </c>
      <c r="C1129">
        <v>473.2</v>
      </c>
      <c r="D1129">
        <v>19.61</v>
      </c>
      <c r="E1129">
        <v>0</v>
      </c>
      <c r="F1129">
        <v>0.10850000000000004</v>
      </c>
      <c r="K1129">
        <v>3.8E-3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</row>
    <row r="1130" spans="1:20">
      <c r="A1130">
        <f t="shared" si="17"/>
        <v>1129</v>
      </c>
      <c r="B1130" t="s">
        <v>73</v>
      </c>
      <c r="C1130">
        <v>473.2</v>
      </c>
      <c r="D1130">
        <v>39.229999999999997</v>
      </c>
      <c r="E1130">
        <v>0</v>
      </c>
      <c r="F1130">
        <v>6.4999999999999947E-2</v>
      </c>
      <c r="K1130">
        <v>6.7000000000000002E-3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</row>
    <row r="1131" spans="1:20">
      <c r="A1131">
        <f t="shared" si="17"/>
        <v>1130</v>
      </c>
      <c r="B1131" t="s">
        <v>73</v>
      </c>
      <c r="C1131">
        <v>473.2</v>
      </c>
      <c r="D1131">
        <v>58.84</v>
      </c>
      <c r="E1131">
        <v>0</v>
      </c>
      <c r="F1131">
        <v>5.2000000000000046E-2</v>
      </c>
      <c r="K1131">
        <v>8.6999999999999994E-3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</row>
    <row r="1132" spans="1:20">
      <c r="A1132">
        <f t="shared" si="17"/>
        <v>1131</v>
      </c>
      <c r="B1132" t="s">
        <v>73</v>
      </c>
      <c r="C1132">
        <v>473.2</v>
      </c>
      <c r="D1132">
        <v>78.45</v>
      </c>
      <c r="E1132">
        <v>0</v>
      </c>
      <c r="F1132">
        <v>4.5499999999999985E-2</v>
      </c>
      <c r="K1132">
        <v>0.01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</row>
    <row r="1133" spans="1:20">
      <c r="A1133">
        <f t="shared" si="17"/>
        <v>1132</v>
      </c>
      <c r="B1133" t="s">
        <v>73</v>
      </c>
      <c r="C1133">
        <v>473.2</v>
      </c>
      <c r="D1133">
        <v>98.07</v>
      </c>
      <c r="E1133">
        <v>0</v>
      </c>
      <c r="F1133">
        <v>3.7000000000000033E-2</v>
      </c>
      <c r="K1133">
        <v>1.04E-2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</row>
    <row r="1134" spans="1:20">
      <c r="A1134">
        <f t="shared" si="17"/>
        <v>1133</v>
      </c>
      <c r="B1134" t="s">
        <v>73</v>
      </c>
      <c r="C1134">
        <v>523.20000000000005</v>
      </c>
      <c r="D1134">
        <v>9.81</v>
      </c>
      <c r="E1134">
        <v>0</v>
      </c>
      <c r="F1134">
        <v>0.47</v>
      </c>
      <c r="K1134">
        <v>2.5000000000000001E-3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</row>
    <row r="1135" spans="1:20">
      <c r="A1135">
        <f t="shared" si="17"/>
        <v>1134</v>
      </c>
      <c r="B1135" t="s">
        <v>73</v>
      </c>
      <c r="C1135">
        <v>523.20000000000005</v>
      </c>
      <c r="D1135">
        <v>19.61</v>
      </c>
      <c r="E1135">
        <v>0</v>
      </c>
      <c r="F1135">
        <v>0.26700000000000002</v>
      </c>
      <c r="K1135">
        <v>6.3E-3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</row>
    <row r="1136" spans="1:20">
      <c r="A1136">
        <f t="shared" si="17"/>
        <v>1135</v>
      </c>
      <c r="B1136" t="s">
        <v>73</v>
      </c>
      <c r="C1136">
        <v>523.20000000000005</v>
      </c>
      <c r="D1136">
        <v>39.229999999999997</v>
      </c>
      <c r="E1136">
        <v>0</v>
      </c>
      <c r="F1136">
        <v>0.16749999999999998</v>
      </c>
      <c r="K1136">
        <v>1.17E-2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</row>
    <row r="1137" spans="1:20">
      <c r="A1137">
        <f t="shared" si="17"/>
        <v>1136</v>
      </c>
      <c r="B1137" t="s">
        <v>73</v>
      </c>
      <c r="C1137">
        <v>523.20000000000005</v>
      </c>
      <c r="D1137">
        <v>58.84</v>
      </c>
      <c r="E1137">
        <v>0</v>
      </c>
      <c r="F1137">
        <v>0.128</v>
      </c>
      <c r="K1137">
        <v>1.4E-2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</row>
    <row r="1138" spans="1:20">
      <c r="A1138">
        <f t="shared" si="17"/>
        <v>1137</v>
      </c>
      <c r="B1138" t="s">
        <v>73</v>
      </c>
      <c r="C1138">
        <v>523.20000000000005</v>
      </c>
      <c r="D1138">
        <v>78.45</v>
      </c>
      <c r="E1138">
        <v>0</v>
      </c>
      <c r="F1138">
        <v>0.10199999999999998</v>
      </c>
      <c r="K1138">
        <v>1.46E-2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</row>
    <row r="1139" spans="1:20">
      <c r="A1139">
        <f t="shared" si="17"/>
        <v>1138</v>
      </c>
      <c r="B1139" t="s">
        <v>73</v>
      </c>
      <c r="C1139">
        <v>523.20000000000005</v>
      </c>
      <c r="D1139">
        <v>98.07</v>
      </c>
      <c r="E1139">
        <v>0</v>
      </c>
      <c r="F1139">
        <v>8.9999999999999969E-2</v>
      </c>
      <c r="K1139">
        <v>1.5100000000000001E-2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</row>
    <row r="1140" spans="1:20">
      <c r="A1140">
        <f t="shared" si="17"/>
        <v>1139</v>
      </c>
      <c r="B1140" t="s">
        <v>73</v>
      </c>
      <c r="C1140">
        <v>573.20000000000005</v>
      </c>
      <c r="D1140">
        <v>9.81</v>
      </c>
      <c r="E1140">
        <v>0</v>
      </c>
      <c r="F1140">
        <v>0.90500000000000003</v>
      </c>
      <c r="K1140">
        <v>1.5E-3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</row>
    <row r="1141" spans="1:20">
      <c r="A1141">
        <f t="shared" si="17"/>
        <v>1140</v>
      </c>
      <c r="B1141" t="s">
        <v>73</v>
      </c>
      <c r="C1141">
        <v>573.20000000000005</v>
      </c>
      <c r="D1141">
        <v>19.61</v>
      </c>
      <c r="E1141">
        <v>0</v>
      </c>
      <c r="F1141">
        <v>0.56400000000000006</v>
      </c>
      <c r="K1141">
        <v>7.7999999999999996E-3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</row>
    <row r="1142" spans="1:20">
      <c r="A1142">
        <f t="shared" si="17"/>
        <v>1141</v>
      </c>
      <c r="B1142" t="s">
        <v>73</v>
      </c>
      <c r="C1142">
        <v>573.20000000000005</v>
      </c>
      <c r="D1142">
        <v>39.229999999999997</v>
      </c>
      <c r="E1142">
        <v>0</v>
      </c>
      <c r="F1142">
        <v>0.374</v>
      </c>
      <c r="K1142">
        <v>1.8499999999999999E-2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</row>
    <row r="1143" spans="1:20">
      <c r="A1143">
        <f t="shared" si="17"/>
        <v>1142</v>
      </c>
      <c r="B1143" t="s">
        <v>73</v>
      </c>
      <c r="C1143">
        <v>573.20000000000005</v>
      </c>
      <c r="D1143">
        <v>58.84</v>
      </c>
      <c r="E1143">
        <v>0</v>
      </c>
      <c r="F1143">
        <v>0.32099999999999995</v>
      </c>
      <c r="K1143">
        <v>2.6499999999999999E-2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</row>
    <row r="1144" spans="1:20">
      <c r="A1144">
        <f t="shared" si="17"/>
        <v>1143</v>
      </c>
      <c r="B1144" t="s">
        <v>73</v>
      </c>
      <c r="C1144">
        <v>573.20000000000005</v>
      </c>
      <c r="D1144">
        <v>78.45</v>
      </c>
      <c r="E1144">
        <v>0</v>
      </c>
      <c r="F1144">
        <v>0.28500000000000003</v>
      </c>
      <c r="K1144">
        <v>3.4000000000000002E-2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</row>
    <row r="1145" spans="1:20">
      <c r="A1145">
        <f t="shared" si="17"/>
        <v>1144</v>
      </c>
      <c r="B1145" t="s">
        <v>73</v>
      </c>
      <c r="C1145">
        <v>573.20000000000005</v>
      </c>
      <c r="D1145">
        <v>98.07</v>
      </c>
      <c r="E1145">
        <v>0</v>
      </c>
      <c r="F1145">
        <v>0.25</v>
      </c>
      <c r="K1145">
        <v>4.07E-2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</row>
    <row r="1146" spans="1:20">
      <c r="A1146">
        <f t="shared" si="17"/>
        <v>1145</v>
      </c>
      <c r="B1146" t="s">
        <v>73</v>
      </c>
      <c r="C1146">
        <v>603.20000000000005</v>
      </c>
      <c r="D1146">
        <v>19.61</v>
      </c>
      <c r="E1146">
        <v>0</v>
      </c>
      <c r="F1146">
        <v>0.80499999999999994</v>
      </c>
      <c r="K1146">
        <v>0.01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</row>
    <row r="1147" spans="1:20">
      <c r="A1147">
        <f t="shared" si="17"/>
        <v>1146</v>
      </c>
      <c r="B1147" t="s">
        <v>73</v>
      </c>
      <c r="C1147">
        <v>603.20000000000005</v>
      </c>
      <c r="D1147">
        <v>39.229999999999997</v>
      </c>
      <c r="E1147">
        <v>0</v>
      </c>
      <c r="F1147">
        <v>0.58299999999999996</v>
      </c>
      <c r="K1147">
        <v>3.2500000000000001E-2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</row>
    <row r="1148" spans="1:20">
      <c r="A1148">
        <f t="shared" si="17"/>
        <v>1147</v>
      </c>
      <c r="B1148" t="s">
        <v>73</v>
      </c>
      <c r="C1148">
        <v>603.20000000000005</v>
      </c>
      <c r="D1148">
        <v>58.84</v>
      </c>
      <c r="E1148">
        <v>0</v>
      </c>
      <c r="F1148">
        <v>0.496</v>
      </c>
      <c r="K1148">
        <v>4.6399999999999997E-2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</row>
    <row r="1149" spans="1:20">
      <c r="A1149">
        <f t="shared" si="17"/>
        <v>1148</v>
      </c>
      <c r="B1149" t="s">
        <v>73</v>
      </c>
      <c r="C1149">
        <v>603.20000000000005</v>
      </c>
      <c r="D1149">
        <v>78.45</v>
      </c>
      <c r="E1149">
        <v>0</v>
      </c>
      <c r="F1149">
        <v>0.44599999999999995</v>
      </c>
      <c r="K1149">
        <v>5.7200000000000001E-2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</row>
    <row r="1150" spans="1:20">
      <c r="A1150">
        <f t="shared" si="17"/>
        <v>1149</v>
      </c>
      <c r="B1150" t="s">
        <v>73</v>
      </c>
      <c r="C1150">
        <v>603.20000000000005</v>
      </c>
      <c r="D1150">
        <v>98.07</v>
      </c>
      <c r="E1150">
        <v>0</v>
      </c>
      <c r="F1150">
        <v>0.41500000000000004</v>
      </c>
      <c r="K1150">
        <v>6.3500000000000001E-2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</row>
    <row r="1151" spans="1:20">
      <c r="A1151">
        <f t="shared" si="17"/>
        <v>1150</v>
      </c>
      <c r="B1151" t="s">
        <v>73</v>
      </c>
      <c r="C1151">
        <v>603.20000000000005</v>
      </c>
      <c r="D1151">
        <v>102.97</v>
      </c>
      <c r="E1151">
        <v>0</v>
      </c>
      <c r="K1151">
        <v>6.5000000000000002E-2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</row>
    <row r="1152" spans="1:20">
      <c r="A1152">
        <f t="shared" si="17"/>
        <v>1151</v>
      </c>
      <c r="B1152" t="s">
        <v>73</v>
      </c>
      <c r="C1152">
        <v>623.20000000000005</v>
      </c>
      <c r="D1152">
        <v>19.61</v>
      </c>
      <c r="E1152">
        <v>0</v>
      </c>
      <c r="F1152">
        <v>0.92</v>
      </c>
      <c r="K1152">
        <v>5.3E-3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</row>
    <row r="1153" spans="1:20">
      <c r="A1153">
        <f t="shared" si="17"/>
        <v>1152</v>
      </c>
      <c r="B1153" t="s">
        <v>73</v>
      </c>
      <c r="C1153">
        <v>623.20000000000005</v>
      </c>
      <c r="D1153">
        <v>39.229999999999997</v>
      </c>
      <c r="E1153">
        <v>0</v>
      </c>
      <c r="F1153">
        <v>0.76500000000000001</v>
      </c>
      <c r="K1153">
        <v>4.1399999999999999E-2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</row>
    <row r="1154" spans="1:20">
      <c r="A1154">
        <f t="shared" si="17"/>
        <v>1153</v>
      </c>
      <c r="B1154" t="s">
        <v>73</v>
      </c>
      <c r="C1154">
        <v>623.20000000000005</v>
      </c>
      <c r="D1154">
        <v>58.84</v>
      </c>
      <c r="E1154">
        <v>0</v>
      </c>
      <c r="F1154">
        <v>0.70199999999999996</v>
      </c>
      <c r="K1154">
        <v>7.0699999999999999E-2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</row>
    <row r="1155" spans="1:20">
      <c r="A1155">
        <f t="shared" si="17"/>
        <v>1154</v>
      </c>
      <c r="B1155" t="s">
        <v>73</v>
      </c>
      <c r="C1155">
        <v>623.20000000000005</v>
      </c>
      <c r="D1155">
        <v>78.45</v>
      </c>
      <c r="E1155">
        <v>0</v>
      </c>
      <c r="F1155">
        <v>0.68500000000000005</v>
      </c>
      <c r="K1155">
        <v>9.5500000000000002E-2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</row>
    <row r="1156" spans="1:20">
      <c r="A1156">
        <f t="shared" si="17"/>
        <v>1155</v>
      </c>
      <c r="B1156" t="s">
        <v>73</v>
      </c>
      <c r="C1156">
        <v>623.20000000000005</v>
      </c>
      <c r="D1156">
        <v>98.07</v>
      </c>
      <c r="E1156">
        <v>0</v>
      </c>
      <c r="F1156">
        <v>0.66500000000000004</v>
      </c>
      <c r="K1156">
        <v>0.123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</row>
    <row r="1157" spans="1:20">
      <c r="A1157">
        <f t="shared" si="17"/>
        <v>1156</v>
      </c>
      <c r="B1157" t="s">
        <v>73</v>
      </c>
      <c r="C1157">
        <v>623.20000000000005</v>
      </c>
      <c r="D1157">
        <v>102.97</v>
      </c>
      <c r="E1157">
        <v>0</v>
      </c>
      <c r="K1157">
        <v>0.13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</row>
    <row r="1158" spans="1:20">
      <c r="A1158">
        <f t="shared" si="17"/>
        <v>1157</v>
      </c>
      <c r="B1158" t="s">
        <v>73</v>
      </c>
      <c r="C1158">
        <v>623.20000000000005</v>
      </c>
      <c r="D1158">
        <v>113.27</v>
      </c>
      <c r="E1158">
        <v>0</v>
      </c>
      <c r="K1158">
        <v>0.13650000000000001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</row>
    <row r="1159" spans="1:20">
      <c r="A1159">
        <f t="shared" si="17"/>
        <v>1158</v>
      </c>
      <c r="B1159" t="s">
        <v>73</v>
      </c>
      <c r="C1159">
        <v>625.20000000000005</v>
      </c>
      <c r="D1159">
        <v>24.52</v>
      </c>
      <c r="E1159">
        <v>0</v>
      </c>
      <c r="F1159">
        <v>0.86099999999999999</v>
      </c>
      <c r="K1159">
        <v>1.35E-2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</row>
    <row r="1160" spans="1:20">
      <c r="A1160">
        <f t="shared" si="17"/>
        <v>1159</v>
      </c>
      <c r="B1160" t="s">
        <v>73</v>
      </c>
      <c r="C1160">
        <v>625.20000000000005</v>
      </c>
      <c r="D1160">
        <v>29.42</v>
      </c>
      <c r="E1160">
        <v>0</v>
      </c>
      <c r="F1160">
        <v>0.81499999999999995</v>
      </c>
      <c r="K1160">
        <v>2.3E-2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</row>
    <row r="1161" spans="1:20">
      <c r="A1161">
        <f t="shared" si="17"/>
        <v>1160</v>
      </c>
      <c r="B1161" t="s">
        <v>73</v>
      </c>
      <c r="C1161">
        <v>625.20000000000005</v>
      </c>
      <c r="D1161">
        <v>39.229999999999997</v>
      </c>
      <c r="E1161">
        <v>0</v>
      </c>
      <c r="F1161">
        <v>0.77200000000000002</v>
      </c>
      <c r="K1161">
        <v>4.1000000000000002E-2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</row>
    <row r="1162" spans="1:20">
      <c r="A1162">
        <f t="shared" si="17"/>
        <v>1161</v>
      </c>
      <c r="B1162" t="s">
        <v>73</v>
      </c>
      <c r="C1162">
        <v>625.20000000000005</v>
      </c>
      <c r="D1162">
        <v>49.03</v>
      </c>
      <c r="E1162">
        <v>0</v>
      </c>
      <c r="F1162">
        <v>0.751</v>
      </c>
      <c r="K1162">
        <v>5.5E-2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</row>
    <row r="1163" spans="1:20">
      <c r="A1163">
        <f t="shared" si="17"/>
        <v>1162</v>
      </c>
      <c r="B1163" t="s">
        <v>73</v>
      </c>
      <c r="C1163">
        <v>625.20000000000005</v>
      </c>
      <c r="D1163">
        <v>58.84</v>
      </c>
      <c r="E1163">
        <v>0</v>
      </c>
      <c r="F1163">
        <v>0.73399999999999999</v>
      </c>
      <c r="K1163">
        <v>6.6000000000000003E-2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</row>
    <row r="1164" spans="1:20">
      <c r="A1164">
        <f t="shared" si="17"/>
        <v>1163</v>
      </c>
      <c r="B1164" t="s">
        <v>73</v>
      </c>
      <c r="C1164">
        <v>625.20000000000005</v>
      </c>
      <c r="D1164">
        <v>68.650000000000006</v>
      </c>
      <c r="E1164">
        <v>0</v>
      </c>
      <c r="F1164">
        <v>0.72199999999999998</v>
      </c>
      <c r="K1164">
        <v>0.08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</row>
    <row r="1165" spans="1:20">
      <c r="A1165">
        <f t="shared" si="17"/>
        <v>1164</v>
      </c>
      <c r="B1165" t="s">
        <v>73</v>
      </c>
      <c r="C1165">
        <v>625.20000000000005</v>
      </c>
      <c r="D1165">
        <v>78.45</v>
      </c>
      <c r="E1165">
        <v>0</v>
      </c>
      <c r="F1165">
        <v>0.72499999999999998</v>
      </c>
      <c r="K1165">
        <v>0.105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</row>
    <row r="1166" spans="1:20">
      <c r="A1166">
        <f t="shared" si="17"/>
        <v>1165</v>
      </c>
      <c r="B1166" t="s">
        <v>73</v>
      </c>
      <c r="C1166">
        <v>625.20000000000005</v>
      </c>
      <c r="D1166">
        <v>88.26</v>
      </c>
      <c r="E1166">
        <v>0</v>
      </c>
      <c r="F1166">
        <v>0.76900000000000002</v>
      </c>
      <c r="K1166">
        <v>0.125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</row>
    <row r="1167" spans="1:20">
      <c r="A1167">
        <f t="shared" si="17"/>
        <v>1166</v>
      </c>
      <c r="B1167" t="s">
        <v>73</v>
      </c>
      <c r="C1167">
        <v>625.20000000000005</v>
      </c>
      <c r="D1167">
        <v>91.69</v>
      </c>
      <c r="E1167">
        <v>0</v>
      </c>
      <c r="F1167">
        <v>0.82000000000000006</v>
      </c>
      <c r="K1167">
        <v>0.18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</row>
    <row r="1168" spans="1:20">
      <c r="A1168">
        <f t="shared" si="17"/>
        <v>1167</v>
      </c>
      <c r="B1168" t="s">
        <v>73</v>
      </c>
      <c r="C1168">
        <v>625.20000000000005</v>
      </c>
      <c r="D1168">
        <v>97.28</v>
      </c>
      <c r="E1168">
        <v>0</v>
      </c>
      <c r="F1168">
        <v>0.82699999999999996</v>
      </c>
      <c r="K1168">
        <v>0.17299999999999999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</row>
    <row r="1169" spans="1:20">
      <c r="A1169">
        <f t="shared" si="17"/>
        <v>1168</v>
      </c>
      <c r="B1169" t="s">
        <v>73</v>
      </c>
      <c r="C1169">
        <v>625.20000000000005</v>
      </c>
      <c r="D1169">
        <v>98.07</v>
      </c>
      <c r="E1169">
        <v>0</v>
      </c>
      <c r="F1169">
        <v>0.8</v>
      </c>
      <c r="K1169">
        <v>0.125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</row>
    <row r="1170" spans="1:20">
      <c r="A1170">
        <f t="shared" si="17"/>
        <v>1169</v>
      </c>
      <c r="B1170" t="s">
        <v>73</v>
      </c>
      <c r="C1170">
        <v>625.20000000000005</v>
      </c>
      <c r="D1170">
        <v>102.97</v>
      </c>
      <c r="E1170">
        <v>0</v>
      </c>
      <c r="F1170">
        <v>0.76</v>
      </c>
      <c r="K1170">
        <v>8.2000000000000003E-2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</row>
    <row r="1171" spans="1:20">
      <c r="A1171">
        <f t="shared" si="17"/>
        <v>1170</v>
      </c>
      <c r="B1171" t="s">
        <v>73</v>
      </c>
      <c r="C1171">
        <v>625.20000000000005</v>
      </c>
      <c r="D1171">
        <v>113.27</v>
      </c>
      <c r="E1171">
        <v>0</v>
      </c>
      <c r="F1171">
        <v>0.753</v>
      </c>
      <c r="K1171">
        <v>6.8000000000000005E-2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</row>
    <row r="1172" spans="1:20">
      <c r="A1172">
        <f t="shared" si="17"/>
        <v>1171</v>
      </c>
      <c r="B1172" t="s">
        <v>73</v>
      </c>
      <c r="C1172">
        <v>628.20000000000005</v>
      </c>
      <c r="D1172">
        <v>24.52</v>
      </c>
      <c r="E1172">
        <v>0</v>
      </c>
      <c r="F1172">
        <v>0.89500000000000002</v>
      </c>
      <c r="K1172">
        <v>1.6500000000000001E-2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</row>
    <row r="1173" spans="1:20">
      <c r="A1173">
        <f t="shared" si="17"/>
        <v>1172</v>
      </c>
      <c r="B1173" t="s">
        <v>73</v>
      </c>
      <c r="C1173">
        <v>628.20000000000005</v>
      </c>
      <c r="D1173">
        <v>29.42</v>
      </c>
      <c r="E1173">
        <v>0</v>
      </c>
      <c r="F1173">
        <v>0.84699999999999998</v>
      </c>
      <c r="K1173">
        <v>2.75E-2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</row>
    <row r="1174" spans="1:20">
      <c r="A1174">
        <f t="shared" si="17"/>
        <v>1173</v>
      </c>
      <c r="B1174" t="s">
        <v>73</v>
      </c>
      <c r="C1174">
        <v>628.20000000000005</v>
      </c>
      <c r="D1174">
        <v>39.229999999999997</v>
      </c>
      <c r="E1174">
        <v>0</v>
      </c>
      <c r="F1174">
        <v>0.79500000000000004</v>
      </c>
      <c r="K1174">
        <v>5.3999999999999999E-2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</row>
    <row r="1175" spans="1:20">
      <c r="A1175">
        <f t="shared" si="17"/>
        <v>1174</v>
      </c>
      <c r="B1175" t="s">
        <v>73</v>
      </c>
      <c r="C1175">
        <v>628.20000000000005</v>
      </c>
      <c r="D1175">
        <v>49.03</v>
      </c>
      <c r="E1175">
        <v>0</v>
      </c>
      <c r="F1175">
        <v>0.78500000000000003</v>
      </c>
      <c r="K1175">
        <v>8.3000000000000004E-2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</row>
    <row r="1176" spans="1:20">
      <c r="A1176">
        <f t="shared" si="17"/>
        <v>1175</v>
      </c>
      <c r="B1176" t="s">
        <v>73</v>
      </c>
      <c r="C1176">
        <v>628.20000000000005</v>
      </c>
      <c r="D1176">
        <v>58.84</v>
      </c>
      <c r="E1176">
        <v>0</v>
      </c>
      <c r="F1176">
        <v>0.78600000000000003</v>
      </c>
      <c r="K1176">
        <v>0.12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</row>
    <row r="1177" spans="1:20">
      <c r="A1177">
        <f t="shared" si="17"/>
        <v>1176</v>
      </c>
      <c r="B1177" t="s">
        <v>73</v>
      </c>
      <c r="C1177">
        <v>628.20000000000005</v>
      </c>
      <c r="D1177">
        <v>63.74</v>
      </c>
      <c r="E1177">
        <v>0</v>
      </c>
      <c r="F1177">
        <v>0.79600000000000004</v>
      </c>
      <c r="K1177">
        <v>0.14299999999999999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</row>
    <row r="1178" spans="1:20">
      <c r="A1178">
        <f t="shared" si="17"/>
        <v>1177</v>
      </c>
      <c r="B1178" t="s">
        <v>73</v>
      </c>
      <c r="C1178">
        <v>628.20000000000005</v>
      </c>
      <c r="D1178">
        <v>66.69</v>
      </c>
      <c r="E1178">
        <v>0</v>
      </c>
      <c r="F1178">
        <v>0.82800000000000007</v>
      </c>
      <c r="K1178">
        <v>0.17199999999999999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</row>
    <row r="1179" spans="1:20">
      <c r="A1179">
        <f t="shared" si="17"/>
        <v>1178</v>
      </c>
      <c r="B1179" t="s">
        <v>73</v>
      </c>
      <c r="C1179">
        <v>633.20000000000005</v>
      </c>
      <c r="D1179">
        <v>24.52</v>
      </c>
      <c r="E1179">
        <v>0</v>
      </c>
      <c r="F1179">
        <v>0.91800000000000004</v>
      </c>
      <c r="K1179">
        <v>1.6E-2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</row>
    <row r="1180" spans="1:20">
      <c r="A1180">
        <f t="shared" si="17"/>
        <v>1179</v>
      </c>
      <c r="B1180" t="s">
        <v>73</v>
      </c>
      <c r="C1180">
        <v>633.20000000000005</v>
      </c>
      <c r="D1180">
        <v>29.42</v>
      </c>
      <c r="E1180">
        <v>0</v>
      </c>
      <c r="F1180">
        <v>0.88100000000000001</v>
      </c>
      <c r="K1180">
        <v>2.5999999999999999E-2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</row>
    <row r="1181" spans="1:20">
      <c r="A1181">
        <f t="shared" si="17"/>
        <v>1180</v>
      </c>
      <c r="B1181" t="s">
        <v>73</v>
      </c>
      <c r="C1181">
        <v>633.20000000000005</v>
      </c>
      <c r="D1181">
        <v>39.229999999999997</v>
      </c>
      <c r="E1181">
        <v>0</v>
      </c>
      <c r="F1181">
        <v>0.84099999999999997</v>
      </c>
      <c r="K1181">
        <v>0.05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</row>
    <row r="1182" spans="1:20">
      <c r="A1182">
        <f t="shared" si="17"/>
        <v>1181</v>
      </c>
      <c r="B1182" t="s">
        <v>73</v>
      </c>
      <c r="C1182">
        <v>633.20000000000005</v>
      </c>
      <c r="D1182">
        <v>49.03</v>
      </c>
      <c r="E1182">
        <v>0</v>
      </c>
      <c r="F1182">
        <v>0.82899999999999996</v>
      </c>
      <c r="K1182">
        <v>7.0000000000000007E-2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</row>
    <row r="1183" spans="1:20">
      <c r="A1183">
        <f t="shared" si="17"/>
        <v>1182</v>
      </c>
      <c r="B1183" t="s">
        <v>73</v>
      </c>
      <c r="C1183">
        <v>633.20000000000005</v>
      </c>
      <c r="D1183">
        <v>58.84</v>
      </c>
      <c r="E1183">
        <v>0</v>
      </c>
      <c r="F1183">
        <v>0.84299999999999997</v>
      </c>
      <c r="K1183">
        <v>9.6000000000000002E-2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</row>
    <row r="1184" spans="1:20">
      <c r="A1184">
        <f t="shared" si="17"/>
        <v>1183</v>
      </c>
      <c r="B1184" t="s">
        <v>73</v>
      </c>
      <c r="C1184">
        <v>633.20000000000005</v>
      </c>
      <c r="D1184">
        <v>60.8</v>
      </c>
      <c r="E1184">
        <v>0</v>
      </c>
      <c r="F1184">
        <v>0.872</v>
      </c>
      <c r="K1184">
        <v>0.128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</row>
    <row r="1185" spans="1:20">
      <c r="A1185">
        <f t="shared" si="17"/>
        <v>1184</v>
      </c>
      <c r="B1185" t="s">
        <v>74</v>
      </c>
      <c r="C1185">
        <v>427</v>
      </c>
      <c r="D1185">
        <v>35.4</v>
      </c>
      <c r="E1185">
        <v>0</v>
      </c>
      <c r="K1185">
        <v>7.4100000000000001E-4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</row>
    <row r="1186" spans="1:20">
      <c r="A1186">
        <f t="shared" si="17"/>
        <v>1185</v>
      </c>
      <c r="B1186" t="s">
        <v>74</v>
      </c>
      <c r="C1186">
        <v>427</v>
      </c>
      <c r="D1186">
        <v>152</v>
      </c>
      <c r="E1186">
        <v>0</v>
      </c>
      <c r="K1186">
        <v>2.859E-3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</row>
    <row r="1187" spans="1:20">
      <c r="A1187">
        <f t="shared" si="17"/>
        <v>1186</v>
      </c>
      <c r="B1187" t="s">
        <v>74</v>
      </c>
      <c r="C1187">
        <v>427</v>
      </c>
      <c r="D1187">
        <v>32.03</v>
      </c>
      <c r="E1187">
        <v>0</v>
      </c>
      <c r="K1187">
        <v>4.5140000000000007E-3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</row>
    <row r="1188" spans="1:20">
      <c r="A1188">
        <f t="shared" si="17"/>
        <v>1187</v>
      </c>
      <c r="B1188" t="s">
        <v>74</v>
      </c>
      <c r="C1188">
        <v>427</v>
      </c>
      <c r="D1188">
        <v>468.2</v>
      </c>
      <c r="E1188">
        <v>0</v>
      </c>
      <c r="K1188">
        <v>5.5100000000000001E-3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</row>
    <row r="1189" spans="1:20">
      <c r="A1189">
        <f t="shared" si="17"/>
        <v>1188</v>
      </c>
      <c r="B1189" t="s">
        <v>74</v>
      </c>
      <c r="C1189">
        <v>427</v>
      </c>
      <c r="D1189">
        <v>672.9</v>
      </c>
      <c r="E1189">
        <v>0</v>
      </c>
      <c r="K1189">
        <v>6.1250000000000002E-3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</row>
    <row r="1190" spans="1:20">
      <c r="A1190">
        <f t="shared" ref="A1190:A1253" si="18">A1189+1</f>
        <v>1189</v>
      </c>
      <c r="B1190" t="s">
        <v>74</v>
      </c>
      <c r="C1190">
        <v>427</v>
      </c>
      <c r="D1190">
        <v>873.6</v>
      </c>
      <c r="E1190">
        <v>0</v>
      </c>
      <c r="K1190">
        <v>6.5259999999999997E-3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</row>
    <row r="1191" spans="1:20">
      <c r="A1191">
        <f t="shared" si="18"/>
        <v>1190</v>
      </c>
      <c r="B1191" t="s">
        <v>74</v>
      </c>
      <c r="C1191">
        <v>427</v>
      </c>
      <c r="D1191">
        <v>1052.0999999999999</v>
      </c>
      <c r="E1191">
        <v>0</v>
      </c>
      <c r="K1191">
        <v>7.7029999999999998E-3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</row>
    <row r="1192" spans="1:20">
      <c r="A1192">
        <f t="shared" si="18"/>
        <v>1191</v>
      </c>
      <c r="B1192" t="s">
        <v>74</v>
      </c>
      <c r="C1192">
        <v>427</v>
      </c>
      <c r="D1192">
        <v>1259</v>
      </c>
      <c r="E1192">
        <v>0</v>
      </c>
      <c r="K1192">
        <v>8.8319999999999996E-3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</row>
    <row r="1193" spans="1:20">
      <c r="A1193">
        <f t="shared" si="18"/>
        <v>1192</v>
      </c>
      <c r="B1193" t="s">
        <v>74</v>
      </c>
      <c r="C1193">
        <v>427</v>
      </c>
      <c r="D1193">
        <v>1639.6</v>
      </c>
      <c r="E1193">
        <v>0</v>
      </c>
      <c r="K1193">
        <v>1.0324999999999999E-2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</row>
    <row r="1194" spans="1:20">
      <c r="A1194">
        <f t="shared" si="18"/>
        <v>1193</v>
      </c>
      <c r="B1194" t="s">
        <v>74</v>
      </c>
      <c r="C1194">
        <v>479</v>
      </c>
      <c r="D1194">
        <v>51.7</v>
      </c>
      <c r="E1194">
        <v>0</v>
      </c>
      <c r="K1194">
        <v>1.2470000000000001E-3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</row>
    <row r="1195" spans="1:20">
      <c r="A1195">
        <f t="shared" si="18"/>
        <v>1194</v>
      </c>
      <c r="B1195" t="s">
        <v>74</v>
      </c>
      <c r="C1195">
        <v>479</v>
      </c>
      <c r="D1195">
        <v>160.19999999999999</v>
      </c>
      <c r="E1195">
        <v>0</v>
      </c>
      <c r="K1195">
        <v>4.0410000000000003E-3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</row>
    <row r="1196" spans="1:20">
      <c r="A1196">
        <f t="shared" si="18"/>
        <v>1195</v>
      </c>
      <c r="B1196" t="s">
        <v>74</v>
      </c>
      <c r="C1196">
        <v>479</v>
      </c>
      <c r="D1196">
        <v>294.39999999999998</v>
      </c>
      <c r="E1196">
        <v>0</v>
      </c>
      <c r="K1196">
        <v>6.3090000000000004E-3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</row>
    <row r="1197" spans="1:20">
      <c r="A1197">
        <f t="shared" si="18"/>
        <v>1196</v>
      </c>
      <c r="B1197" t="s">
        <v>74</v>
      </c>
      <c r="C1197">
        <v>479</v>
      </c>
      <c r="D1197">
        <v>546.29999999999995</v>
      </c>
      <c r="E1197">
        <v>0</v>
      </c>
      <c r="K1197">
        <v>9.4859999999999996E-3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</row>
    <row r="1198" spans="1:20">
      <c r="A1198">
        <f t="shared" si="18"/>
        <v>1197</v>
      </c>
      <c r="B1198" t="s">
        <v>74</v>
      </c>
      <c r="C1198">
        <v>479</v>
      </c>
      <c r="D1198">
        <v>948.6</v>
      </c>
      <c r="E1198">
        <v>0</v>
      </c>
      <c r="K1198">
        <v>1.286E-2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</row>
    <row r="1199" spans="1:20">
      <c r="A1199">
        <f t="shared" si="18"/>
        <v>1198</v>
      </c>
      <c r="B1199" t="s">
        <v>74</v>
      </c>
      <c r="C1199">
        <v>479</v>
      </c>
      <c r="D1199">
        <v>1033.5</v>
      </c>
      <c r="E1199">
        <v>0</v>
      </c>
      <c r="K1199">
        <v>1.5269999999999999E-2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</row>
    <row r="1200" spans="1:20">
      <c r="A1200">
        <f t="shared" si="18"/>
        <v>1199</v>
      </c>
      <c r="B1200" t="s">
        <v>74</v>
      </c>
      <c r="C1200">
        <v>479</v>
      </c>
      <c r="D1200">
        <v>1630.7</v>
      </c>
      <c r="E1200">
        <v>0</v>
      </c>
      <c r="K1200">
        <v>1.6650000000000002E-2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</row>
    <row r="1201" spans="1:20">
      <c r="A1201">
        <f t="shared" si="18"/>
        <v>1200</v>
      </c>
      <c r="B1201" t="s">
        <v>74</v>
      </c>
      <c r="C1201">
        <v>479</v>
      </c>
      <c r="D1201">
        <v>1924.7</v>
      </c>
      <c r="E1201">
        <v>0</v>
      </c>
      <c r="K1201">
        <v>1.881E-2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</row>
    <row r="1202" spans="1:20">
      <c r="A1202">
        <f t="shared" si="18"/>
        <v>1201</v>
      </c>
      <c r="B1202" t="s">
        <v>74</v>
      </c>
      <c r="C1202">
        <v>494</v>
      </c>
      <c r="D1202">
        <v>40.200000000000003</v>
      </c>
      <c r="E1202">
        <v>0</v>
      </c>
      <c r="K1202">
        <v>1.276E-3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</row>
    <row r="1203" spans="1:20">
      <c r="A1203">
        <f t="shared" si="18"/>
        <v>1202</v>
      </c>
      <c r="B1203" t="s">
        <v>74</v>
      </c>
      <c r="C1203">
        <v>494</v>
      </c>
      <c r="D1203">
        <v>367.6</v>
      </c>
      <c r="E1203">
        <v>0</v>
      </c>
      <c r="K1203">
        <v>8.2420000000000011E-3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</row>
    <row r="1204" spans="1:20">
      <c r="A1204">
        <f t="shared" si="18"/>
        <v>1203</v>
      </c>
      <c r="B1204" t="s">
        <v>74</v>
      </c>
      <c r="C1204">
        <v>494</v>
      </c>
      <c r="D1204">
        <v>628</v>
      </c>
      <c r="E1204">
        <v>0</v>
      </c>
      <c r="K1204">
        <v>1.333E-2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</row>
    <row r="1205" spans="1:20">
      <c r="A1205">
        <f t="shared" si="18"/>
        <v>1204</v>
      </c>
      <c r="B1205" t="s">
        <v>74</v>
      </c>
      <c r="C1205">
        <v>494</v>
      </c>
      <c r="D1205">
        <v>873.6</v>
      </c>
      <c r="E1205">
        <v>0</v>
      </c>
      <c r="K1205">
        <v>1.5260000000000001E-2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</row>
    <row r="1206" spans="1:20">
      <c r="A1206">
        <f t="shared" si="18"/>
        <v>1205</v>
      </c>
      <c r="B1206" t="s">
        <v>74</v>
      </c>
      <c r="C1206">
        <v>494</v>
      </c>
      <c r="D1206">
        <v>1035.5999999999999</v>
      </c>
      <c r="E1206">
        <v>0</v>
      </c>
      <c r="K1206">
        <v>1.7230000000000002E-2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</row>
    <row r="1207" spans="1:20">
      <c r="A1207">
        <f t="shared" si="18"/>
        <v>1206</v>
      </c>
      <c r="B1207" t="s">
        <v>74</v>
      </c>
      <c r="C1207">
        <v>494</v>
      </c>
      <c r="D1207">
        <v>1236.9000000000001</v>
      </c>
      <c r="E1207">
        <v>0</v>
      </c>
      <c r="K1207">
        <v>1.7739999999999999E-2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</row>
    <row r="1208" spans="1:20">
      <c r="A1208">
        <f t="shared" si="18"/>
        <v>1207</v>
      </c>
      <c r="B1208" t="s">
        <v>74</v>
      </c>
      <c r="C1208">
        <v>494</v>
      </c>
      <c r="D1208">
        <v>1415.5</v>
      </c>
      <c r="E1208">
        <v>0</v>
      </c>
      <c r="K1208">
        <v>1.8280000000000001E-2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</row>
    <row r="1209" spans="1:20">
      <c r="A1209">
        <f t="shared" si="18"/>
        <v>1208</v>
      </c>
      <c r="B1209" t="s">
        <v>74</v>
      </c>
      <c r="C1209">
        <v>507</v>
      </c>
      <c r="D1209">
        <v>81.099999999999994</v>
      </c>
      <c r="E1209">
        <v>0</v>
      </c>
      <c r="K1209">
        <v>2.6119999999999997E-3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</row>
    <row r="1210" spans="1:20">
      <c r="A1210">
        <f t="shared" si="18"/>
        <v>1209</v>
      </c>
      <c r="B1210" t="s">
        <v>74</v>
      </c>
      <c r="C1210">
        <v>507</v>
      </c>
      <c r="D1210">
        <v>148.9</v>
      </c>
      <c r="E1210">
        <v>0</v>
      </c>
      <c r="K1210">
        <v>4.5770000000000003E-3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</row>
    <row r="1211" spans="1:20">
      <c r="A1211">
        <f t="shared" si="18"/>
        <v>1210</v>
      </c>
      <c r="B1211" t="s">
        <v>74</v>
      </c>
      <c r="C1211">
        <v>507</v>
      </c>
      <c r="D1211">
        <v>207.8</v>
      </c>
      <c r="E1211">
        <v>0</v>
      </c>
      <c r="K1211">
        <v>7.1780000000000004E-3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</row>
    <row r="1212" spans="1:20">
      <c r="A1212">
        <f t="shared" si="18"/>
        <v>1211</v>
      </c>
      <c r="B1212" t="s">
        <v>74</v>
      </c>
      <c r="C1212">
        <v>507</v>
      </c>
      <c r="D1212">
        <v>277.7</v>
      </c>
      <c r="E1212">
        <v>0</v>
      </c>
      <c r="K1212">
        <v>8.3859999999999994E-3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</row>
    <row r="1213" spans="1:20">
      <c r="A1213">
        <f t="shared" si="18"/>
        <v>1212</v>
      </c>
      <c r="B1213" t="s">
        <v>74</v>
      </c>
      <c r="C1213">
        <v>507</v>
      </c>
      <c r="D1213">
        <v>471.3</v>
      </c>
      <c r="E1213">
        <v>0</v>
      </c>
      <c r="K1213">
        <v>1.4190000000000001E-2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</row>
    <row r="1214" spans="1:20">
      <c r="A1214">
        <f t="shared" si="18"/>
        <v>1213</v>
      </c>
      <c r="B1214" t="s">
        <v>74</v>
      </c>
      <c r="C1214">
        <v>507</v>
      </c>
      <c r="D1214">
        <v>596.9</v>
      </c>
      <c r="E1214">
        <v>0</v>
      </c>
      <c r="K1214">
        <v>1.538E-2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</row>
    <row r="1215" spans="1:20">
      <c r="A1215">
        <f t="shared" si="18"/>
        <v>1214</v>
      </c>
      <c r="B1215" t="s">
        <v>74</v>
      </c>
      <c r="C1215">
        <v>507</v>
      </c>
      <c r="D1215">
        <v>781.2</v>
      </c>
      <c r="E1215">
        <v>0</v>
      </c>
      <c r="K1215">
        <v>1.8349999999999998E-2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</row>
    <row r="1216" spans="1:20">
      <c r="A1216">
        <f t="shared" si="18"/>
        <v>1215</v>
      </c>
      <c r="B1216" t="s">
        <v>74</v>
      </c>
      <c r="C1216">
        <v>507</v>
      </c>
      <c r="D1216">
        <v>933.6</v>
      </c>
      <c r="E1216">
        <v>0</v>
      </c>
      <c r="K1216">
        <v>1.9769999999999999E-2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</row>
    <row r="1217" spans="1:20">
      <c r="A1217">
        <f t="shared" si="18"/>
        <v>1216</v>
      </c>
      <c r="B1217" t="s">
        <v>74</v>
      </c>
      <c r="C1217">
        <v>507</v>
      </c>
      <c r="D1217">
        <v>1081.8</v>
      </c>
      <c r="E1217">
        <v>0</v>
      </c>
      <c r="K1217">
        <v>2.1230000000000002E-2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</row>
    <row r="1218" spans="1:20">
      <c r="A1218">
        <f t="shared" si="18"/>
        <v>1217</v>
      </c>
      <c r="B1218" t="s">
        <v>74</v>
      </c>
      <c r="C1218">
        <v>507</v>
      </c>
      <c r="D1218">
        <v>1087.3</v>
      </c>
      <c r="E1218">
        <v>0</v>
      </c>
      <c r="K1218">
        <v>2.0870000000000003E-2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</row>
    <row r="1219" spans="1:20">
      <c r="A1219">
        <f t="shared" si="18"/>
        <v>1218</v>
      </c>
      <c r="B1219" t="s">
        <v>74</v>
      </c>
      <c r="C1219">
        <v>507</v>
      </c>
      <c r="D1219">
        <v>1325.9</v>
      </c>
      <c r="E1219">
        <v>0</v>
      </c>
      <c r="K1219">
        <v>2.2200000000000001E-2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</row>
    <row r="1220" spans="1:20">
      <c r="A1220">
        <f t="shared" si="18"/>
        <v>1219</v>
      </c>
      <c r="B1220" t="s">
        <v>74</v>
      </c>
      <c r="C1220">
        <v>507</v>
      </c>
      <c r="D1220">
        <v>1471.3</v>
      </c>
      <c r="E1220">
        <v>0</v>
      </c>
      <c r="K1220">
        <v>2.2559999999999997E-2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</row>
    <row r="1221" spans="1:20">
      <c r="A1221">
        <f t="shared" si="18"/>
        <v>1220</v>
      </c>
      <c r="B1221" t="s">
        <v>74</v>
      </c>
      <c r="C1221">
        <v>507</v>
      </c>
      <c r="D1221">
        <v>1643</v>
      </c>
      <c r="E1221">
        <v>0</v>
      </c>
      <c r="K1221">
        <v>2.3730000000000001E-2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</row>
    <row r="1222" spans="1:20">
      <c r="A1222">
        <f t="shared" si="18"/>
        <v>1221</v>
      </c>
      <c r="B1222" t="s">
        <v>74</v>
      </c>
      <c r="C1222">
        <v>553</v>
      </c>
      <c r="D1222">
        <v>197.6</v>
      </c>
      <c r="E1222">
        <v>0</v>
      </c>
      <c r="K1222">
        <v>8.5220000000000001E-3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</row>
    <row r="1223" spans="1:20">
      <c r="A1223">
        <f t="shared" si="18"/>
        <v>1222</v>
      </c>
      <c r="B1223" t="s">
        <v>74</v>
      </c>
      <c r="C1223">
        <v>553</v>
      </c>
      <c r="D1223">
        <v>318.3</v>
      </c>
      <c r="E1223">
        <v>0</v>
      </c>
      <c r="K1223">
        <v>1.332E-2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</row>
    <row r="1224" spans="1:20">
      <c r="A1224">
        <f t="shared" si="18"/>
        <v>1223</v>
      </c>
      <c r="B1224" t="s">
        <v>74</v>
      </c>
      <c r="C1224">
        <v>553</v>
      </c>
      <c r="D1224">
        <v>479.4</v>
      </c>
      <c r="E1224">
        <v>0</v>
      </c>
      <c r="K1224">
        <v>2.0979999999999999E-2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</row>
    <row r="1225" spans="1:20">
      <c r="A1225">
        <f t="shared" si="18"/>
        <v>1224</v>
      </c>
      <c r="B1225" t="s">
        <v>74</v>
      </c>
      <c r="C1225">
        <v>553</v>
      </c>
      <c r="D1225">
        <v>701.2</v>
      </c>
      <c r="E1225">
        <v>0</v>
      </c>
      <c r="K1225">
        <v>2.7050000000000001E-2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</row>
    <row r="1226" spans="1:20">
      <c r="A1226">
        <f t="shared" si="18"/>
        <v>1225</v>
      </c>
      <c r="B1226" t="s">
        <v>74</v>
      </c>
      <c r="C1226">
        <v>553</v>
      </c>
      <c r="D1226">
        <v>999.1</v>
      </c>
      <c r="E1226">
        <v>0</v>
      </c>
      <c r="K1226">
        <v>3.3079999999999998E-2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</row>
    <row r="1227" spans="1:20">
      <c r="A1227">
        <f t="shared" si="18"/>
        <v>1226</v>
      </c>
      <c r="B1227" t="s">
        <v>74</v>
      </c>
      <c r="C1227">
        <v>553</v>
      </c>
      <c r="D1227">
        <v>1263.8</v>
      </c>
      <c r="E1227">
        <v>0</v>
      </c>
      <c r="K1227">
        <v>3.4729999999999997E-2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</row>
    <row r="1228" spans="1:20">
      <c r="A1228">
        <f t="shared" si="18"/>
        <v>1227</v>
      </c>
      <c r="B1228" t="s">
        <v>74</v>
      </c>
      <c r="C1228">
        <v>553</v>
      </c>
      <c r="D1228">
        <v>1518.2</v>
      </c>
      <c r="E1228">
        <v>0</v>
      </c>
      <c r="K1228">
        <v>3.7080000000000002E-2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</row>
    <row r="1229" spans="1:20">
      <c r="A1229">
        <f t="shared" si="18"/>
        <v>1228</v>
      </c>
      <c r="B1229" t="s">
        <v>74</v>
      </c>
      <c r="C1229">
        <v>553</v>
      </c>
      <c r="D1229">
        <v>1594.1</v>
      </c>
      <c r="E1229">
        <v>0</v>
      </c>
      <c r="K1229">
        <v>3.8350000000000002E-2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</row>
    <row r="1230" spans="1:20">
      <c r="A1230">
        <f t="shared" si="18"/>
        <v>1229</v>
      </c>
      <c r="B1230" t="s">
        <v>74</v>
      </c>
      <c r="C1230">
        <v>553</v>
      </c>
      <c r="D1230">
        <v>1889.2</v>
      </c>
      <c r="E1230">
        <v>0</v>
      </c>
      <c r="K1230">
        <v>4.0430000000000001E-2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</row>
    <row r="1231" spans="1:20">
      <c r="A1231">
        <f t="shared" si="18"/>
        <v>1230</v>
      </c>
      <c r="B1231" t="s">
        <v>74</v>
      </c>
      <c r="C1231">
        <v>565</v>
      </c>
      <c r="D1231">
        <v>108</v>
      </c>
      <c r="E1231">
        <v>0</v>
      </c>
      <c r="K1231">
        <v>2.9620000000000002E-3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</row>
    <row r="1232" spans="1:20">
      <c r="A1232">
        <f t="shared" si="18"/>
        <v>1231</v>
      </c>
      <c r="B1232" t="s">
        <v>74</v>
      </c>
      <c r="C1232">
        <v>565</v>
      </c>
      <c r="D1232">
        <v>191</v>
      </c>
      <c r="E1232">
        <v>0</v>
      </c>
      <c r="K1232">
        <v>8.8179999999999994E-3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</row>
    <row r="1233" spans="1:20">
      <c r="A1233">
        <f t="shared" si="18"/>
        <v>1232</v>
      </c>
      <c r="B1233" t="s">
        <v>74</v>
      </c>
      <c r="C1233">
        <v>565</v>
      </c>
      <c r="D1233">
        <v>299</v>
      </c>
      <c r="E1233">
        <v>0</v>
      </c>
      <c r="K1233">
        <v>1.5100000000000001E-2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</row>
    <row r="1234" spans="1:20">
      <c r="A1234">
        <f t="shared" si="18"/>
        <v>1233</v>
      </c>
      <c r="B1234" t="s">
        <v>74</v>
      </c>
      <c r="C1234">
        <v>565</v>
      </c>
      <c r="D1234">
        <v>905.3</v>
      </c>
      <c r="E1234">
        <v>0</v>
      </c>
      <c r="K1234">
        <v>3.6490000000000002E-2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</row>
    <row r="1235" spans="1:20">
      <c r="A1235">
        <f t="shared" si="18"/>
        <v>1234</v>
      </c>
      <c r="B1235" t="s">
        <v>74</v>
      </c>
      <c r="C1235">
        <v>565</v>
      </c>
      <c r="D1235">
        <v>1099</v>
      </c>
      <c r="E1235">
        <v>0</v>
      </c>
      <c r="K1235">
        <v>3.8530000000000002E-2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</row>
    <row r="1236" spans="1:20">
      <c r="A1236">
        <f t="shared" si="18"/>
        <v>1235</v>
      </c>
      <c r="B1236" t="s">
        <v>74</v>
      </c>
      <c r="C1236">
        <v>565</v>
      </c>
      <c r="D1236">
        <v>1520.3</v>
      </c>
      <c r="E1236">
        <v>0</v>
      </c>
      <c r="K1236">
        <v>4.4059999999999995E-2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</row>
    <row r="1237" spans="1:20">
      <c r="A1237">
        <f t="shared" si="18"/>
        <v>1236</v>
      </c>
      <c r="B1237" t="s">
        <v>74</v>
      </c>
      <c r="C1237">
        <v>565</v>
      </c>
      <c r="D1237">
        <v>1689.2</v>
      </c>
      <c r="E1237">
        <v>0</v>
      </c>
      <c r="K1237">
        <v>4.5869999999999994E-2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</row>
    <row r="1238" spans="1:20">
      <c r="A1238">
        <f t="shared" si="18"/>
        <v>1237</v>
      </c>
      <c r="B1238" t="s">
        <v>74</v>
      </c>
      <c r="C1238">
        <v>589</v>
      </c>
      <c r="D1238">
        <v>112.5</v>
      </c>
      <c r="E1238">
        <v>0</v>
      </c>
      <c r="K1238">
        <v>1.4680000000000001E-3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</row>
    <row r="1239" spans="1:20">
      <c r="A1239">
        <f t="shared" si="18"/>
        <v>1238</v>
      </c>
      <c r="B1239" t="s">
        <v>74</v>
      </c>
      <c r="C1239">
        <v>589</v>
      </c>
      <c r="D1239">
        <v>250.3</v>
      </c>
      <c r="E1239">
        <v>0</v>
      </c>
      <c r="K1239">
        <v>1.7330000000000002E-2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</row>
    <row r="1240" spans="1:20">
      <c r="A1240">
        <f t="shared" si="18"/>
        <v>1239</v>
      </c>
      <c r="B1240" t="s">
        <v>74</v>
      </c>
      <c r="C1240">
        <v>589</v>
      </c>
      <c r="D1240">
        <v>534.1</v>
      </c>
      <c r="E1240">
        <v>0</v>
      </c>
      <c r="K1240">
        <v>4.2110000000000002E-2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</row>
    <row r="1241" spans="1:20">
      <c r="A1241">
        <f t="shared" si="18"/>
        <v>1240</v>
      </c>
      <c r="B1241" t="s">
        <v>74</v>
      </c>
      <c r="C1241">
        <v>589</v>
      </c>
      <c r="D1241">
        <v>719.8</v>
      </c>
      <c r="E1241">
        <v>0</v>
      </c>
      <c r="K1241">
        <v>4.9540000000000001E-2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</row>
    <row r="1242" spans="1:20">
      <c r="A1242">
        <f t="shared" si="18"/>
        <v>1241</v>
      </c>
      <c r="B1242" t="s">
        <v>74</v>
      </c>
      <c r="C1242">
        <v>589</v>
      </c>
      <c r="D1242">
        <v>923.2</v>
      </c>
      <c r="E1242">
        <v>0</v>
      </c>
      <c r="K1242">
        <v>5.5210000000000002E-2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</row>
    <row r="1243" spans="1:20">
      <c r="A1243">
        <f t="shared" si="18"/>
        <v>1242</v>
      </c>
      <c r="B1243" t="s">
        <v>74</v>
      </c>
      <c r="C1243">
        <v>589</v>
      </c>
      <c r="D1243">
        <v>1172.8</v>
      </c>
      <c r="E1243">
        <v>0</v>
      </c>
      <c r="K1243">
        <v>6.2140000000000001E-2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</row>
    <row r="1244" spans="1:20">
      <c r="A1244">
        <f t="shared" si="18"/>
        <v>1243</v>
      </c>
      <c r="B1244" t="s">
        <v>74</v>
      </c>
      <c r="C1244">
        <v>589</v>
      </c>
      <c r="D1244">
        <v>1654.1</v>
      </c>
      <c r="E1244">
        <v>0</v>
      </c>
      <c r="K1244">
        <v>6.6740000000000008E-2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</row>
    <row r="1245" spans="1:20">
      <c r="A1245">
        <f t="shared" si="18"/>
        <v>1244</v>
      </c>
      <c r="B1245" t="s">
        <v>74</v>
      </c>
      <c r="C1245">
        <v>589</v>
      </c>
      <c r="D1245">
        <v>1913.3</v>
      </c>
      <c r="E1245">
        <v>0</v>
      </c>
      <c r="K1245">
        <v>6.9169999999999995E-2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</row>
    <row r="1246" spans="1:20">
      <c r="A1246">
        <f t="shared" si="18"/>
        <v>1245</v>
      </c>
      <c r="B1246" t="s">
        <v>74</v>
      </c>
      <c r="C1246">
        <v>627</v>
      </c>
      <c r="D1246">
        <v>195.6</v>
      </c>
      <c r="E1246">
        <v>0</v>
      </c>
      <c r="K1246">
        <v>6.1339999999999997E-3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</row>
    <row r="1247" spans="1:20">
      <c r="A1247">
        <f t="shared" si="18"/>
        <v>1246</v>
      </c>
      <c r="B1247" t="s">
        <v>74</v>
      </c>
      <c r="C1247">
        <v>627</v>
      </c>
      <c r="D1247">
        <v>250.3</v>
      </c>
      <c r="E1247">
        <v>0</v>
      </c>
      <c r="K1247">
        <v>1.7659999999999999E-2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</row>
    <row r="1248" spans="1:20">
      <c r="A1248">
        <f t="shared" si="18"/>
        <v>1247</v>
      </c>
      <c r="B1248" t="s">
        <v>74</v>
      </c>
      <c r="C1248">
        <v>627</v>
      </c>
      <c r="D1248">
        <v>323.3</v>
      </c>
      <c r="E1248">
        <v>0</v>
      </c>
      <c r="K1248">
        <v>3.5200000000000002E-2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</row>
    <row r="1249" spans="1:20">
      <c r="A1249">
        <f t="shared" si="18"/>
        <v>1248</v>
      </c>
      <c r="B1249" t="s">
        <v>74</v>
      </c>
      <c r="C1249">
        <v>627</v>
      </c>
      <c r="D1249">
        <v>425.7</v>
      </c>
      <c r="E1249">
        <v>0</v>
      </c>
      <c r="K1249">
        <v>5.534E-2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</row>
    <row r="1250" spans="1:20">
      <c r="A1250">
        <f t="shared" si="18"/>
        <v>1249</v>
      </c>
      <c r="B1250" t="s">
        <v>74</v>
      </c>
      <c r="C1250">
        <v>627</v>
      </c>
      <c r="D1250">
        <v>530.1</v>
      </c>
      <c r="E1250">
        <v>0</v>
      </c>
      <c r="K1250">
        <v>6.4070000000000002E-2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</row>
    <row r="1251" spans="1:20">
      <c r="A1251">
        <f t="shared" si="18"/>
        <v>1250</v>
      </c>
      <c r="B1251" t="s">
        <v>74</v>
      </c>
      <c r="C1251">
        <v>627</v>
      </c>
      <c r="D1251">
        <v>1090.8</v>
      </c>
      <c r="E1251">
        <v>0</v>
      </c>
      <c r="K1251">
        <v>8.7799999999999989E-2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</row>
    <row r="1252" spans="1:20">
      <c r="A1252">
        <f t="shared" si="18"/>
        <v>1251</v>
      </c>
      <c r="B1252" t="s">
        <v>74</v>
      </c>
      <c r="C1252">
        <v>627</v>
      </c>
      <c r="D1252">
        <v>1272.8</v>
      </c>
      <c r="E1252">
        <v>0</v>
      </c>
      <c r="K1252">
        <v>9.1809999999999989E-2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</row>
    <row r="1253" spans="1:20">
      <c r="A1253">
        <f t="shared" si="18"/>
        <v>1252</v>
      </c>
      <c r="B1253" t="s">
        <v>74</v>
      </c>
      <c r="C1253">
        <v>627</v>
      </c>
      <c r="D1253">
        <v>1699.6</v>
      </c>
      <c r="E1253">
        <v>0</v>
      </c>
      <c r="K1253">
        <v>0.1017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</row>
    <row r="1254" spans="1:20">
      <c r="A1254">
        <f t="shared" ref="A1254:A1317" si="19">A1253+1</f>
        <v>1253</v>
      </c>
      <c r="B1254" t="s">
        <v>74</v>
      </c>
      <c r="C1254">
        <v>627</v>
      </c>
      <c r="D1254">
        <v>1857.4</v>
      </c>
      <c r="E1254">
        <v>0</v>
      </c>
      <c r="K1254">
        <v>0.10529999999999999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</row>
    <row r="1255" spans="1:20">
      <c r="A1255">
        <f t="shared" si="19"/>
        <v>1254</v>
      </c>
      <c r="B1255" t="s">
        <v>74</v>
      </c>
      <c r="C1255">
        <v>627</v>
      </c>
      <c r="D1255">
        <v>1972.6</v>
      </c>
      <c r="E1255">
        <v>0</v>
      </c>
      <c r="K1255">
        <v>0.10869999999999999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</row>
    <row r="1256" spans="1:20">
      <c r="A1256">
        <f t="shared" si="19"/>
        <v>1255</v>
      </c>
      <c r="B1256" t="s">
        <v>75</v>
      </c>
      <c r="C1256">
        <v>298.2</v>
      </c>
      <c r="D1256">
        <v>25</v>
      </c>
      <c r="E1256">
        <v>0</v>
      </c>
      <c r="F1256">
        <v>2.5399999999999867E-3</v>
      </c>
      <c r="K1256">
        <v>5.9900000000000003E-4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</row>
    <row r="1257" spans="1:20">
      <c r="A1257">
        <f t="shared" si="19"/>
        <v>1256</v>
      </c>
      <c r="B1257" t="s">
        <v>75</v>
      </c>
      <c r="C1257">
        <v>298.2</v>
      </c>
      <c r="D1257">
        <v>50</v>
      </c>
      <c r="E1257">
        <v>0</v>
      </c>
      <c r="F1257">
        <v>1.4600000000000168E-3</v>
      </c>
      <c r="K1257">
        <v>1.1199999999999999E-3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</row>
    <row r="1258" spans="1:20">
      <c r="A1258">
        <f t="shared" si="19"/>
        <v>1257</v>
      </c>
      <c r="B1258" t="s">
        <v>75</v>
      </c>
      <c r="C1258">
        <v>298.2</v>
      </c>
      <c r="D1258">
        <v>75</v>
      </c>
      <c r="E1258">
        <v>0</v>
      </c>
      <c r="F1258">
        <v>9.3399999999999039E-4</v>
      </c>
      <c r="K1258">
        <v>1.4599999999999999E-3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</row>
    <row r="1259" spans="1:20">
      <c r="A1259">
        <f t="shared" si="19"/>
        <v>1258</v>
      </c>
      <c r="B1259" t="s">
        <v>75</v>
      </c>
      <c r="C1259">
        <v>298.2</v>
      </c>
      <c r="D1259">
        <v>100</v>
      </c>
      <c r="E1259">
        <v>0</v>
      </c>
      <c r="F1259">
        <v>8.2000000000004292E-4</v>
      </c>
      <c r="K1259">
        <v>1.9E-3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</row>
    <row r="1260" spans="1:20">
      <c r="A1260">
        <f t="shared" si="19"/>
        <v>1259</v>
      </c>
      <c r="B1260" t="s">
        <v>75</v>
      </c>
      <c r="C1260">
        <v>298.2</v>
      </c>
      <c r="D1260">
        <v>125</v>
      </c>
      <c r="E1260">
        <v>0</v>
      </c>
      <c r="F1260">
        <v>5.8400000000002894E-4</v>
      </c>
      <c r="K1260">
        <v>2.2100000000000002E-3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</row>
    <row r="1261" spans="1:20">
      <c r="A1261">
        <f t="shared" si="19"/>
        <v>1260</v>
      </c>
      <c r="B1261" t="s">
        <v>75</v>
      </c>
      <c r="C1261">
        <v>313.2</v>
      </c>
      <c r="D1261">
        <v>25</v>
      </c>
      <c r="E1261">
        <v>0</v>
      </c>
      <c r="F1261">
        <v>3.0299999999999772E-3</v>
      </c>
      <c r="K1261">
        <v>4.8999999999999998E-4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</row>
    <row r="1262" spans="1:20">
      <c r="A1262">
        <f t="shared" si="19"/>
        <v>1261</v>
      </c>
      <c r="B1262" t="s">
        <v>75</v>
      </c>
      <c r="C1262">
        <v>313.2</v>
      </c>
      <c r="D1262">
        <v>50</v>
      </c>
      <c r="E1262">
        <v>0</v>
      </c>
      <c r="F1262">
        <v>1.8700000000000383E-3</v>
      </c>
      <c r="K1262">
        <v>9.2900000000000003E-4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</row>
    <row r="1263" spans="1:20">
      <c r="A1263">
        <f t="shared" si="19"/>
        <v>1262</v>
      </c>
      <c r="B1263" t="s">
        <v>75</v>
      </c>
      <c r="C1263">
        <v>313.2</v>
      </c>
      <c r="D1263">
        <v>75</v>
      </c>
      <c r="E1263">
        <v>0</v>
      </c>
      <c r="F1263">
        <v>1.3400000000000079E-3</v>
      </c>
      <c r="K1263">
        <v>1.2700000000000001E-3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</row>
    <row r="1264" spans="1:20">
      <c r="A1264">
        <f t="shared" si="19"/>
        <v>1263</v>
      </c>
      <c r="B1264" t="s">
        <v>75</v>
      </c>
      <c r="C1264">
        <v>313.2</v>
      </c>
      <c r="D1264">
        <v>100</v>
      </c>
      <c r="E1264">
        <v>0</v>
      </c>
      <c r="F1264">
        <v>1.1200000000000099E-3</v>
      </c>
      <c r="K1264">
        <v>1.64E-3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</row>
    <row r="1265" spans="1:20">
      <c r="A1265">
        <f t="shared" si="19"/>
        <v>1264</v>
      </c>
      <c r="B1265" t="s">
        <v>75</v>
      </c>
      <c r="C1265">
        <v>313.2</v>
      </c>
      <c r="D1265">
        <v>125</v>
      </c>
      <c r="E1265">
        <v>0</v>
      </c>
      <c r="F1265">
        <v>9.2599999999998239E-4</v>
      </c>
      <c r="K1265">
        <v>1.8699999999999999E-3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</row>
    <row r="1266" spans="1:20">
      <c r="A1266">
        <f t="shared" si="19"/>
        <v>1265</v>
      </c>
      <c r="B1266" t="s">
        <v>75</v>
      </c>
      <c r="C1266">
        <v>338.2</v>
      </c>
      <c r="D1266">
        <v>25</v>
      </c>
      <c r="E1266">
        <v>0</v>
      </c>
      <c r="F1266">
        <v>9.8300000000000054E-3</v>
      </c>
      <c r="K1266">
        <v>4.0499999999999998E-4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</row>
    <row r="1267" spans="1:20">
      <c r="A1267">
        <f t="shared" si="19"/>
        <v>1266</v>
      </c>
      <c r="B1267" t="s">
        <v>75</v>
      </c>
      <c r="C1267">
        <v>338.2</v>
      </c>
      <c r="D1267">
        <v>50</v>
      </c>
      <c r="E1267">
        <v>0</v>
      </c>
      <c r="F1267">
        <v>6.0900000000000398E-3</v>
      </c>
      <c r="K1267">
        <v>7.7099999999999998E-4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</row>
    <row r="1268" spans="1:20">
      <c r="A1268">
        <f t="shared" si="19"/>
        <v>1267</v>
      </c>
      <c r="B1268" t="s">
        <v>75</v>
      </c>
      <c r="C1268">
        <v>338.2</v>
      </c>
      <c r="D1268">
        <v>75</v>
      </c>
      <c r="E1268">
        <v>0</v>
      </c>
      <c r="F1268">
        <v>4.4800000000000395E-3</v>
      </c>
      <c r="K1268">
        <v>1.1000000000000001E-3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</row>
    <row r="1269" spans="1:20">
      <c r="A1269">
        <f t="shared" si="19"/>
        <v>1268</v>
      </c>
      <c r="B1269" t="s">
        <v>75</v>
      </c>
      <c r="C1269">
        <v>338.2</v>
      </c>
      <c r="D1269">
        <v>100</v>
      </c>
      <c r="E1269">
        <v>0</v>
      </c>
      <c r="F1269">
        <v>3.4800000000000386E-3</v>
      </c>
      <c r="K1269">
        <v>1.3600000000000001E-3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</row>
    <row r="1270" spans="1:20">
      <c r="A1270">
        <f t="shared" si="19"/>
        <v>1269</v>
      </c>
      <c r="B1270" t="s">
        <v>75</v>
      </c>
      <c r="C1270">
        <v>338.2</v>
      </c>
      <c r="D1270">
        <v>125</v>
      </c>
      <c r="E1270">
        <v>0</v>
      </c>
      <c r="F1270">
        <v>2.9799999999999827E-3</v>
      </c>
      <c r="K1270">
        <v>1.6199999999999999E-3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</row>
    <row r="1271" spans="1:20">
      <c r="A1271">
        <f t="shared" si="19"/>
        <v>1270</v>
      </c>
      <c r="B1271" t="s">
        <v>20</v>
      </c>
      <c r="C1271">
        <v>310.93</v>
      </c>
      <c r="D1271">
        <v>6.89</v>
      </c>
      <c r="E1271">
        <v>0</v>
      </c>
      <c r="F1271">
        <v>1.0600000000000054E-2</v>
      </c>
      <c r="H1271">
        <v>3.7469999999999999E-3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>
      <c r="A1272">
        <f t="shared" si="19"/>
        <v>1271</v>
      </c>
      <c r="B1272" t="s">
        <v>20</v>
      </c>
      <c r="C1272">
        <v>310.93</v>
      </c>
      <c r="D1272">
        <v>10.34</v>
      </c>
      <c r="E1272">
        <v>0</v>
      </c>
      <c r="F1272">
        <v>7.4999999999999512E-3</v>
      </c>
      <c r="H1272">
        <v>2.7290000000000001E-3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>
      <c r="A1273">
        <f t="shared" si="19"/>
        <v>1272</v>
      </c>
      <c r="B1273" t="s">
        <v>20</v>
      </c>
      <c r="C1273">
        <v>310.93</v>
      </c>
      <c r="D1273">
        <v>13.79</v>
      </c>
      <c r="E1273">
        <v>0</v>
      </c>
      <c r="F1273">
        <v>6.0000000000000053E-3</v>
      </c>
      <c r="H1273">
        <v>2.078E-3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>
      <c r="A1274">
        <f t="shared" si="19"/>
        <v>1273</v>
      </c>
      <c r="B1274" t="s">
        <v>20</v>
      </c>
      <c r="C1274">
        <v>310.93</v>
      </c>
      <c r="D1274">
        <v>17.239999999999998</v>
      </c>
      <c r="E1274">
        <v>0</v>
      </c>
      <c r="F1274">
        <v>5.0999999999999934E-3</v>
      </c>
      <c r="H1274">
        <v>1.6429999999999999E-3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>
      <c r="A1275">
        <f t="shared" si="19"/>
        <v>1274</v>
      </c>
      <c r="B1275" t="s">
        <v>20</v>
      </c>
      <c r="C1275">
        <v>310.93</v>
      </c>
      <c r="D1275">
        <v>20.68</v>
      </c>
      <c r="E1275">
        <v>0</v>
      </c>
      <c r="F1275">
        <v>4.6000000000000485E-3</v>
      </c>
      <c r="H1275">
        <v>1.3450000000000001E-3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>
      <c r="A1276">
        <f t="shared" si="19"/>
        <v>1275</v>
      </c>
      <c r="B1276" t="s">
        <v>20</v>
      </c>
      <c r="C1276">
        <v>310.93</v>
      </c>
      <c r="D1276">
        <v>26.9</v>
      </c>
      <c r="E1276">
        <v>0</v>
      </c>
      <c r="F1276">
        <v>4.0000000000000036E-3</v>
      </c>
      <c r="H1276">
        <v>1.132E-3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>
      <c r="A1277">
        <f t="shared" si="19"/>
        <v>1276</v>
      </c>
      <c r="B1277" t="s">
        <v>20</v>
      </c>
      <c r="C1277">
        <v>344.26</v>
      </c>
      <c r="D1277">
        <v>6.89</v>
      </c>
      <c r="E1277">
        <v>0</v>
      </c>
      <c r="F1277">
        <v>5.0699999999999967E-2</v>
      </c>
      <c r="H1277">
        <v>9.7199999999999999E-4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>
      <c r="A1278">
        <f t="shared" si="19"/>
        <v>1277</v>
      </c>
      <c r="B1278" t="s">
        <v>20</v>
      </c>
      <c r="C1278">
        <v>344.26</v>
      </c>
      <c r="D1278">
        <v>10.34</v>
      </c>
      <c r="E1278">
        <v>0</v>
      </c>
      <c r="F1278">
        <v>3.5699999999999954E-2</v>
      </c>
      <c r="H1278">
        <v>7.6E-3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>
      <c r="A1279">
        <f t="shared" si="19"/>
        <v>1278</v>
      </c>
      <c r="B1279" t="s">
        <v>20</v>
      </c>
      <c r="C1279">
        <v>344.26</v>
      </c>
      <c r="D1279">
        <v>13.79</v>
      </c>
      <c r="E1279">
        <v>0</v>
      </c>
      <c r="F1279">
        <v>2.739999999999998E-2</v>
      </c>
      <c r="H1279">
        <v>1.0200000000000001E-2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>
      <c r="A1280">
        <f t="shared" si="19"/>
        <v>1279</v>
      </c>
      <c r="B1280" t="s">
        <v>20</v>
      </c>
      <c r="C1280">
        <v>344.26</v>
      </c>
      <c r="D1280">
        <v>17.239999999999998</v>
      </c>
      <c r="E1280">
        <v>0</v>
      </c>
      <c r="F1280">
        <v>2.2900000000000031E-2</v>
      </c>
      <c r="H1280">
        <v>1.2800000000000001E-2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>
      <c r="A1281">
        <f t="shared" si="19"/>
        <v>1280</v>
      </c>
      <c r="B1281" t="s">
        <v>20</v>
      </c>
      <c r="C1281">
        <v>344.26</v>
      </c>
      <c r="D1281">
        <v>20.68</v>
      </c>
      <c r="E1281">
        <v>0</v>
      </c>
      <c r="F1281">
        <v>1.9900000000000029E-2</v>
      </c>
      <c r="H1281">
        <v>1.54E-2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>
      <c r="A1282">
        <f t="shared" si="19"/>
        <v>1281</v>
      </c>
      <c r="B1282" t="s">
        <v>20</v>
      </c>
      <c r="C1282">
        <v>344.26</v>
      </c>
      <c r="D1282">
        <v>27.58</v>
      </c>
      <c r="E1282">
        <v>0</v>
      </c>
      <c r="F1282">
        <v>1.6299999999999981E-2</v>
      </c>
      <c r="H1282">
        <v>2.06E-2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>
      <c r="A1283">
        <f t="shared" si="19"/>
        <v>1282</v>
      </c>
      <c r="B1283" t="s">
        <v>20</v>
      </c>
      <c r="C1283">
        <v>344.26</v>
      </c>
      <c r="D1283">
        <v>34.47</v>
      </c>
      <c r="E1283">
        <v>0</v>
      </c>
      <c r="F1283">
        <v>1.4399999999999968E-2</v>
      </c>
      <c r="H1283">
        <v>2.58E-2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>
      <c r="A1284">
        <f t="shared" si="19"/>
        <v>1283</v>
      </c>
      <c r="B1284" t="s">
        <v>20</v>
      </c>
      <c r="C1284">
        <v>344.26</v>
      </c>
      <c r="D1284">
        <v>41.37</v>
      </c>
      <c r="E1284">
        <v>0</v>
      </c>
      <c r="F1284">
        <v>1.319999999999999E-2</v>
      </c>
      <c r="H1284">
        <v>3.1E-2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>
      <c r="A1285">
        <f t="shared" si="19"/>
        <v>1284</v>
      </c>
      <c r="B1285" t="s">
        <v>20</v>
      </c>
      <c r="C1285">
        <v>344.26</v>
      </c>
      <c r="D1285">
        <v>48.26</v>
      </c>
      <c r="E1285">
        <v>0</v>
      </c>
      <c r="F1285">
        <v>1.319999999999999E-2</v>
      </c>
      <c r="H1285">
        <v>3.6400000000000002E-2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>
      <c r="A1286">
        <f t="shared" si="19"/>
        <v>1285</v>
      </c>
      <c r="B1286" t="s">
        <v>20</v>
      </c>
      <c r="C1286">
        <v>344.26</v>
      </c>
      <c r="D1286">
        <v>52.36</v>
      </c>
      <c r="E1286">
        <v>0</v>
      </c>
      <c r="F1286">
        <v>1.3100000000000001E-2</v>
      </c>
      <c r="H1286">
        <v>3.95E-2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>
      <c r="A1287">
        <f t="shared" si="19"/>
        <v>1286</v>
      </c>
      <c r="B1287" t="s">
        <v>20</v>
      </c>
      <c r="C1287">
        <v>377.59</v>
      </c>
      <c r="D1287">
        <v>13.79</v>
      </c>
      <c r="E1287">
        <v>0</v>
      </c>
      <c r="F1287">
        <v>9.540000000000004E-2</v>
      </c>
      <c r="H1287">
        <v>7.7000000000000002E-3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>
      <c r="A1288">
        <f t="shared" si="19"/>
        <v>1287</v>
      </c>
      <c r="B1288" t="s">
        <v>20</v>
      </c>
      <c r="C1288">
        <v>377.59</v>
      </c>
      <c r="D1288">
        <v>27.58</v>
      </c>
      <c r="E1288">
        <v>0</v>
      </c>
      <c r="F1288">
        <v>5.2300000000000013E-2</v>
      </c>
      <c r="H1288">
        <v>1.5599999999999999E-2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>
      <c r="A1289">
        <f t="shared" si="19"/>
        <v>1288</v>
      </c>
      <c r="B1289" t="s">
        <v>20</v>
      </c>
      <c r="C1289">
        <v>377.59</v>
      </c>
      <c r="D1289">
        <v>41.37</v>
      </c>
      <c r="E1289">
        <v>0</v>
      </c>
      <c r="F1289">
        <v>4.0300000000000002E-2</v>
      </c>
      <c r="H1289">
        <v>2.3E-2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>
      <c r="A1290">
        <f t="shared" si="19"/>
        <v>1289</v>
      </c>
      <c r="B1290" t="s">
        <v>20</v>
      </c>
      <c r="C1290">
        <v>377.59</v>
      </c>
      <c r="D1290">
        <v>55.16</v>
      </c>
      <c r="E1290">
        <v>0</v>
      </c>
      <c r="F1290">
        <v>3.5299999999999998E-2</v>
      </c>
      <c r="H1290">
        <v>3.0099999999999998E-2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>
      <c r="A1291">
        <f t="shared" si="19"/>
        <v>1290</v>
      </c>
      <c r="B1291" t="s">
        <v>20</v>
      </c>
      <c r="C1291">
        <v>377.59</v>
      </c>
      <c r="D1291">
        <v>68.95</v>
      </c>
      <c r="E1291">
        <v>0</v>
      </c>
      <c r="F1291">
        <v>3.3599999999999963E-2</v>
      </c>
      <c r="H1291">
        <v>3.7100000000000001E-2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>
      <c r="A1292">
        <f t="shared" si="19"/>
        <v>1291</v>
      </c>
      <c r="B1292" t="s">
        <v>20</v>
      </c>
      <c r="C1292">
        <v>377.59</v>
      </c>
      <c r="D1292">
        <v>86.18</v>
      </c>
      <c r="E1292">
        <v>0</v>
      </c>
      <c r="F1292">
        <v>3.3499999999999974E-2</v>
      </c>
      <c r="H1292">
        <v>4.6300000000000001E-2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>
      <c r="A1293">
        <f t="shared" si="19"/>
        <v>1292</v>
      </c>
      <c r="B1293" t="s">
        <v>20</v>
      </c>
      <c r="C1293">
        <v>377.59</v>
      </c>
      <c r="D1293">
        <v>103.4</v>
      </c>
      <c r="E1293">
        <v>0</v>
      </c>
      <c r="F1293">
        <v>3.4900000000000042E-2</v>
      </c>
      <c r="H1293">
        <v>5.7700000000000001E-2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>
      <c r="A1294">
        <f t="shared" si="19"/>
        <v>1293</v>
      </c>
      <c r="B1294" t="s">
        <v>20</v>
      </c>
      <c r="C1294">
        <v>377.59</v>
      </c>
      <c r="D1294">
        <v>120.7</v>
      </c>
      <c r="E1294">
        <v>0</v>
      </c>
      <c r="F1294">
        <v>3.7000000000000033E-2</v>
      </c>
      <c r="H1294">
        <v>6.9000000000000006E-2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>
      <c r="A1295">
        <f t="shared" si="19"/>
        <v>1294</v>
      </c>
      <c r="B1295" t="s">
        <v>20</v>
      </c>
      <c r="C1295">
        <v>377.59</v>
      </c>
      <c r="D1295">
        <v>137.9</v>
      </c>
      <c r="E1295">
        <v>0</v>
      </c>
      <c r="F1295">
        <v>3.9799999999999947E-2</v>
      </c>
      <c r="H1295">
        <v>8.2299999999999998E-2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>
      <c r="A1296">
        <f t="shared" si="19"/>
        <v>1295</v>
      </c>
      <c r="B1296" t="s">
        <v>20</v>
      </c>
      <c r="C1296">
        <v>377.59</v>
      </c>
      <c r="D1296">
        <v>155.1</v>
      </c>
      <c r="E1296">
        <v>0</v>
      </c>
      <c r="F1296">
        <v>4.3200000000000016E-2</v>
      </c>
      <c r="H1296">
        <v>9.7299999999999998E-2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>
      <c r="A1297">
        <f t="shared" si="19"/>
        <v>1296</v>
      </c>
      <c r="B1297" t="s">
        <v>20</v>
      </c>
      <c r="C1297">
        <v>377.59</v>
      </c>
      <c r="D1297">
        <v>172.4</v>
      </c>
      <c r="E1297">
        <v>0</v>
      </c>
      <c r="F1297">
        <v>4.6900000000000053E-2</v>
      </c>
      <c r="H1297">
        <v>0.1145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>
      <c r="A1298">
        <f t="shared" si="19"/>
        <v>1297</v>
      </c>
      <c r="B1298" t="s">
        <v>20</v>
      </c>
      <c r="C1298">
        <v>377.59</v>
      </c>
      <c r="D1298">
        <v>189.6</v>
      </c>
      <c r="E1298">
        <v>0</v>
      </c>
      <c r="F1298">
        <v>5.0899999999999945E-2</v>
      </c>
      <c r="H1298">
        <v>0.1346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>
      <c r="A1299">
        <f t="shared" si="19"/>
        <v>1298</v>
      </c>
      <c r="B1299" t="s">
        <v>20</v>
      </c>
      <c r="C1299">
        <v>377.59</v>
      </c>
      <c r="D1299">
        <v>206.8</v>
      </c>
      <c r="E1299">
        <v>0</v>
      </c>
      <c r="F1299">
        <v>5.4899999999999949E-2</v>
      </c>
      <c r="H1299">
        <v>0.15859999999999999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>
      <c r="A1300">
        <f t="shared" si="19"/>
        <v>1299</v>
      </c>
      <c r="B1300" t="s">
        <v>20</v>
      </c>
      <c r="C1300">
        <v>410.93</v>
      </c>
      <c r="D1300">
        <v>13.79</v>
      </c>
      <c r="E1300">
        <v>0</v>
      </c>
      <c r="F1300">
        <v>0.26249999999999996</v>
      </c>
      <c r="H1300">
        <v>5.7000000000000002E-3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>
      <c r="A1301">
        <f t="shared" si="19"/>
        <v>1300</v>
      </c>
      <c r="B1301" t="s">
        <v>20</v>
      </c>
      <c r="C1301">
        <v>410.93</v>
      </c>
      <c r="D1301">
        <v>27.58</v>
      </c>
      <c r="E1301">
        <v>0</v>
      </c>
      <c r="F1301">
        <v>0.1411</v>
      </c>
      <c r="H1301">
        <v>1.2699999999999999E-2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>
      <c r="A1302">
        <f t="shared" si="19"/>
        <v>1301</v>
      </c>
      <c r="B1302" t="s">
        <v>20</v>
      </c>
      <c r="C1302">
        <v>410.93</v>
      </c>
      <c r="D1302">
        <v>41.37</v>
      </c>
      <c r="E1302">
        <v>0</v>
      </c>
      <c r="F1302">
        <v>0.10160000000000002</v>
      </c>
      <c r="H1302">
        <v>1.9099999999999999E-2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>
      <c r="A1303">
        <f t="shared" si="19"/>
        <v>1302</v>
      </c>
      <c r="B1303" t="s">
        <v>20</v>
      </c>
      <c r="C1303">
        <v>410.93</v>
      </c>
      <c r="D1303">
        <v>55.16</v>
      </c>
      <c r="E1303">
        <v>0</v>
      </c>
      <c r="F1303">
        <v>8.450000000000002E-2</v>
      </c>
      <c r="H1303">
        <v>2.5000000000000001E-2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>
      <c r="A1304">
        <f t="shared" si="19"/>
        <v>1303</v>
      </c>
      <c r="B1304" t="s">
        <v>20</v>
      </c>
      <c r="C1304">
        <v>410.93</v>
      </c>
      <c r="D1304">
        <v>68.95</v>
      </c>
      <c r="E1304">
        <v>0</v>
      </c>
      <c r="F1304">
        <v>7.5200000000000045E-2</v>
      </c>
      <c r="H1304">
        <v>3.0800000000000001E-2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>
      <c r="A1305">
        <f t="shared" si="19"/>
        <v>1304</v>
      </c>
      <c r="B1305" t="s">
        <v>20</v>
      </c>
      <c r="C1305">
        <v>410.93</v>
      </c>
      <c r="D1305">
        <v>86.18</v>
      </c>
      <c r="E1305">
        <v>0</v>
      </c>
      <c r="F1305">
        <v>6.9300000000000028E-2</v>
      </c>
      <c r="H1305">
        <v>3.8199999999999998E-2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>
      <c r="A1306">
        <f t="shared" si="19"/>
        <v>1305</v>
      </c>
      <c r="B1306" t="s">
        <v>20</v>
      </c>
      <c r="C1306">
        <v>410.93</v>
      </c>
      <c r="D1306">
        <v>103.4</v>
      </c>
      <c r="E1306">
        <v>0</v>
      </c>
      <c r="F1306">
        <v>6.6999999999999948E-2</v>
      </c>
      <c r="H1306">
        <v>4.6300000000000001E-2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>
      <c r="A1307">
        <f t="shared" si="19"/>
        <v>1306</v>
      </c>
      <c r="B1307" t="s">
        <v>20</v>
      </c>
      <c r="C1307">
        <v>410.93</v>
      </c>
      <c r="D1307">
        <v>120.7</v>
      </c>
      <c r="E1307">
        <v>0</v>
      </c>
      <c r="F1307">
        <v>6.7300000000000026E-2</v>
      </c>
      <c r="H1307">
        <v>5.5E-2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>
      <c r="A1308">
        <f t="shared" si="19"/>
        <v>1307</v>
      </c>
      <c r="B1308" t="s">
        <v>20</v>
      </c>
      <c r="C1308">
        <v>410.93</v>
      </c>
      <c r="D1308">
        <v>137.9</v>
      </c>
      <c r="E1308">
        <v>0</v>
      </c>
      <c r="F1308">
        <v>6.9699999999999984E-2</v>
      </c>
      <c r="H1308">
        <v>6.4699999999999994E-2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>
      <c r="A1309">
        <f t="shared" si="19"/>
        <v>1308</v>
      </c>
      <c r="B1309" t="s">
        <v>20</v>
      </c>
      <c r="C1309">
        <v>410.93</v>
      </c>
      <c r="D1309">
        <v>155.1</v>
      </c>
      <c r="E1309">
        <v>0</v>
      </c>
      <c r="F1309">
        <v>7.3699999999999988E-2</v>
      </c>
      <c r="H1309">
        <v>7.4999999999999997E-2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>
      <c r="A1310">
        <f t="shared" si="19"/>
        <v>1309</v>
      </c>
      <c r="B1310" t="s">
        <v>20</v>
      </c>
      <c r="C1310">
        <v>410.93</v>
      </c>
      <c r="D1310">
        <v>172.4</v>
      </c>
      <c r="E1310">
        <v>0</v>
      </c>
      <c r="F1310">
        <v>7.8699999999999992E-2</v>
      </c>
      <c r="H1310">
        <v>8.5999999999999993E-2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>
      <c r="A1311">
        <f t="shared" si="19"/>
        <v>1310</v>
      </c>
      <c r="B1311" t="s">
        <v>20</v>
      </c>
      <c r="C1311">
        <v>410.93</v>
      </c>
      <c r="D1311">
        <v>189.6</v>
      </c>
      <c r="E1311">
        <v>0</v>
      </c>
      <c r="F1311">
        <v>8.4099999999999953E-2</v>
      </c>
      <c r="H1311">
        <v>9.7799999999999998E-2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>
      <c r="A1312">
        <f t="shared" si="19"/>
        <v>1311</v>
      </c>
      <c r="B1312" t="s">
        <v>20</v>
      </c>
      <c r="C1312">
        <v>410.93</v>
      </c>
      <c r="D1312">
        <v>206.8</v>
      </c>
      <c r="E1312">
        <v>0</v>
      </c>
      <c r="F1312">
        <v>8.9600000000000013E-2</v>
      </c>
      <c r="H1312">
        <v>0.1106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>
      <c r="A1313">
        <f t="shared" si="19"/>
        <v>1312</v>
      </c>
      <c r="B1313" t="s">
        <v>20</v>
      </c>
      <c r="C1313">
        <v>444.26</v>
      </c>
      <c r="D1313">
        <v>13.79</v>
      </c>
      <c r="E1313">
        <v>0</v>
      </c>
      <c r="F1313">
        <v>0.60189999999999999</v>
      </c>
      <c r="H1313">
        <v>2.8999999999999998E-3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>
      <c r="A1314">
        <f t="shared" si="19"/>
        <v>1313</v>
      </c>
      <c r="B1314" t="s">
        <v>20</v>
      </c>
      <c r="C1314">
        <v>444.26</v>
      </c>
      <c r="D1314">
        <v>27.58</v>
      </c>
      <c r="E1314">
        <v>0</v>
      </c>
      <c r="F1314">
        <v>0.31720000000000004</v>
      </c>
      <c r="H1314">
        <v>9.4000000000000004E-3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>
      <c r="A1315">
        <f t="shared" si="19"/>
        <v>1314</v>
      </c>
      <c r="B1315" t="s">
        <v>20</v>
      </c>
      <c r="C1315">
        <v>444.26</v>
      </c>
      <c r="D1315">
        <v>41.37</v>
      </c>
      <c r="E1315">
        <v>0</v>
      </c>
      <c r="F1315">
        <v>0.2228</v>
      </c>
      <c r="H1315">
        <v>1.55E-2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 spans="1:20">
      <c r="A1316">
        <f t="shared" si="19"/>
        <v>1315</v>
      </c>
      <c r="B1316" t="s">
        <v>20</v>
      </c>
      <c r="C1316">
        <v>444.26</v>
      </c>
      <c r="D1316">
        <v>55.16</v>
      </c>
      <c r="E1316">
        <v>0</v>
      </c>
      <c r="F1316">
        <v>0.17759999999999998</v>
      </c>
      <c r="H1316">
        <v>2.1399999999999999E-2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>
      <c r="A1317">
        <f t="shared" si="19"/>
        <v>1316</v>
      </c>
      <c r="B1317" t="s">
        <v>20</v>
      </c>
      <c r="C1317">
        <v>444.26</v>
      </c>
      <c r="D1317">
        <v>68.95</v>
      </c>
      <c r="E1317">
        <v>0</v>
      </c>
      <c r="F1317">
        <v>0.15339999999999998</v>
      </c>
      <c r="H1317">
        <v>2.7300000000000001E-2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>
      <c r="A1318">
        <f t="shared" ref="A1318:A1381" si="20">A1317+1</f>
        <v>1317</v>
      </c>
      <c r="B1318" t="s">
        <v>20</v>
      </c>
      <c r="C1318">
        <v>444.26</v>
      </c>
      <c r="D1318">
        <v>86.18</v>
      </c>
      <c r="E1318">
        <v>0</v>
      </c>
      <c r="F1318">
        <v>0.13539999999999996</v>
      </c>
      <c r="H1318">
        <v>3.5099999999999999E-2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>
      <c r="A1319">
        <f t="shared" si="20"/>
        <v>1318</v>
      </c>
      <c r="B1319" t="s">
        <v>20</v>
      </c>
      <c r="C1319">
        <v>444.26</v>
      </c>
      <c r="D1319">
        <v>103.4</v>
      </c>
      <c r="E1319">
        <v>0</v>
      </c>
      <c r="F1319">
        <v>0.12580000000000002</v>
      </c>
      <c r="H1319">
        <v>4.3499999999999997E-2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 spans="1:20">
      <c r="A1320">
        <f t="shared" si="20"/>
        <v>1319</v>
      </c>
      <c r="B1320" t="s">
        <v>20</v>
      </c>
      <c r="C1320">
        <v>444.26</v>
      </c>
      <c r="D1320">
        <v>120.7</v>
      </c>
      <c r="E1320">
        <v>0</v>
      </c>
      <c r="F1320">
        <v>0.12119999999999997</v>
      </c>
      <c r="H1320">
        <v>5.1999999999999998E-2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>
      <c r="A1321">
        <f t="shared" si="20"/>
        <v>1320</v>
      </c>
      <c r="B1321" t="s">
        <v>20</v>
      </c>
      <c r="C1321">
        <v>444.26</v>
      </c>
      <c r="D1321">
        <v>137.9</v>
      </c>
      <c r="E1321">
        <v>0</v>
      </c>
      <c r="F1321">
        <v>0.12029999999999996</v>
      </c>
      <c r="H1321">
        <v>6.0999999999999999E-2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>
      <c r="A1322">
        <f t="shared" si="20"/>
        <v>1321</v>
      </c>
      <c r="B1322" t="s">
        <v>20</v>
      </c>
      <c r="C1322">
        <v>444.26</v>
      </c>
      <c r="D1322">
        <v>155.1</v>
      </c>
      <c r="E1322">
        <v>0</v>
      </c>
      <c r="F1322">
        <v>0.12209999999999999</v>
      </c>
      <c r="H1322">
        <v>7.0499999999999993E-2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>
      <c r="A1323">
        <f t="shared" si="20"/>
        <v>1322</v>
      </c>
      <c r="B1323" t="s">
        <v>20</v>
      </c>
      <c r="C1323">
        <v>444.26</v>
      </c>
      <c r="D1323">
        <v>172.4</v>
      </c>
      <c r="E1323">
        <v>0</v>
      </c>
      <c r="F1323">
        <v>0.126</v>
      </c>
      <c r="H1323">
        <v>8.0500000000000002E-2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>
      <c r="A1324">
        <f t="shared" si="20"/>
        <v>1323</v>
      </c>
      <c r="B1324" t="s">
        <v>20</v>
      </c>
      <c r="C1324">
        <v>444.26</v>
      </c>
      <c r="D1324">
        <v>189.6</v>
      </c>
      <c r="E1324">
        <v>0</v>
      </c>
      <c r="F1324">
        <v>0.13190000000000002</v>
      </c>
      <c r="H1324">
        <v>9.0999999999999998E-2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>
      <c r="A1325">
        <f t="shared" si="20"/>
        <v>1324</v>
      </c>
      <c r="B1325" t="s">
        <v>20</v>
      </c>
      <c r="C1325">
        <v>444.26</v>
      </c>
      <c r="D1325">
        <v>206.8</v>
      </c>
      <c r="E1325">
        <v>0</v>
      </c>
      <c r="F1325">
        <v>0.13939999999999997</v>
      </c>
      <c r="H1325">
        <v>0.1024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>
      <c r="A1326">
        <f t="shared" si="20"/>
        <v>1325</v>
      </c>
      <c r="B1326" t="s">
        <v>76</v>
      </c>
      <c r="C1326">
        <v>303.2</v>
      </c>
      <c r="D1326">
        <v>16.594999999999999</v>
      </c>
      <c r="E1326">
        <v>0</v>
      </c>
      <c r="H1326">
        <v>2.453E-2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>
      <c r="A1327">
        <f t="shared" si="20"/>
        <v>1326</v>
      </c>
      <c r="B1327" t="s">
        <v>76</v>
      </c>
      <c r="C1327">
        <v>303.2</v>
      </c>
      <c r="D1327">
        <v>17.589000000000002</v>
      </c>
      <c r="E1327">
        <v>0</v>
      </c>
      <c r="H1327">
        <v>2.5819999999999999E-2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>
      <c r="A1328">
        <f t="shared" si="20"/>
        <v>1327</v>
      </c>
      <c r="B1328" t="s">
        <v>76</v>
      </c>
      <c r="C1328">
        <v>303.2</v>
      </c>
      <c r="D1328">
        <v>19.004999999999999</v>
      </c>
      <c r="E1328">
        <v>0</v>
      </c>
      <c r="H1328">
        <v>2.8060000000000002E-2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>
      <c r="A1329">
        <f t="shared" si="20"/>
        <v>1328</v>
      </c>
      <c r="B1329" t="s">
        <v>76</v>
      </c>
      <c r="C1329">
        <v>303.2</v>
      </c>
      <c r="D1329">
        <v>19.452999999999999</v>
      </c>
      <c r="E1329">
        <v>0</v>
      </c>
      <c r="H1329">
        <v>2.8729999999999999E-2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>
      <c r="A1330">
        <f t="shared" si="20"/>
        <v>1329</v>
      </c>
      <c r="B1330" t="s">
        <v>76</v>
      </c>
      <c r="C1330">
        <v>303.2</v>
      </c>
      <c r="D1330">
        <v>19.559000000000001</v>
      </c>
      <c r="E1330">
        <v>0</v>
      </c>
      <c r="H1330">
        <v>2.8330000000000001E-2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>
      <c r="A1331">
        <f t="shared" si="20"/>
        <v>1330</v>
      </c>
      <c r="B1331" t="s">
        <v>76</v>
      </c>
      <c r="C1331">
        <v>303.2</v>
      </c>
      <c r="D1331">
        <v>19.97</v>
      </c>
      <c r="E1331">
        <v>0</v>
      </c>
      <c r="H1331">
        <v>2.9559999999999999E-2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>
      <c r="A1332">
        <f t="shared" si="20"/>
        <v>1331</v>
      </c>
      <c r="B1332" t="s">
        <v>76</v>
      </c>
      <c r="C1332">
        <v>303.2</v>
      </c>
      <c r="D1332">
        <v>20.343</v>
      </c>
      <c r="E1332">
        <v>0</v>
      </c>
      <c r="H1332">
        <v>2.9929999999999998E-2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>
      <c r="A1333">
        <f t="shared" si="20"/>
        <v>1332</v>
      </c>
      <c r="B1333" t="s">
        <v>76</v>
      </c>
      <c r="C1333">
        <v>303.2</v>
      </c>
      <c r="D1333">
        <v>20.590999999999998</v>
      </c>
      <c r="E1333">
        <v>0</v>
      </c>
      <c r="H1333">
        <v>3.0540000000000001E-2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>
      <c r="A1334">
        <f t="shared" si="20"/>
        <v>1333</v>
      </c>
      <c r="B1334" t="s">
        <v>76</v>
      </c>
      <c r="C1334">
        <v>303.2</v>
      </c>
      <c r="D1334">
        <v>20.791</v>
      </c>
      <c r="E1334">
        <v>0</v>
      </c>
      <c r="H1334">
        <v>3.0630000000000001E-2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>
      <c r="A1335">
        <f t="shared" si="20"/>
        <v>1334</v>
      </c>
      <c r="B1335" t="s">
        <v>76</v>
      </c>
      <c r="C1335">
        <v>303.2</v>
      </c>
      <c r="D1335">
        <v>21.066999999999997</v>
      </c>
      <c r="E1335">
        <v>0</v>
      </c>
      <c r="H1335">
        <v>3.0769999999999999E-2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>
      <c r="A1336">
        <f t="shared" si="20"/>
        <v>1335</v>
      </c>
      <c r="B1336" t="s">
        <v>76</v>
      </c>
      <c r="C1336">
        <v>303.2</v>
      </c>
      <c r="D1336">
        <v>21.69</v>
      </c>
      <c r="E1336">
        <v>0</v>
      </c>
      <c r="H1336">
        <v>3.1949999999999999E-2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>
      <c r="A1337">
        <f t="shared" si="20"/>
        <v>1336</v>
      </c>
      <c r="B1337" t="s">
        <v>76</v>
      </c>
      <c r="C1337">
        <v>303.2</v>
      </c>
      <c r="D1337">
        <v>22.620999999999999</v>
      </c>
      <c r="E1337">
        <v>0</v>
      </c>
      <c r="H1337">
        <v>3.2750000000000001E-2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>
      <c r="A1338">
        <f t="shared" si="20"/>
        <v>1337</v>
      </c>
      <c r="B1338" t="s">
        <v>76</v>
      </c>
      <c r="C1338">
        <v>303.2</v>
      </c>
      <c r="D1338">
        <v>22.655000000000001</v>
      </c>
      <c r="E1338">
        <v>0</v>
      </c>
      <c r="H1338">
        <v>3.2919999999999998E-2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 spans="1:20">
      <c r="A1339">
        <f t="shared" si="20"/>
        <v>1338</v>
      </c>
      <c r="B1339" t="s">
        <v>76</v>
      </c>
      <c r="C1339">
        <v>313.2</v>
      </c>
      <c r="D1339">
        <v>4.72</v>
      </c>
      <c r="E1339">
        <v>0</v>
      </c>
      <c r="H1339">
        <v>6.1999999999999998E-3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>
      <c r="A1340">
        <f t="shared" si="20"/>
        <v>1339</v>
      </c>
      <c r="B1340" t="s">
        <v>76</v>
      </c>
      <c r="C1340">
        <v>313.2</v>
      </c>
      <c r="D1340">
        <v>7.3039999999999994</v>
      </c>
      <c r="E1340">
        <v>0</v>
      </c>
      <c r="H1340">
        <v>9.1500000000000001E-3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 spans="1:20">
      <c r="A1341">
        <f t="shared" si="20"/>
        <v>1340</v>
      </c>
      <c r="B1341" t="s">
        <v>76</v>
      </c>
      <c r="C1341">
        <v>313.2</v>
      </c>
      <c r="D1341">
        <v>9.7080000000000002</v>
      </c>
      <c r="E1341">
        <v>0</v>
      </c>
      <c r="H1341">
        <v>1.2489999999999999E-2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>
      <c r="A1342">
        <f t="shared" si="20"/>
        <v>1341</v>
      </c>
      <c r="B1342" t="s">
        <v>76</v>
      </c>
      <c r="C1342">
        <v>313.2</v>
      </c>
      <c r="D1342">
        <v>10.706</v>
      </c>
      <c r="E1342">
        <v>0</v>
      </c>
      <c r="H1342">
        <v>1.3729999999999999E-2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>
      <c r="A1343">
        <f t="shared" si="20"/>
        <v>1342</v>
      </c>
      <c r="B1343" t="s">
        <v>76</v>
      </c>
      <c r="C1343">
        <v>313.2</v>
      </c>
      <c r="D1343">
        <v>11.33</v>
      </c>
      <c r="E1343">
        <v>0</v>
      </c>
      <c r="H1343">
        <v>1.434E-2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>
      <c r="A1344">
        <f t="shared" si="20"/>
        <v>1343</v>
      </c>
      <c r="B1344" t="s">
        <v>76</v>
      </c>
      <c r="C1344">
        <v>313.2</v>
      </c>
      <c r="D1344">
        <v>12.357999999999999</v>
      </c>
      <c r="E1344">
        <v>0</v>
      </c>
      <c r="H1344">
        <v>1.5650000000000001E-2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>
      <c r="A1345">
        <f t="shared" si="20"/>
        <v>1344</v>
      </c>
      <c r="B1345" t="s">
        <v>76</v>
      </c>
      <c r="C1345">
        <v>313.2</v>
      </c>
      <c r="D1345">
        <v>14.699000000000002</v>
      </c>
      <c r="E1345">
        <v>0</v>
      </c>
      <c r="H1345">
        <v>1.8100000000000002E-2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>
      <c r="A1346">
        <f t="shared" si="20"/>
        <v>1345</v>
      </c>
      <c r="B1346" t="s">
        <v>76</v>
      </c>
      <c r="C1346">
        <v>313.2</v>
      </c>
      <c r="D1346">
        <v>15.345999999999998</v>
      </c>
      <c r="E1346">
        <v>0</v>
      </c>
      <c r="H1346">
        <v>1.95E-2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>
      <c r="A1347">
        <f t="shared" si="20"/>
        <v>1346</v>
      </c>
      <c r="B1347" t="s">
        <v>76</v>
      </c>
      <c r="C1347">
        <v>313.2</v>
      </c>
      <c r="D1347">
        <v>15.831</v>
      </c>
      <c r="E1347">
        <v>0</v>
      </c>
      <c r="H1347">
        <v>1.9789999999999999E-2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>
      <c r="A1348">
        <f t="shared" si="20"/>
        <v>1347</v>
      </c>
      <c r="B1348" t="s">
        <v>76</v>
      </c>
      <c r="C1348">
        <v>313.2</v>
      </c>
      <c r="D1348">
        <v>16.090999999999998</v>
      </c>
      <c r="E1348">
        <v>0</v>
      </c>
      <c r="H1348">
        <v>1.941E-2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>
      <c r="A1349">
        <f t="shared" si="20"/>
        <v>1348</v>
      </c>
      <c r="B1349" t="s">
        <v>76</v>
      </c>
      <c r="C1349">
        <v>313.2</v>
      </c>
      <c r="D1349">
        <v>16.367999999999999</v>
      </c>
      <c r="E1349">
        <v>0</v>
      </c>
      <c r="H1349">
        <v>1.975E-2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>
      <c r="A1350">
        <f t="shared" si="20"/>
        <v>1349</v>
      </c>
      <c r="B1350" t="s">
        <v>76</v>
      </c>
      <c r="C1350">
        <v>313.2</v>
      </c>
      <c r="D1350">
        <v>16.714000000000002</v>
      </c>
      <c r="E1350">
        <v>0</v>
      </c>
      <c r="H1350">
        <v>2.0129999999999999E-2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>
      <c r="A1351">
        <f t="shared" si="20"/>
        <v>1350</v>
      </c>
      <c r="B1351" t="s">
        <v>76</v>
      </c>
      <c r="C1351">
        <v>313.2</v>
      </c>
      <c r="D1351">
        <v>16.715</v>
      </c>
      <c r="E1351">
        <v>0</v>
      </c>
      <c r="H1351">
        <v>2.061E-2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>
      <c r="A1352">
        <f t="shared" si="20"/>
        <v>1351</v>
      </c>
      <c r="B1352" t="s">
        <v>76</v>
      </c>
      <c r="C1352">
        <v>313.2</v>
      </c>
      <c r="D1352">
        <v>17.071999999999999</v>
      </c>
      <c r="E1352">
        <v>0</v>
      </c>
      <c r="H1352">
        <v>2.077E-2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>
      <c r="A1353">
        <f t="shared" si="20"/>
        <v>1352</v>
      </c>
      <c r="B1353" t="s">
        <v>76</v>
      </c>
      <c r="C1353">
        <v>313.2</v>
      </c>
      <c r="D1353">
        <v>17.882999999999999</v>
      </c>
      <c r="E1353">
        <v>0</v>
      </c>
      <c r="H1353">
        <v>2.1260000000000001E-2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>
      <c r="A1354">
        <f t="shared" si="20"/>
        <v>1353</v>
      </c>
      <c r="B1354" t="s">
        <v>76</v>
      </c>
      <c r="C1354">
        <v>313.2</v>
      </c>
      <c r="D1354">
        <v>18.928000000000001</v>
      </c>
      <c r="E1354">
        <v>0</v>
      </c>
      <c r="H1354">
        <v>2.282E-2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>
      <c r="A1355">
        <f t="shared" si="20"/>
        <v>1354</v>
      </c>
      <c r="B1355" t="s">
        <v>76</v>
      </c>
      <c r="C1355">
        <v>313.2</v>
      </c>
      <c r="D1355">
        <v>19.340999999999998</v>
      </c>
      <c r="E1355">
        <v>0</v>
      </c>
      <c r="H1355">
        <v>2.334E-2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 spans="1:20">
      <c r="A1356">
        <f t="shared" si="20"/>
        <v>1355</v>
      </c>
      <c r="B1356" t="s">
        <v>76</v>
      </c>
      <c r="C1356">
        <v>313.2</v>
      </c>
      <c r="D1356">
        <v>19.819000000000003</v>
      </c>
      <c r="E1356">
        <v>0</v>
      </c>
      <c r="H1356">
        <v>2.3470000000000001E-2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>
      <c r="A1357">
        <f t="shared" si="20"/>
        <v>1356</v>
      </c>
      <c r="B1357" t="s">
        <v>76</v>
      </c>
      <c r="C1357">
        <v>313.2</v>
      </c>
      <c r="D1357">
        <v>19.831</v>
      </c>
      <c r="E1357">
        <v>0</v>
      </c>
      <c r="H1357">
        <v>2.3980000000000001E-2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>
      <c r="A1358">
        <f t="shared" si="20"/>
        <v>1357</v>
      </c>
      <c r="B1358" t="s">
        <v>76</v>
      </c>
      <c r="C1358">
        <v>313.2</v>
      </c>
      <c r="D1358">
        <v>20.521999999999998</v>
      </c>
      <c r="E1358">
        <v>0</v>
      </c>
      <c r="H1358">
        <v>2.4080000000000001E-2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>
      <c r="A1359">
        <f t="shared" si="20"/>
        <v>1358</v>
      </c>
      <c r="B1359" t="s">
        <v>76</v>
      </c>
      <c r="C1359">
        <v>313.2</v>
      </c>
      <c r="D1359">
        <v>20.599</v>
      </c>
      <c r="E1359">
        <v>0</v>
      </c>
      <c r="H1359">
        <v>2.4979999999999999E-2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>
      <c r="A1360">
        <f t="shared" si="20"/>
        <v>1359</v>
      </c>
      <c r="B1360" t="s">
        <v>76</v>
      </c>
      <c r="C1360">
        <v>313.2</v>
      </c>
      <c r="D1360">
        <v>20.613000000000003</v>
      </c>
      <c r="E1360">
        <v>0</v>
      </c>
      <c r="H1360">
        <v>2.5170000000000001E-2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 spans="1:20">
      <c r="A1361">
        <f t="shared" si="20"/>
        <v>1360</v>
      </c>
      <c r="B1361" t="s">
        <v>76</v>
      </c>
      <c r="C1361">
        <v>313.2</v>
      </c>
      <c r="D1361">
        <v>21.006999999999998</v>
      </c>
      <c r="E1361">
        <v>0</v>
      </c>
      <c r="H1361">
        <v>2.5260000000000001E-2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>
      <c r="A1362">
        <f t="shared" si="20"/>
        <v>1361</v>
      </c>
      <c r="B1362" t="s">
        <v>76</v>
      </c>
      <c r="C1362">
        <v>313.2</v>
      </c>
      <c r="D1362">
        <v>21.008000000000003</v>
      </c>
      <c r="E1362">
        <v>0</v>
      </c>
      <c r="H1362">
        <v>2.546E-2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>
      <c r="A1363">
        <f t="shared" si="20"/>
        <v>1362</v>
      </c>
      <c r="B1363" t="s">
        <v>76</v>
      </c>
      <c r="C1363">
        <v>313.2</v>
      </c>
      <c r="D1363">
        <v>21.283000000000001</v>
      </c>
      <c r="E1363">
        <v>0</v>
      </c>
      <c r="H1363">
        <v>2.529E-2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 spans="1:20">
      <c r="A1364">
        <f t="shared" si="20"/>
        <v>1363</v>
      </c>
      <c r="B1364" t="s">
        <v>76</v>
      </c>
      <c r="C1364">
        <v>313.2</v>
      </c>
      <c r="D1364">
        <v>22.27</v>
      </c>
      <c r="E1364">
        <v>0</v>
      </c>
      <c r="H1364">
        <v>2.6120000000000001E-2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>
      <c r="A1365">
        <f t="shared" si="20"/>
        <v>1364</v>
      </c>
      <c r="B1365" t="s">
        <v>76</v>
      </c>
      <c r="C1365">
        <v>313.2</v>
      </c>
      <c r="D1365">
        <v>24.173999999999999</v>
      </c>
      <c r="E1365">
        <v>0</v>
      </c>
      <c r="H1365">
        <v>2.826E-2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>
      <c r="A1366">
        <f t="shared" si="20"/>
        <v>1365</v>
      </c>
      <c r="B1366" t="s">
        <v>76</v>
      </c>
      <c r="C1366">
        <v>313.2</v>
      </c>
      <c r="D1366">
        <v>24.529</v>
      </c>
      <c r="E1366">
        <v>0</v>
      </c>
      <c r="H1366">
        <v>2.8219999999999999E-2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>
      <c r="A1367">
        <f t="shared" si="20"/>
        <v>1366</v>
      </c>
      <c r="B1367" t="s">
        <v>76</v>
      </c>
      <c r="C1367">
        <v>313.2</v>
      </c>
      <c r="D1367">
        <v>24.589000000000002</v>
      </c>
      <c r="E1367">
        <v>0</v>
      </c>
      <c r="H1367">
        <v>2.9260000000000001E-2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 spans="1:20">
      <c r="A1368">
        <f t="shared" si="20"/>
        <v>1367</v>
      </c>
      <c r="B1368" t="s">
        <v>76</v>
      </c>
      <c r="C1368">
        <v>313.2</v>
      </c>
      <c r="D1368">
        <v>24.794</v>
      </c>
      <c r="E1368">
        <v>0</v>
      </c>
      <c r="H1368">
        <v>2.8729999999999999E-2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 spans="1:20">
      <c r="A1369">
        <f t="shared" si="20"/>
        <v>1368</v>
      </c>
      <c r="B1369" t="s">
        <v>76</v>
      </c>
      <c r="C1369">
        <v>313.2</v>
      </c>
      <c r="D1369">
        <v>25.616</v>
      </c>
      <c r="E1369">
        <v>0</v>
      </c>
      <c r="H1369">
        <v>2.9829999999999999E-2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>
      <c r="A1370">
        <f t="shared" si="20"/>
        <v>1369</v>
      </c>
      <c r="B1370" t="s">
        <v>76</v>
      </c>
      <c r="C1370">
        <v>323.10000000000002</v>
      </c>
      <c r="D1370">
        <v>7.1829999999999998</v>
      </c>
      <c r="E1370">
        <v>0</v>
      </c>
      <c r="H1370">
        <v>7.8300000000000002E-3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>
      <c r="A1371">
        <f t="shared" si="20"/>
        <v>1370</v>
      </c>
      <c r="B1371" t="s">
        <v>76</v>
      </c>
      <c r="C1371">
        <v>323.10000000000002</v>
      </c>
      <c r="D1371">
        <v>8.9290000000000003</v>
      </c>
      <c r="E1371">
        <v>0</v>
      </c>
      <c r="H1371">
        <v>9.6299999999999997E-3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>
      <c r="A1372">
        <f t="shared" si="20"/>
        <v>1371</v>
      </c>
      <c r="B1372" t="s">
        <v>76</v>
      </c>
      <c r="C1372">
        <v>323.10000000000002</v>
      </c>
      <c r="D1372">
        <v>10.055</v>
      </c>
      <c r="E1372">
        <v>0</v>
      </c>
      <c r="H1372">
        <v>1.09E-2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>
      <c r="A1373">
        <f t="shared" si="20"/>
        <v>1372</v>
      </c>
      <c r="B1373" t="s">
        <v>76</v>
      </c>
      <c r="C1373">
        <v>323.10000000000002</v>
      </c>
      <c r="D1373">
        <v>11.654999999999999</v>
      </c>
      <c r="E1373">
        <v>0</v>
      </c>
      <c r="H1373">
        <v>1.231E-2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>
      <c r="A1374">
        <f t="shared" si="20"/>
        <v>1373</v>
      </c>
      <c r="B1374" t="s">
        <v>76</v>
      </c>
      <c r="C1374">
        <v>323.10000000000002</v>
      </c>
      <c r="D1374">
        <v>15.109000000000002</v>
      </c>
      <c r="E1374">
        <v>0</v>
      </c>
      <c r="H1374">
        <v>1.542E-2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>
      <c r="A1375">
        <f t="shared" si="20"/>
        <v>1374</v>
      </c>
      <c r="B1375" t="s">
        <v>76</v>
      </c>
      <c r="C1375">
        <v>323.10000000000002</v>
      </c>
      <c r="D1375">
        <v>15.109000000000002</v>
      </c>
      <c r="E1375">
        <v>0</v>
      </c>
      <c r="H1375">
        <v>1.525E-2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>
      <c r="A1376">
        <f t="shared" si="20"/>
        <v>1375</v>
      </c>
      <c r="B1376" t="s">
        <v>76</v>
      </c>
      <c r="C1376">
        <v>323.10000000000002</v>
      </c>
      <c r="D1376">
        <v>16.832000000000001</v>
      </c>
      <c r="E1376">
        <v>0</v>
      </c>
      <c r="H1376">
        <v>1.7500000000000002E-2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>
      <c r="A1377">
        <f t="shared" si="20"/>
        <v>1376</v>
      </c>
      <c r="B1377" t="s">
        <v>76</v>
      </c>
      <c r="C1377">
        <v>323.10000000000002</v>
      </c>
      <c r="D1377">
        <v>18.484000000000002</v>
      </c>
      <c r="E1377">
        <v>0</v>
      </c>
      <c r="H1377">
        <v>1.8780000000000002E-2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>
      <c r="A1378">
        <f t="shared" si="20"/>
        <v>1377</v>
      </c>
      <c r="B1378" t="s">
        <v>76</v>
      </c>
      <c r="C1378">
        <v>323.10000000000002</v>
      </c>
      <c r="D1378">
        <v>19.280999999999999</v>
      </c>
      <c r="E1378">
        <v>0</v>
      </c>
      <c r="H1378">
        <v>1.9970000000000002E-2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>
      <c r="A1379">
        <f t="shared" si="20"/>
        <v>1378</v>
      </c>
      <c r="B1379" t="s">
        <v>76</v>
      </c>
      <c r="C1379">
        <v>323.10000000000002</v>
      </c>
      <c r="D1379">
        <v>19.401</v>
      </c>
      <c r="E1379">
        <v>0</v>
      </c>
      <c r="H1379">
        <v>1.9959999999999999E-2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>
      <c r="A1380">
        <f t="shared" si="20"/>
        <v>1379</v>
      </c>
      <c r="B1380" t="s">
        <v>76</v>
      </c>
      <c r="C1380">
        <v>323.10000000000002</v>
      </c>
      <c r="D1380">
        <v>19.762999999999998</v>
      </c>
      <c r="E1380">
        <v>0</v>
      </c>
      <c r="H1380">
        <v>1.975E-2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>
      <c r="A1381">
        <f t="shared" si="20"/>
        <v>1380</v>
      </c>
      <c r="B1381" t="s">
        <v>76</v>
      </c>
      <c r="C1381">
        <v>323.10000000000002</v>
      </c>
      <c r="D1381">
        <v>20.100999999999999</v>
      </c>
      <c r="E1381">
        <v>0</v>
      </c>
      <c r="H1381">
        <v>2.0219999999999998E-2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>
      <c r="A1382">
        <f t="shared" ref="A1382:A1445" si="21">A1381+1</f>
        <v>1381</v>
      </c>
      <c r="B1382" t="s">
        <v>76</v>
      </c>
      <c r="C1382">
        <v>323.10000000000002</v>
      </c>
      <c r="D1382">
        <v>20.480999999999998</v>
      </c>
      <c r="E1382">
        <v>0</v>
      </c>
      <c r="H1382">
        <v>2.0480000000000002E-2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>
      <c r="A1383">
        <f t="shared" si="21"/>
        <v>1382</v>
      </c>
      <c r="B1383" t="s">
        <v>76</v>
      </c>
      <c r="C1383">
        <v>323.10000000000002</v>
      </c>
      <c r="D1383">
        <v>21.338000000000001</v>
      </c>
      <c r="E1383">
        <v>0</v>
      </c>
      <c r="H1383">
        <v>2.1139999999999999E-2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>
      <c r="A1384">
        <f t="shared" si="21"/>
        <v>1383</v>
      </c>
      <c r="B1384" t="s">
        <v>76</v>
      </c>
      <c r="C1384">
        <v>323.10000000000002</v>
      </c>
      <c r="D1384">
        <v>21.78</v>
      </c>
      <c r="E1384">
        <v>0</v>
      </c>
      <c r="H1384">
        <v>2.2100000000000002E-2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>
      <c r="A1385">
        <f t="shared" si="21"/>
        <v>1384</v>
      </c>
      <c r="B1385" t="s">
        <v>76</v>
      </c>
      <c r="C1385">
        <v>323.10000000000002</v>
      </c>
      <c r="D1385">
        <v>22.658000000000001</v>
      </c>
      <c r="E1385">
        <v>0</v>
      </c>
      <c r="H1385">
        <v>2.3269999999999999E-2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>
      <c r="A1386">
        <f t="shared" si="21"/>
        <v>1385</v>
      </c>
      <c r="B1386" t="s">
        <v>76</v>
      </c>
      <c r="C1386">
        <v>323.10000000000002</v>
      </c>
      <c r="D1386">
        <v>23.831</v>
      </c>
      <c r="E1386">
        <v>0</v>
      </c>
      <c r="H1386">
        <v>2.383E-2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>
      <c r="A1387">
        <f t="shared" si="21"/>
        <v>1386</v>
      </c>
      <c r="B1387" t="s">
        <v>76</v>
      </c>
      <c r="C1387">
        <v>323.10000000000002</v>
      </c>
      <c r="D1387">
        <v>24.824999999999999</v>
      </c>
      <c r="E1387">
        <v>0</v>
      </c>
      <c r="H1387">
        <v>2.4580000000000001E-2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>
      <c r="A1388">
        <f t="shared" si="21"/>
        <v>1387</v>
      </c>
      <c r="B1388" t="s">
        <v>76</v>
      </c>
      <c r="C1388">
        <v>323.10000000000002</v>
      </c>
      <c r="D1388">
        <v>25.183000000000003</v>
      </c>
      <c r="E1388">
        <v>0</v>
      </c>
      <c r="H1388">
        <v>2.4369999999999999E-2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>
      <c r="A1389">
        <f t="shared" si="21"/>
        <v>1388</v>
      </c>
      <c r="B1389" t="s">
        <v>76</v>
      </c>
      <c r="C1389">
        <v>323.10000000000002</v>
      </c>
      <c r="D1389">
        <v>26.370999999999999</v>
      </c>
      <c r="E1389">
        <v>0</v>
      </c>
      <c r="H1389">
        <v>2.588E-2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>
      <c r="A1390">
        <f t="shared" si="21"/>
        <v>1389</v>
      </c>
      <c r="B1390" t="s">
        <v>76</v>
      </c>
      <c r="C1390">
        <v>323.10000000000002</v>
      </c>
      <c r="D1390">
        <v>26.370999999999999</v>
      </c>
      <c r="E1390">
        <v>0</v>
      </c>
      <c r="H1390">
        <v>2.5940000000000001E-2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>
      <c r="A1391">
        <f t="shared" si="21"/>
        <v>1390</v>
      </c>
      <c r="B1391" t="s">
        <v>76</v>
      </c>
      <c r="C1391">
        <v>323.10000000000002</v>
      </c>
      <c r="D1391">
        <v>26.581</v>
      </c>
      <c r="E1391">
        <v>0</v>
      </c>
      <c r="H1391">
        <v>2.564E-2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>
      <c r="A1392">
        <f t="shared" si="21"/>
        <v>1391</v>
      </c>
      <c r="B1392" t="s">
        <v>76</v>
      </c>
      <c r="C1392">
        <v>323.10000000000002</v>
      </c>
      <c r="D1392">
        <v>27.111999999999998</v>
      </c>
      <c r="E1392">
        <v>0</v>
      </c>
      <c r="H1392">
        <v>2.64E-2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>
      <c r="A1393">
        <f t="shared" si="21"/>
        <v>1392</v>
      </c>
      <c r="B1393" t="s">
        <v>76</v>
      </c>
      <c r="C1393">
        <v>323.10000000000002</v>
      </c>
      <c r="D1393">
        <v>27.372</v>
      </c>
      <c r="E1393">
        <v>0</v>
      </c>
      <c r="H1393">
        <v>2.6630000000000001E-2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>
      <c r="A1394">
        <f t="shared" si="21"/>
        <v>1393</v>
      </c>
      <c r="B1394" t="s">
        <v>76</v>
      </c>
      <c r="C1394">
        <v>323.10000000000002</v>
      </c>
      <c r="D1394">
        <v>27.445</v>
      </c>
      <c r="E1394">
        <v>0</v>
      </c>
      <c r="H1394">
        <v>2.743E-2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>
      <c r="A1395">
        <f t="shared" si="21"/>
        <v>1394</v>
      </c>
      <c r="B1395" t="s">
        <v>76</v>
      </c>
      <c r="C1395">
        <v>323.10000000000002</v>
      </c>
      <c r="D1395">
        <v>27.554000000000002</v>
      </c>
      <c r="E1395">
        <v>0</v>
      </c>
      <c r="H1395">
        <v>2.7099999999999999E-2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>
      <c r="A1396">
        <f t="shared" si="21"/>
        <v>1395</v>
      </c>
      <c r="B1396" t="s">
        <v>76</v>
      </c>
      <c r="C1396">
        <v>323.10000000000002</v>
      </c>
      <c r="D1396">
        <v>28.061</v>
      </c>
      <c r="E1396">
        <v>0</v>
      </c>
      <c r="H1396">
        <v>2.7789999999999999E-2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>
      <c r="A1397">
        <f t="shared" si="21"/>
        <v>1396</v>
      </c>
      <c r="B1397" t="s">
        <v>76</v>
      </c>
      <c r="C1397">
        <v>323.10000000000002</v>
      </c>
      <c r="D1397">
        <v>28.084</v>
      </c>
      <c r="E1397">
        <v>0</v>
      </c>
      <c r="H1397">
        <v>2.742E-2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>
      <c r="A1398">
        <f t="shared" si="21"/>
        <v>1397</v>
      </c>
      <c r="B1398" t="s">
        <v>76</v>
      </c>
      <c r="C1398">
        <v>323.10000000000002</v>
      </c>
      <c r="D1398">
        <v>28.164999999999999</v>
      </c>
      <c r="E1398">
        <v>0</v>
      </c>
      <c r="H1398">
        <v>2.7220000000000001E-2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>
      <c r="A1399">
        <f t="shared" si="21"/>
        <v>1398</v>
      </c>
      <c r="B1399" t="s">
        <v>76</v>
      </c>
      <c r="C1399">
        <v>323.10000000000002</v>
      </c>
      <c r="D1399">
        <v>28.936999999999998</v>
      </c>
      <c r="E1399">
        <v>0</v>
      </c>
      <c r="H1399">
        <v>2.8219999999999999E-2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>
      <c r="A1400">
        <f t="shared" si="21"/>
        <v>1399</v>
      </c>
      <c r="B1400" t="s">
        <v>76</v>
      </c>
      <c r="C1400">
        <v>333.2</v>
      </c>
      <c r="D1400">
        <v>2.4060000000000001</v>
      </c>
      <c r="E1400">
        <v>0</v>
      </c>
      <c r="H1400">
        <v>2.1099999999999999E-3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>
      <c r="A1401">
        <f t="shared" si="21"/>
        <v>1400</v>
      </c>
      <c r="B1401" t="s">
        <v>76</v>
      </c>
      <c r="C1401">
        <v>333.2</v>
      </c>
      <c r="D1401">
        <v>4.0609999999999999</v>
      </c>
      <c r="E1401">
        <v>0</v>
      </c>
      <c r="H1401">
        <v>3.65E-3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>
      <c r="A1402">
        <f t="shared" si="21"/>
        <v>1401</v>
      </c>
      <c r="B1402" t="s">
        <v>76</v>
      </c>
      <c r="C1402">
        <v>333.2</v>
      </c>
      <c r="D1402">
        <v>5.75</v>
      </c>
      <c r="E1402">
        <v>0</v>
      </c>
      <c r="H1402">
        <v>5.3E-3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>
      <c r="A1403">
        <f t="shared" si="21"/>
        <v>1402</v>
      </c>
      <c r="B1403" t="s">
        <v>76</v>
      </c>
      <c r="C1403">
        <v>333.2</v>
      </c>
      <c r="D1403">
        <v>8.3689999999999998</v>
      </c>
      <c r="E1403">
        <v>0</v>
      </c>
      <c r="H1403">
        <v>7.6899999999999998E-3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>
      <c r="A1404">
        <f t="shared" si="21"/>
        <v>1403</v>
      </c>
      <c r="B1404" t="s">
        <v>76</v>
      </c>
      <c r="C1404">
        <v>333.2</v>
      </c>
      <c r="D1404">
        <v>11.954000000000001</v>
      </c>
      <c r="E1404">
        <v>0</v>
      </c>
      <c r="H1404">
        <v>1.0999999999999999E-2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>
      <c r="A1405">
        <f t="shared" si="21"/>
        <v>1404</v>
      </c>
      <c r="B1405" t="s">
        <v>76</v>
      </c>
      <c r="C1405">
        <v>333.2</v>
      </c>
      <c r="D1405">
        <v>15.417</v>
      </c>
      <c r="E1405">
        <v>0</v>
      </c>
      <c r="H1405">
        <v>1.4250000000000001E-2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>
      <c r="A1406">
        <f t="shared" si="21"/>
        <v>1405</v>
      </c>
      <c r="B1406" t="s">
        <v>76</v>
      </c>
      <c r="C1406">
        <v>333.2</v>
      </c>
      <c r="D1406">
        <v>16.504000000000001</v>
      </c>
      <c r="E1406">
        <v>0</v>
      </c>
      <c r="H1406">
        <v>1.546E-2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>
      <c r="A1407">
        <f t="shared" si="21"/>
        <v>1406</v>
      </c>
      <c r="B1407" t="s">
        <v>76</v>
      </c>
      <c r="C1407">
        <v>333.2</v>
      </c>
      <c r="D1407">
        <v>17.623000000000001</v>
      </c>
      <c r="E1407">
        <v>0</v>
      </c>
      <c r="H1407">
        <v>1.626E-2</v>
      </c>
      <c r="N1407">
        <v>0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>
      <c r="A1408">
        <f t="shared" si="21"/>
        <v>1407</v>
      </c>
      <c r="B1408" t="s">
        <v>76</v>
      </c>
      <c r="C1408">
        <v>333.2</v>
      </c>
      <c r="D1408">
        <v>19.14</v>
      </c>
      <c r="E1408">
        <v>0</v>
      </c>
      <c r="H1408">
        <v>1.779E-2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>
      <c r="A1409">
        <f t="shared" si="21"/>
        <v>1408</v>
      </c>
      <c r="B1409" t="s">
        <v>76</v>
      </c>
      <c r="C1409">
        <v>333.2</v>
      </c>
      <c r="D1409">
        <v>20.155999999999999</v>
      </c>
      <c r="E1409">
        <v>0</v>
      </c>
      <c r="H1409">
        <v>1.8579999999999999E-2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>
      <c r="A1410">
        <f t="shared" si="21"/>
        <v>1409</v>
      </c>
      <c r="B1410" t="s">
        <v>76</v>
      </c>
      <c r="C1410">
        <v>333.2</v>
      </c>
      <c r="D1410">
        <v>20.776</v>
      </c>
      <c r="E1410">
        <v>0</v>
      </c>
      <c r="H1410">
        <v>1.9130000000000001E-2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>
      <c r="A1411">
        <f t="shared" si="21"/>
        <v>1410</v>
      </c>
      <c r="B1411" t="s">
        <v>76</v>
      </c>
      <c r="C1411">
        <v>333.2</v>
      </c>
      <c r="D1411">
        <v>21.052</v>
      </c>
      <c r="E1411">
        <v>0</v>
      </c>
      <c r="H1411">
        <v>1.951E-2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>
      <c r="A1412">
        <f t="shared" si="21"/>
        <v>1411</v>
      </c>
      <c r="B1412" t="s">
        <v>76</v>
      </c>
      <c r="C1412">
        <v>333.2</v>
      </c>
      <c r="D1412">
        <v>21.484000000000002</v>
      </c>
      <c r="E1412">
        <v>0</v>
      </c>
      <c r="H1412">
        <v>1.967E-2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>
      <c r="A1413">
        <f t="shared" si="21"/>
        <v>1412</v>
      </c>
      <c r="B1413" t="s">
        <v>76</v>
      </c>
      <c r="C1413">
        <v>333.2</v>
      </c>
      <c r="D1413">
        <v>22.844999999999999</v>
      </c>
      <c r="E1413">
        <v>0</v>
      </c>
      <c r="H1413">
        <v>2.1180000000000001E-2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>
      <c r="A1414">
        <f t="shared" si="21"/>
        <v>1413</v>
      </c>
      <c r="B1414" t="s">
        <v>76</v>
      </c>
      <c r="C1414">
        <v>333.2</v>
      </c>
      <c r="D1414">
        <v>23.258000000000003</v>
      </c>
      <c r="E1414">
        <v>0</v>
      </c>
      <c r="H1414">
        <v>2.1409999999999998E-2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>
      <c r="A1415">
        <f t="shared" si="21"/>
        <v>1414</v>
      </c>
      <c r="B1415" t="s">
        <v>76</v>
      </c>
      <c r="C1415">
        <v>333.2</v>
      </c>
      <c r="D1415">
        <v>23.465</v>
      </c>
      <c r="E1415">
        <v>0</v>
      </c>
      <c r="H1415">
        <v>2.1680000000000001E-2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>
      <c r="A1416">
        <f t="shared" si="21"/>
        <v>1415</v>
      </c>
      <c r="B1416" t="s">
        <v>76</v>
      </c>
      <c r="C1416">
        <v>333.2</v>
      </c>
      <c r="D1416">
        <v>23.484000000000002</v>
      </c>
      <c r="E1416">
        <v>0</v>
      </c>
      <c r="H1416">
        <v>2.1270000000000001E-2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>
      <c r="A1417">
        <f t="shared" si="21"/>
        <v>1416</v>
      </c>
      <c r="B1417" t="s">
        <v>76</v>
      </c>
      <c r="C1417">
        <v>333.2</v>
      </c>
      <c r="D1417">
        <v>24.44</v>
      </c>
      <c r="E1417">
        <v>0</v>
      </c>
      <c r="H1417">
        <v>2.2210000000000001E-2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>
      <c r="A1418">
        <f t="shared" si="21"/>
        <v>1417</v>
      </c>
      <c r="B1418" t="s">
        <v>76</v>
      </c>
      <c r="C1418">
        <v>333.2</v>
      </c>
      <c r="D1418">
        <v>25.465</v>
      </c>
      <c r="E1418">
        <v>0</v>
      </c>
      <c r="H1418">
        <v>2.3220000000000001E-2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>
      <c r="A1419">
        <f t="shared" si="21"/>
        <v>1418</v>
      </c>
      <c r="B1419" t="s">
        <v>76</v>
      </c>
      <c r="C1419">
        <v>333.2</v>
      </c>
      <c r="D1419">
        <v>25.543000000000003</v>
      </c>
      <c r="E1419">
        <v>0</v>
      </c>
      <c r="H1419">
        <v>2.3040000000000001E-2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>
      <c r="A1420">
        <f t="shared" si="21"/>
        <v>1419</v>
      </c>
      <c r="B1420" t="s">
        <v>76</v>
      </c>
      <c r="C1420">
        <v>333.2</v>
      </c>
      <c r="D1420">
        <v>25.603000000000002</v>
      </c>
      <c r="E1420">
        <v>0</v>
      </c>
      <c r="H1420">
        <v>2.2919999999999999E-2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>
      <c r="A1421">
        <f t="shared" si="21"/>
        <v>1420</v>
      </c>
      <c r="B1421" t="s">
        <v>76</v>
      </c>
      <c r="C1421">
        <v>333.2</v>
      </c>
      <c r="D1421">
        <v>25.673999999999999</v>
      </c>
      <c r="E1421">
        <v>0</v>
      </c>
      <c r="H1421">
        <v>2.333E-2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>
      <c r="A1422">
        <f t="shared" si="21"/>
        <v>1421</v>
      </c>
      <c r="B1422" t="s">
        <v>76</v>
      </c>
      <c r="C1422">
        <v>333.2</v>
      </c>
      <c r="D1422">
        <v>25.69</v>
      </c>
      <c r="E1422">
        <v>0</v>
      </c>
      <c r="H1422">
        <v>2.3279999999999999E-2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>
      <c r="A1423">
        <f t="shared" si="21"/>
        <v>1422</v>
      </c>
      <c r="B1423" t="s">
        <v>76</v>
      </c>
      <c r="C1423">
        <v>333.2</v>
      </c>
      <c r="D1423">
        <v>26.795999999999999</v>
      </c>
      <c r="E1423">
        <v>0</v>
      </c>
      <c r="H1423">
        <v>2.436E-2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>
      <c r="A1424">
        <f t="shared" si="21"/>
        <v>1423</v>
      </c>
      <c r="B1424" t="s">
        <v>76</v>
      </c>
      <c r="C1424">
        <v>333.2</v>
      </c>
      <c r="D1424">
        <v>26.92</v>
      </c>
      <c r="E1424">
        <v>0</v>
      </c>
      <c r="H1424">
        <v>2.4539999999999999E-2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>
      <c r="A1425">
        <f t="shared" si="21"/>
        <v>1424</v>
      </c>
      <c r="B1425" t="s">
        <v>76</v>
      </c>
      <c r="C1425">
        <v>333.2</v>
      </c>
      <c r="D1425">
        <v>26.930999999999997</v>
      </c>
      <c r="E1425">
        <v>0</v>
      </c>
      <c r="H1425">
        <v>2.4379999999999999E-2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>
      <c r="A1426">
        <f t="shared" si="21"/>
        <v>1425</v>
      </c>
      <c r="B1426" t="s">
        <v>76</v>
      </c>
      <c r="C1426">
        <v>333.2</v>
      </c>
      <c r="D1426">
        <v>28.431999999999999</v>
      </c>
      <c r="E1426">
        <v>0</v>
      </c>
      <c r="H1426">
        <v>2.562E-2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>
      <c r="A1427">
        <f t="shared" si="21"/>
        <v>1426</v>
      </c>
      <c r="B1427" t="s">
        <v>76</v>
      </c>
      <c r="C1427">
        <v>333.2</v>
      </c>
      <c r="D1427">
        <v>28.713000000000001</v>
      </c>
      <c r="E1427">
        <v>0</v>
      </c>
      <c r="H1427">
        <v>2.615E-2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>
      <c r="A1428">
        <f t="shared" si="21"/>
        <v>1427</v>
      </c>
      <c r="B1428" t="s">
        <v>76</v>
      </c>
      <c r="C1428">
        <v>333.2</v>
      </c>
      <c r="D1428">
        <v>30.381</v>
      </c>
      <c r="E1428">
        <v>0</v>
      </c>
      <c r="H1428">
        <v>2.717E-2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>
      <c r="A1429">
        <f t="shared" si="21"/>
        <v>1428</v>
      </c>
      <c r="B1429" t="s">
        <v>76</v>
      </c>
      <c r="C1429">
        <v>333.2</v>
      </c>
      <c r="D1429">
        <v>30.986000000000001</v>
      </c>
      <c r="E1429">
        <v>0</v>
      </c>
      <c r="H1429">
        <v>2.7650000000000001E-2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>
      <c r="A1430">
        <f t="shared" si="21"/>
        <v>1429</v>
      </c>
      <c r="B1430" t="s">
        <v>76</v>
      </c>
      <c r="C1430">
        <v>333.2</v>
      </c>
      <c r="D1430">
        <v>31.747</v>
      </c>
      <c r="E1430">
        <v>0</v>
      </c>
      <c r="H1430">
        <v>2.8209999999999999E-2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>
      <c r="A1431">
        <f t="shared" si="21"/>
        <v>1430</v>
      </c>
      <c r="B1431" t="s">
        <v>76</v>
      </c>
      <c r="C1431">
        <v>333.2</v>
      </c>
      <c r="D1431">
        <v>32.104999999999997</v>
      </c>
      <c r="E1431">
        <v>0</v>
      </c>
      <c r="H1431">
        <v>2.8629999999999999E-2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>
      <c r="A1432">
        <f t="shared" si="21"/>
        <v>1431</v>
      </c>
      <c r="B1432" t="s">
        <v>76</v>
      </c>
      <c r="C1432">
        <v>333.2</v>
      </c>
      <c r="D1432">
        <v>32.5</v>
      </c>
      <c r="E1432">
        <v>0</v>
      </c>
      <c r="H1432">
        <v>2.9219999999999999E-2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>
      <c r="A1433">
        <f t="shared" si="21"/>
        <v>1432</v>
      </c>
      <c r="B1433" t="s">
        <v>76</v>
      </c>
      <c r="C1433">
        <v>333.2</v>
      </c>
      <c r="D1433">
        <v>32.570999999999998</v>
      </c>
      <c r="E1433">
        <v>0</v>
      </c>
      <c r="H1433">
        <v>2.8850000000000001E-2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>
      <c r="A1434">
        <f t="shared" si="21"/>
        <v>1433</v>
      </c>
      <c r="B1434" t="s">
        <v>76</v>
      </c>
      <c r="C1434">
        <v>333.2</v>
      </c>
      <c r="D1434">
        <v>33.260999999999996</v>
      </c>
      <c r="E1434">
        <v>0</v>
      </c>
      <c r="H1434">
        <v>2.9739999999999999E-2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>
      <c r="A1435">
        <f t="shared" si="21"/>
        <v>1434</v>
      </c>
      <c r="B1435" t="s">
        <v>76</v>
      </c>
      <c r="C1435">
        <v>333.2</v>
      </c>
      <c r="D1435">
        <v>34.156999999999996</v>
      </c>
      <c r="E1435">
        <v>0</v>
      </c>
      <c r="H1435">
        <v>3.0460000000000001E-2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>
      <c r="A1436">
        <f t="shared" si="21"/>
        <v>1435</v>
      </c>
      <c r="B1436" t="s">
        <v>76</v>
      </c>
      <c r="C1436">
        <v>333.2</v>
      </c>
      <c r="D1436">
        <v>34.570999999999998</v>
      </c>
      <c r="E1436">
        <v>0</v>
      </c>
      <c r="H1436">
        <v>3.0519999999999999E-2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>
      <c r="A1437">
        <f t="shared" si="21"/>
        <v>1436</v>
      </c>
      <c r="B1437" t="s">
        <v>76</v>
      </c>
      <c r="C1437">
        <v>333.2</v>
      </c>
      <c r="D1437">
        <v>34.986999999999995</v>
      </c>
      <c r="E1437">
        <v>0</v>
      </c>
      <c r="H1437">
        <v>3.1019999999999999E-2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>
      <c r="A1438">
        <f t="shared" si="21"/>
        <v>1437</v>
      </c>
      <c r="B1438" t="s">
        <v>76</v>
      </c>
      <c r="C1438">
        <v>333.2</v>
      </c>
      <c r="D1438">
        <v>39.619</v>
      </c>
      <c r="E1438">
        <v>0</v>
      </c>
      <c r="H1438">
        <v>3.4020000000000002E-2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>
      <c r="A1439">
        <f t="shared" si="21"/>
        <v>1438</v>
      </c>
      <c r="B1439" t="s">
        <v>76</v>
      </c>
      <c r="C1439">
        <v>333.2</v>
      </c>
      <c r="D1439">
        <v>40.036000000000001</v>
      </c>
      <c r="E1439">
        <v>0</v>
      </c>
      <c r="H1439">
        <v>3.4250000000000003E-2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>
      <c r="A1440">
        <f t="shared" si="21"/>
        <v>1439</v>
      </c>
      <c r="B1440" t="s">
        <v>76</v>
      </c>
      <c r="C1440">
        <v>333.2</v>
      </c>
      <c r="D1440">
        <v>41.118000000000002</v>
      </c>
      <c r="E1440">
        <v>0</v>
      </c>
      <c r="H1440">
        <v>3.4869999999999998E-2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>
      <c r="A1441">
        <f t="shared" si="21"/>
        <v>1440</v>
      </c>
      <c r="B1441" t="s">
        <v>76</v>
      </c>
      <c r="C1441">
        <v>333.2</v>
      </c>
      <c r="D1441">
        <v>41.606000000000002</v>
      </c>
      <c r="E1441">
        <v>0</v>
      </c>
      <c r="H1441">
        <v>3.4970000000000001E-2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>
      <c r="A1442">
        <f t="shared" si="21"/>
        <v>1441</v>
      </c>
      <c r="B1442" t="s">
        <v>76</v>
      </c>
      <c r="C1442">
        <v>333.2</v>
      </c>
      <c r="D1442">
        <v>41.606999999999999</v>
      </c>
      <c r="E1442">
        <v>0</v>
      </c>
      <c r="H1442">
        <v>3.5159999999999997E-2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>
      <c r="A1443">
        <f t="shared" si="21"/>
        <v>1442</v>
      </c>
      <c r="B1443" t="s">
        <v>76</v>
      </c>
      <c r="C1443">
        <v>333.2</v>
      </c>
      <c r="D1443">
        <v>42.171999999999997</v>
      </c>
      <c r="E1443">
        <v>0</v>
      </c>
      <c r="H1443">
        <v>3.5569999999999997E-2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>
      <c r="A1444">
        <f t="shared" si="21"/>
        <v>1443</v>
      </c>
      <c r="B1444" t="s">
        <v>76</v>
      </c>
      <c r="C1444">
        <v>333.2</v>
      </c>
      <c r="D1444">
        <v>42.236000000000004</v>
      </c>
      <c r="E1444">
        <v>0</v>
      </c>
      <c r="H1444">
        <v>3.5529999999999999E-2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>
      <c r="A1445">
        <f t="shared" si="21"/>
        <v>1444</v>
      </c>
      <c r="B1445" t="s">
        <v>76</v>
      </c>
      <c r="C1445">
        <v>333.2</v>
      </c>
      <c r="D1445">
        <v>42.241000000000007</v>
      </c>
      <c r="E1445">
        <v>0</v>
      </c>
      <c r="H1445">
        <v>3.5249999999999997E-2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>
      <c r="A1446">
        <f t="shared" ref="A1446:A1509" si="22">A1445+1</f>
        <v>1445</v>
      </c>
      <c r="B1446" t="s">
        <v>76</v>
      </c>
      <c r="C1446">
        <v>344.2</v>
      </c>
      <c r="D1446">
        <v>3.7480000000000002</v>
      </c>
      <c r="E1446">
        <v>0</v>
      </c>
      <c r="H1446">
        <v>2.7699999999999999E-3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>
      <c r="A1447">
        <f t="shared" si="22"/>
        <v>1446</v>
      </c>
      <c r="B1447" t="s">
        <v>76</v>
      </c>
      <c r="C1447">
        <v>344.2</v>
      </c>
      <c r="D1447">
        <v>5.4629999999999992</v>
      </c>
      <c r="E1447">
        <v>0</v>
      </c>
      <c r="H1447">
        <v>4.2100000000000002E-3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>
      <c r="A1448">
        <f t="shared" si="22"/>
        <v>1447</v>
      </c>
      <c r="B1448" t="s">
        <v>76</v>
      </c>
      <c r="C1448">
        <v>344.2</v>
      </c>
      <c r="D1448">
        <v>7.609</v>
      </c>
      <c r="E1448">
        <v>0</v>
      </c>
      <c r="H1448">
        <v>5.8300000000000001E-3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>
      <c r="A1449">
        <f t="shared" si="22"/>
        <v>1448</v>
      </c>
      <c r="B1449" t="s">
        <v>76</v>
      </c>
      <c r="C1449">
        <v>344.2</v>
      </c>
      <c r="D1449">
        <v>8.0220000000000002</v>
      </c>
      <c r="E1449">
        <v>0</v>
      </c>
      <c r="H1449">
        <v>6.2199999999999998E-3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>
      <c r="A1450">
        <f t="shared" si="22"/>
        <v>1449</v>
      </c>
      <c r="B1450" t="s">
        <v>76</v>
      </c>
      <c r="C1450">
        <v>344.2</v>
      </c>
      <c r="D1450">
        <v>8.2899999999999991</v>
      </c>
      <c r="E1450">
        <v>0</v>
      </c>
      <c r="H1450">
        <v>6.4700000000000001E-3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>
      <c r="A1451">
        <f t="shared" si="22"/>
        <v>1450</v>
      </c>
      <c r="B1451" t="s">
        <v>76</v>
      </c>
      <c r="C1451">
        <v>344.2</v>
      </c>
      <c r="D1451">
        <v>10.228999999999999</v>
      </c>
      <c r="E1451">
        <v>0</v>
      </c>
      <c r="H1451">
        <v>7.8300000000000002E-3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>
      <c r="A1452">
        <f t="shared" si="22"/>
        <v>1451</v>
      </c>
      <c r="B1452" t="s">
        <v>76</v>
      </c>
      <c r="C1452">
        <v>344.2</v>
      </c>
      <c r="D1452">
        <v>10.505000000000001</v>
      </c>
      <c r="E1452">
        <v>0</v>
      </c>
      <c r="H1452">
        <v>8.1399999999999997E-3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>
      <c r="A1453">
        <f t="shared" si="22"/>
        <v>1452</v>
      </c>
      <c r="B1453" t="s">
        <v>76</v>
      </c>
      <c r="C1453">
        <v>344.2</v>
      </c>
      <c r="D1453">
        <v>11.324000000000002</v>
      </c>
      <c r="E1453">
        <v>0</v>
      </c>
      <c r="H1453">
        <v>9.1400000000000006E-3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>
      <c r="A1454">
        <f t="shared" si="22"/>
        <v>1453</v>
      </c>
      <c r="B1454" t="s">
        <v>76</v>
      </c>
      <c r="C1454">
        <v>344.2</v>
      </c>
      <c r="D1454">
        <v>14.503</v>
      </c>
      <c r="E1454">
        <v>0</v>
      </c>
      <c r="H1454">
        <v>1.1469999999999999E-2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>
      <c r="A1455">
        <f t="shared" si="22"/>
        <v>1454</v>
      </c>
      <c r="B1455" t="s">
        <v>76</v>
      </c>
      <c r="C1455">
        <v>344.2</v>
      </c>
      <c r="D1455">
        <v>14.92</v>
      </c>
      <c r="E1455">
        <v>0</v>
      </c>
      <c r="H1455">
        <v>1.184E-2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>
      <c r="A1456">
        <f t="shared" si="22"/>
        <v>1455</v>
      </c>
      <c r="B1456" t="s">
        <v>76</v>
      </c>
      <c r="C1456">
        <v>344.2</v>
      </c>
      <c r="D1456">
        <v>15.185</v>
      </c>
      <c r="E1456">
        <v>0</v>
      </c>
      <c r="H1456">
        <v>1.21E-2</v>
      </c>
      <c r="N1456">
        <v>0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>
      <c r="A1457">
        <f t="shared" si="22"/>
        <v>1456</v>
      </c>
      <c r="B1457" t="s">
        <v>76</v>
      </c>
      <c r="C1457">
        <v>344.2</v>
      </c>
      <c r="D1457">
        <v>17.805</v>
      </c>
      <c r="E1457">
        <v>0</v>
      </c>
      <c r="H1457">
        <v>1.4290000000000001E-2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>
      <c r="A1458">
        <f t="shared" si="22"/>
        <v>1457</v>
      </c>
      <c r="B1458" t="s">
        <v>76</v>
      </c>
      <c r="C1458">
        <v>344.2</v>
      </c>
      <c r="D1458">
        <v>19.057000000000002</v>
      </c>
      <c r="E1458">
        <v>0</v>
      </c>
      <c r="H1458">
        <v>1.478E-2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>
      <c r="A1459">
        <f t="shared" si="22"/>
        <v>1458</v>
      </c>
      <c r="B1459" t="s">
        <v>76</v>
      </c>
      <c r="C1459">
        <v>344.2</v>
      </c>
      <c r="D1459">
        <v>21.814</v>
      </c>
      <c r="E1459">
        <v>0</v>
      </c>
      <c r="H1459">
        <v>1.72E-2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>
      <c r="A1460">
        <f t="shared" si="22"/>
        <v>1459</v>
      </c>
      <c r="B1460" t="s">
        <v>76</v>
      </c>
      <c r="C1460">
        <v>344.2</v>
      </c>
      <c r="D1460">
        <v>22.149000000000001</v>
      </c>
      <c r="E1460">
        <v>0</v>
      </c>
      <c r="H1460">
        <v>1.7350000000000001E-2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>
      <c r="A1461">
        <f t="shared" si="22"/>
        <v>1460</v>
      </c>
      <c r="B1461" t="s">
        <v>76</v>
      </c>
      <c r="C1461">
        <v>344.2</v>
      </c>
      <c r="D1461">
        <v>25.113000000000003</v>
      </c>
      <c r="E1461">
        <v>0</v>
      </c>
      <c r="H1461">
        <v>1.9810000000000001E-2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>
      <c r="A1462">
        <f t="shared" si="22"/>
        <v>1461</v>
      </c>
      <c r="B1462" t="s">
        <v>76</v>
      </c>
      <c r="C1462">
        <v>344.2</v>
      </c>
      <c r="D1462">
        <v>26.364999999999998</v>
      </c>
      <c r="E1462">
        <v>0</v>
      </c>
      <c r="H1462">
        <v>2.0119999999999999E-2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>
      <c r="A1463">
        <f t="shared" si="22"/>
        <v>1462</v>
      </c>
      <c r="B1463" t="s">
        <v>76</v>
      </c>
      <c r="C1463">
        <v>344.2</v>
      </c>
      <c r="D1463">
        <v>28.774999999999999</v>
      </c>
      <c r="E1463">
        <v>0</v>
      </c>
      <c r="H1463">
        <v>2.23E-2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>
      <c r="A1464">
        <f t="shared" si="22"/>
        <v>1463</v>
      </c>
      <c r="B1464" t="s">
        <v>76</v>
      </c>
      <c r="C1464">
        <v>344.2</v>
      </c>
      <c r="D1464">
        <v>29.191999999999997</v>
      </c>
      <c r="E1464">
        <v>0</v>
      </c>
      <c r="H1464">
        <v>2.2800000000000001E-2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>
      <c r="A1465">
        <f t="shared" si="22"/>
        <v>1464</v>
      </c>
      <c r="B1465" t="s">
        <v>76</v>
      </c>
      <c r="C1465">
        <v>344.2</v>
      </c>
      <c r="D1465">
        <v>30.914999999999999</v>
      </c>
      <c r="E1465">
        <v>0</v>
      </c>
      <c r="H1465">
        <v>2.4060000000000002E-2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>
      <c r="A1466">
        <f t="shared" si="22"/>
        <v>1465</v>
      </c>
      <c r="B1466" t="s">
        <v>76</v>
      </c>
      <c r="C1466">
        <v>344.2</v>
      </c>
      <c r="D1466">
        <v>32.154000000000003</v>
      </c>
      <c r="E1466">
        <v>0</v>
      </c>
      <c r="H1466">
        <v>2.5149999999999999E-2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>
      <c r="A1467">
        <f t="shared" si="22"/>
        <v>1466</v>
      </c>
      <c r="B1467" t="s">
        <v>76</v>
      </c>
      <c r="C1467">
        <v>344.2</v>
      </c>
      <c r="D1467">
        <v>33.811</v>
      </c>
      <c r="E1467">
        <v>0</v>
      </c>
      <c r="H1467">
        <v>2.622E-2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>
      <c r="A1468">
        <f t="shared" si="22"/>
        <v>1467</v>
      </c>
      <c r="B1468" t="s">
        <v>76</v>
      </c>
      <c r="C1468">
        <v>344.2</v>
      </c>
      <c r="D1468">
        <v>35.463000000000001</v>
      </c>
      <c r="E1468">
        <v>0</v>
      </c>
      <c r="H1468">
        <v>2.6460000000000001E-2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>
      <c r="A1469">
        <f t="shared" si="22"/>
        <v>1468</v>
      </c>
      <c r="B1469" t="s">
        <v>76</v>
      </c>
      <c r="C1469">
        <v>344.2</v>
      </c>
      <c r="D1469">
        <v>39.116999999999997</v>
      </c>
      <c r="E1469">
        <v>0</v>
      </c>
      <c r="H1469">
        <v>3.0290000000000001E-2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>
      <c r="A1470">
        <f t="shared" si="22"/>
        <v>1469</v>
      </c>
      <c r="B1470" t="s">
        <v>76</v>
      </c>
      <c r="C1470">
        <v>344.2</v>
      </c>
      <c r="D1470">
        <v>41.943999999999996</v>
      </c>
      <c r="E1470">
        <v>0</v>
      </c>
      <c r="H1470">
        <v>3.1960000000000002E-2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>
      <c r="A1471">
        <f t="shared" si="22"/>
        <v>1470</v>
      </c>
      <c r="B1471" t="s">
        <v>76</v>
      </c>
      <c r="C1471">
        <v>344.2</v>
      </c>
      <c r="D1471">
        <v>47.115000000000002</v>
      </c>
      <c r="E1471">
        <v>0</v>
      </c>
      <c r="H1471">
        <v>3.5459999999999998E-2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>
      <c r="A1472">
        <f t="shared" si="22"/>
        <v>1471</v>
      </c>
      <c r="B1472" t="s">
        <v>76</v>
      </c>
      <c r="C1472">
        <v>344.2</v>
      </c>
      <c r="D1472">
        <v>47.573</v>
      </c>
      <c r="E1472">
        <v>0</v>
      </c>
      <c r="H1472">
        <v>3.5180000000000003E-2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>
      <c r="A1473">
        <f t="shared" si="22"/>
        <v>1472</v>
      </c>
      <c r="B1473" t="s">
        <v>76</v>
      </c>
      <c r="C1473">
        <v>344.2</v>
      </c>
      <c r="D1473">
        <v>50.917000000000002</v>
      </c>
      <c r="E1473">
        <v>0</v>
      </c>
      <c r="H1473">
        <v>3.662E-2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>
      <c r="A1474">
        <f t="shared" si="22"/>
        <v>1473</v>
      </c>
      <c r="B1474" t="s">
        <v>76</v>
      </c>
      <c r="C1474">
        <v>344.2</v>
      </c>
      <c r="D1474">
        <v>51.123000000000005</v>
      </c>
      <c r="E1474">
        <v>0</v>
      </c>
      <c r="H1474">
        <v>3.6940000000000001E-2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>
      <c r="A1475">
        <f t="shared" si="22"/>
        <v>1474</v>
      </c>
      <c r="B1475" t="s">
        <v>76</v>
      </c>
      <c r="C1475">
        <v>344.2</v>
      </c>
      <c r="D1475">
        <v>51.261000000000003</v>
      </c>
      <c r="E1475">
        <v>0</v>
      </c>
      <c r="H1475">
        <v>3.7150000000000002E-2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>
      <c r="A1476">
        <f t="shared" si="22"/>
        <v>1475</v>
      </c>
      <c r="B1476" t="s">
        <v>76</v>
      </c>
      <c r="C1476">
        <v>363.2</v>
      </c>
      <c r="D1476">
        <v>2.3819999999999997</v>
      </c>
      <c r="E1476">
        <v>0</v>
      </c>
      <c r="H1476">
        <v>1.2600000000000001E-3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>
      <c r="A1477">
        <f t="shared" si="22"/>
        <v>1476</v>
      </c>
      <c r="B1477" t="s">
        <v>76</v>
      </c>
      <c r="C1477">
        <v>363.2</v>
      </c>
      <c r="D1477">
        <v>5.14</v>
      </c>
      <c r="E1477">
        <v>0</v>
      </c>
      <c r="H1477">
        <v>3.1700000000000001E-3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>
      <c r="A1478">
        <f t="shared" si="22"/>
        <v>1477</v>
      </c>
      <c r="B1478" t="s">
        <v>76</v>
      </c>
      <c r="C1478">
        <v>363.2</v>
      </c>
      <c r="D1478">
        <v>8.9649999999999999</v>
      </c>
      <c r="E1478">
        <v>0</v>
      </c>
      <c r="H1478">
        <v>5.77E-3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>
      <c r="A1479">
        <f t="shared" si="22"/>
        <v>1478</v>
      </c>
      <c r="B1479" t="s">
        <v>76</v>
      </c>
      <c r="C1479">
        <v>363.2</v>
      </c>
      <c r="D1479">
        <v>12.170999999999999</v>
      </c>
      <c r="E1479">
        <v>0</v>
      </c>
      <c r="H1479">
        <v>7.9299999999999995E-3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>
      <c r="A1480">
        <f t="shared" si="22"/>
        <v>1479</v>
      </c>
      <c r="B1480" t="s">
        <v>76</v>
      </c>
      <c r="C1480">
        <v>363.2</v>
      </c>
      <c r="D1480">
        <v>15.308</v>
      </c>
      <c r="E1480">
        <v>0</v>
      </c>
      <c r="H1480">
        <v>1.0120000000000001E-2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>
      <c r="A1481">
        <f t="shared" si="22"/>
        <v>1480</v>
      </c>
      <c r="B1481" t="s">
        <v>76</v>
      </c>
      <c r="C1481">
        <v>363.2</v>
      </c>
      <c r="D1481">
        <v>18.341999999999999</v>
      </c>
      <c r="E1481">
        <v>0</v>
      </c>
      <c r="H1481">
        <v>1.217E-2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>
      <c r="A1482">
        <f t="shared" si="22"/>
        <v>1481</v>
      </c>
      <c r="B1482" t="s">
        <v>76</v>
      </c>
      <c r="C1482">
        <v>363.2</v>
      </c>
      <c r="D1482">
        <v>21.203000000000003</v>
      </c>
      <c r="E1482">
        <v>0</v>
      </c>
      <c r="H1482">
        <v>1.37E-2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>
      <c r="A1483">
        <f t="shared" si="22"/>
        <v>1482</v>
      </c>
      <c r="B1483" t="s">
        <v>76</v>
      </c>
      <c r="C1483">
        <v>363.2</v>
      </c>
      <c r="D1483">
        <v>23.41</v>
      </c>
      <c r="E1483">
        <v>0</v>
      </c>
      <c r="H1483">
        <v>1.5219999999999999E-2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>
      <c r="A1484">
        <f t="shared" si="22"/>
        <v>1483</v>
      </c>
      <c r="B1484" t="s">
        <v>76</v>
      </c>
      <c r="C1484">
        <v>363.2</v>
      </c>
      <c r="D1484">
        <v>26.166</v>
      </c>
      <c r="E1484">
        <v>0</v>
      </c>
      <c r="H1484">
        <v>1.729E-2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>
      <c r="A1485">
        <f t="shared" si="22"/>
        <v>1484</v>
      </c>
      <c r="B1485" t="s">
        <v>76</v>
      </c>
      <c r="C1485">
        <v>363.2</v>
      </c>
      <c r="D1485">
        <v>27.335999999999999</v>
      </c>
      <c r="E1485">
        <v>0</v>
      </c>
      <c r="H1485">
        <v>1.7860000000000001E-2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>
      <c r="A1486">
        <f t="shared" si="22"/>
        <v>1485</v>
      </c>
      <c r="B1486" t="s">
        <v>76</v>
      </c>
      <c r="C1486">
        <v>363.2</v>
      </c>
      <c r="D1486">
        <v>27.749000000000002</v>
      </c>
      <c r="E1486">
        <v>0</v>
      </c>
      <c r="H1486">
        <v>1.823E-2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>
      <c r="A1487">
        <f t="shared" si="22"/>
        <v>1486</v>
      </c>
      <c r="B1487" t="s">
        <v>76</v>
      </c>
      <c r="C1487">
        <v>363.2</v>
      </c>
      <c r="D1487">
        <v>28.508000000000003</v>
      </c>
      <c r="E1487">
        <v>0</v>
      </c>
      <c r="H1487">
        <v>1.8550000000000001E-2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>
      <c r="A1488">
        <f t="shared" si="22"/>
        <v>1487</v>
      </c>
      <c r="B1488" t="s">
        <v>76</v>
      </c>
      <c r="C1488">
        <v>363.2</v>
      </c>
      <c r="D1488">
        <v>29.888999999999999</v>
      </c>
      <c r="E1488">
        <v>0</v>
      </c>
      <c r="H1488">
        <v>1.959E-2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>
      <c r="A1489">
        <f t="shared" si="22"/>
        <v>1488</v>
      </c>
      <c r="B1489" t="s">
        <v>76</v>
      </c>
      <c r="C1489">
        <v>363.2</v>
      </c>
      <c r="D1489">
        <v>32.164000000000001</v>
      </c>
      <c r="E1489">
        <v>0</v>
      </c>
      <c r="H1489">
        <v>2.0920000000000001E-2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>
      <c r="A1490">
        <f t="shared" si="22"/>
        <v>1489</v>
      </c>
      <c r="B1490" t="s">
        <v>76</v>
      </c>
      <c r="C1490">
        <v>363.2</v>
      </c>
      <c r="D1490">
        <v>32.643999999999998</v>
      </c>
      <c r="E1490">
        <v>0</v>
      </c>
      <c r="H1490">
        <v>2.1420000000000002E-2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>
      <c r="A1491">
        <f t="shared" si="22"/>
        <v>1490</v>
      </c>
      <c r="B1491" t="s">
        <v>76</v>
      </c>
      <c r="C1491">
        <v>363.2</v>
      </c>
      <c r="D1491">
        <v>34.364000000000004</v>
      </c>
      <c r="E1491">
        <v>0</v>
      </c>
      <c r="H1491">
        <v>2.231E-2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 spans="1:20">
      <c r="A1492">
        <f t="shared" si="22"/>
        <v>1491</v>
      </c>
      <c r="B1492" t="s">
        <v>76</v>
      </c>
      <c r="C1492">
        <v>363.2</v>
      </c>
      <c r="D1492">
        <v>35.326999999999998</v>
      </c>
      <c r="E1492">
        <v>0</v>
      </c>
      <c r="H1492">
        <v>2.299E-2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>
      <c r="A1493">
        <f t="shared" si="22"/>
        <v>1492</v>
      </c>
      <c r="B1493" t="s">
        <v>76</v>
      </c>
      <c r="C1493">
        <v>363.2</v>
      </c>
      <c r="D1493">
        <v>35.332999999999998</v>
      </c>
      <c r="E1493">
        <v>0</v>
      </c>
      <c r="H1493">
        <v>2.3E-2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>
      <c r="A1494">
        <f t="shared" si="22"/>
        <v>1493</v>
      </c>
      <c r="B1494" t="s">
        <v>76</v>
      </c>
      <c r="C1494">
        <v>363.2</v>
      </c>
      <c r="D1494">
        <v>36.984000000000002</v>
      </c>
      <c r="E1494">
        <v>0</v>
      </c>
      <c r="H1494">
        <v>2.4029999999999999E-2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>
      <c r="A1495">
        <f t="shared" si="22"/>
        <v>1494</v>
      </c>
      <c r="B1495" t="s">
        <v>76</v>
      </c>
      <c r="C1495">
        <v>363.2</v>
      </c>
      <c r="D1495">
        <v>38.431999999999995</v>
      </c>
      <c r="E1495">
        <v>0</v>
      </c>
      <c r="H1495">
        <v>2.4809999999999999E-2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>
      <c r="A1496">
        <f t="shared" si="22"/>
        <v>1495</v>
      </c>
      <c r="B1496" t="s">
        <v>76</v>
      </c>
      <c r="C1496">
        <v>363.2</v>
      </c>
      <c r="D1496">
        <v>40.292999999999999</v>
      </c>
      <c r="E1496">
        <v>0</v>
      </c>
      <c r="H1496">
        <v>2.6200000000000001E-2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>
      <c r="A1497">
        <f t="shared" si="22"/>
        <v>1496</v>
      </c>
      <c r="B1497" t="s">
        <v>76</v>
      </c>
      <c r="C1497">
        <v>363.2</v>
      </c>
      <c r="D1497">
        <v>42.223999999999997</v>
      </c>
      <c r="E1497">
        <v>0</v>
      </c>
      <c r="H1497">
        <v>2.7490000000000001E-2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>
      <c r="A1498">
        <f t="shared" si="22"/>
        <v>1497</v>
      </c>
      <c r="B1498" t="s">
        <v>76</v>
      </c>
      <c r="C1498">
        <v>363.2</v>
      </c>
      <c r="D1498">
        <v>42.568999999999996</v>
      </c>
      <c r="E1498">
        <v>0</v>
      </c>
      <c r="H1498">
        <v>2.7560000000000001E-2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>
      <c r="A1499">
        <f t="shared" si="22"/>
        <v>1498</v>
      </c>
      <c r="B1499" t="s">
        <v>76</v>
      </c>
      <c r="C1499">
        <v>363.2</v>
      </c>
      <c r="D1499">
        <v>44.706000000000003</v>
      </c>
      <c r="E1499">
        <v>0</v>
      </c>
      <c r="H1499">
        <v>2.8410000000000001E-2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>
      <c r="A1500">
        <f t="shared" si="22"/>
        <v>1499</v>
      </c>
      <c r="B1500" t="s">
        <v>76</v>
      </c>
      <c r="C1500">
        <v>363.2</v>
      </c>
      <c r="D1500">
        <v>45.74</v>
      </c>
      <c r="E1500">
        <v>0</v>
      </c>
      <c r="H1500">
        <v>2.9250000000000002E-2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>
      <c r="A1501">
        <f t="shared" si="22"/>
        <v>1500</v>
      </c>
      <c r="B1501" t="s">
        <v>76</v>
      </c>
      <c r="C1501">
        <v>363.2</v>
      </c>
      <c r="D1501">
        <v>47.335000000000001</v>
      </c>
      <c r="E1501">
        <v>0</v>
      </c>
      <c r="H1501">
        <v>3.006E-2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>
      <c r="A1502">
        <f t="shared" si="22"/>
        <v>1501</v>
      </c>
      <c r="B1502" t="s">
        <v>76</v>
      </c>
      <c r="C1502">
        <v>363.2</v>
      </c>
      <c r="D1502">
        <v>49.393999999999998</v>
      </c>
      <c r="E1502">
        <v>0</v>
      </c>
      <c r="H1502">
        <v>3.1320000000000001E-2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>
      <c r="A1503">
        <f t="shared" si="22"/>
        <v>1502</v>
      </c>
      <c r="B1503" t="s">
        <v>76</v>
      </c>
      <c r="C1503">
        <v>363.2</v>
      </c>
      <c r="D1503">
        <v>49.542000000000002</v>
      </c>
      <c r="E1503">
        <v>0</v>
      </c>
      <c r="H1503">
        <v>3.1289999999999998E-2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>
      <c r="A1504">
        <f t="shared" si="22"/>
        <v>1503</v>
      </c>
      <c r="B1504" t="s">
        <v>76</v>
      </c>
      <c r="C1504">
        <v>363.2</v>
      </c>
      <c r="D1504">
        <v>50.911000000000001</v>
      </c>
      <c r="E1504">
        <v>0</v>
      </c>
      <c r="H1504">
        <v>3.2050000000000002E-2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>
      <c r="A1505">
        <f t="shared" si="22"/>
        <v>1504</v>
      </c>
      <c r="B1505" t="s">
        <v>76</v>
      </c>
      <c r="C1505">
        <v>363.2</v>
      </c>
      <c r="D1505">
        <v>51.265000000000001</v>
      </c>
      <c r="E1505">
        <v>0</v>
      </c>
      <c r="H1505">
        <v>3.2230000000000002E-2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>
      <c r="A1506">
        <f t="shared" si="22"/>
        <v>1505</v>
      </c>
      <c r="B1506" t="s">
        <v>76</v>
      </c>
      <c r="C1506">
        <v>363.2</v>
      </c>
      <c r="D1506">
        <v>52.29</v>
      </c>
      <c r="E1506">
        <v>0</v>
      </c>
      <c r="H1506">
        <v>3.3110000000000001E-2</v>
      </c>
      <c r="N1506">
        <v>0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>
      <c r="A1507">
        <f t="shared" si="22"/>
        <v>1506</v>
      </c>
      <c r="B1507" t="s">
        <v>76</v>
      </c>
      <c r="C1507">
        <v>363.2</v>
      </c>
      <c r="D1507">
        <v>52.643999999999998</v>
      </c>
      <c r="E1507">
        <v>0</v>
      </c>
      <c r="H1507">
        <v>3.3230000000000003E-2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>
      <c r="A1508">
        <f t="shared" si="22"/>
        <v>1507</v>
      </c>
      <c r="B1508" t="s">
        <v>76</v>
      </c>
      <c r="C1508">
        <v>363.2</v>
      </c>
      <c r="D1508">
        <v>52.773000000000003</v>
      </c>
      <c r="E1508">
        <v>0</v>
      </c>
      <c r="H1508">
        <v>3.3169999999999998E-2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>
      <c r="A1509">
        <f t="shared" si="22"/>
        <v>1508</v>
      </c>
      <c r="B1509" t="s">
        <v>76</v>
      </c>
      <c r="C1509">
        <v>363.2</v>
      </c>
      <c r="D1509">
        <v>55.26</v>
      </c>
      <c r="E1509">
        <v>0</v>
      </c>
      <c r="H1509">
        <v>3.4380000000000001E-2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>
      <c r="A1510">
        <f t="shared" ref="A1510:A1573" si="23">A1509+1</f>
        <v>1509</v>
      </c>
      <c r="B1510" t="s">
        <v>76</v>
      </c>
      <c r="C1510">
        <v>363.2</v>
      </c>
      <c r="D1510">
        <v>56.088000000000001</v>
      </c>
      <c r="E1510">
        <v>0</v>
      </c>
      <c r="H1510">
        <v>3.456E-2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>
      <c r="A1511">
        <f t="shared" si="23"/>
        <v>1510</v>
      </c>
      <c r="B1511" t="s">
        <v>76</v>
      </c>
      <c r="C1511">
        <v>363.2</v>
      </c>
      <c r="D1511">
        <v>56.091999999999999</v>
      </c>
      <c r="E1511">
        <v>0</v>
      </c>
      <c r="H1511">
        <v>3.4689999999999999E-2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>
      <c r="A1512">
        <f t="shared" si="23"/>
        <v>1511</v>
      </c>
      <c r="B1512" t="s">
        <v>76</v>
      </c>
      <c r="C1512">
        <v>363.2</v>
      </c>
      <c r="D1512">
        <v>56.225000000000001</v>
      </c>
      <c r="E1512">
        <v>0</v>
      </c>
      <c r="H1512">
        <v>3.5000000000000003E-2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>
      <c r="A1513">
        <f t="shared" si="23"/>
        <v>1512</v>
      </c>
      <c r="B1513" t="s">
        <v>76</v>
      </c>
      <c r="C1513">
        <v>363.2</v>
      </c>
      <c r="D1513">
        <v>56.427</v>
      </c>
      <c r="E1513">
        <v>0</v>
      </c>
      <c r="H1513">
        <v>3.5000000000000003E-2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>
      <c r="A1514">
        <f t="shared" si="23"/>
        <v>1513</v>
      </c>
      <c r="B1514" t="s">
        <v>76</v>
      </c>
      <c r="C1514">
        <v>363.2</v>
      </c>
      <c r="D1514">
        <v>57.126000000000005</v>
      </c>
      <c r="E1514">
        <v>0</v>
      </c>
      <c r="H1514">
        <v>3.533E-2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>
      <c r="A1515">
        <f t="shared" si="23"/>
        <v>1514</v>
      </c>
      <c r="B1515" t="s">
        <v>76</v>
      </c>
      <c r="C1515">
        <v>363.2</v>
      </c>
      <c r="D1515">
        <v>58.288000000000004</v>
      </c>
      <c r="E1515">
        <v>0</v>
      </c>
      <c r="H1515">
        <v>3.61E-2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>
      <c r="A1516">
        <f t="shared" si="23"/>
        <v>1515</v>
      </c>
      <c r="B1516" t="s">
        <v>76</v>
      </c>
      <c r="C1516">
        <v>363.2</v>
      </c>
      <c r="D1516">
        <v>60.431000000000004</v>
      </c>
      <c r="E1516">
        <v>0</v>
      </c>
      <c r="H1516">
        <v>3.7089999999999998E-2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>
      <c r="A1517">
        <f t="shared" si="23"/>
        <v>1516</v>
      </c>
      <c r="B1517" t="s">
        <v>76</v>
      </c>
      <c r="C1517">
        <v>363.2</v>
      </c>
      <c r="D1517">
        <v>63.326999999999998</v>
      </c>
      <c r="E1517">
        <v>0</v>
      </c>
      <c r="H1517">
        <v>3.8039999999999997E-2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>
      <c r="A1518">
        <f t="shared" si="23"/>
        <v>1517</v>
      </c>
      <c r="B1518" t="s">
        <v>76</v>
      </c>
      <c r="C1518">
        <v>363.2</v>
      </c>
      <c r="D1518">
        <v>65.739999999999995</v>
      </c>
      <c r="E1518">
        <v>0</v>
      </c>
      <c r="H1518">
        <v>3.943E-2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>
      <c r="A1519">
        <f t="shared" si="23"/>
        <v>1518</v>
      </c>
      <c r="B1519" t="s">
        <v>76</v>
      </c>
      <c r="C1519">
        <v>393.2</v>
      </c>
      <c r="D1519">
        <v>4.9619999999999997</v>
      </c>
      <c r="E1519">
        <v>0</v>
      </c>
      <c r="H1519">
        <v>1.64E-3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>
      <c r="A1520">
        <f t="shared" si="23"/>
        <v>1519</v>
      </c>
      <c r="B1520" t="s">
        <v>76</v>
      </c>
      <c r="C1520">
        <v>393.2</v>
      </c>
      <c r="D1520">
        <v>8.5820000000000007</v>
      </c>
      <c r="E1520">
        <v>0</v>
      </c>
      <c r="H1520">
        <v>3.7499999999999999E-3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>
      <c r="A1521">
        <f t="shared" si="23"/>
        <v>1520</v>
      </c>
      <c r="B1521" t="s">
        <v>76</v>
      </c>
      <c r="C1521">
        <v>393.2</v>
      </c>
      <c r="D1521">
        <v>11.547000000000001</v>
      </c>
      <c r="E1521">
        <v>0</v>
      </c>
      <c r="H1521">
        <v>5.47E-3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>
      <c r="A1522">
        <f t="shared" si="23"/>
        <v>1521</v>
      </c>
      <c r="B1522" t="s">
        <v>76</v>
      </c>
      <c r="C1522">
        <v>393.2</v>
      </c>
      <c r="D1522">
        <v>14.994000000000002</v>
      </c>
      <c r="E1522">
        <v>0</v>
      </c>
      <c r="H1522">
        <v>7.0699999999999999E-3</v>
      </c>
      <c r="N1522">
        <v>0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>
      <c r="A1523">
        <f t="shared" si="23"/>
        <v>1522</v>
      </c>
      <c r="B1523" t="s">
        <v>76</v>
      </c>
      <c r="C1523">
        <v>393.2</v>
      </c>
      <c r="D1523">
        <v>17.620999999999999</v>
      </c>
      <c r="E1523">
        <v>0</v>
      </c>
      <c r="H1523">
        <v>8.6E-3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>
      <c r="A1524">
        <f t="shared" si="23"/>
        <v>1523</v>
      </c>
      <c r="B1524" t="s">
        <v>76</v>
      </c>
      <c r="C1524">
        <v>393.2</v>
      </c>
      <c r="D1524">
        <v>20.723000000000003</v>
      </c>
      <c r="E1524">
        <v>0</v>
      </c>
      <c r="H1524">
        <v>1.0500000000000001E-2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>
      <c r="A1525">
        <f t="shared" si="23"/>
        <v>1524</v>
      </c>
      <c r="B1525" t="s">
        <v>76</v>
      </c>
      <c r="C1525">
        <v>393.2</v>
      </c>
      <c r="D1525">
        <v>24.274000000000001</v>
      </c>
      <c r="E1525">
        <v>0</v>
      </c>
      <c r="H1525">
        <v>1.2359999999999999E-2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>
      <c r="A1526">
        <f t="shared" si="23"/>
        <v>1525</v>
      </c>
      <c r="B1526" t="s">
        <v>76</v>
      </c>
      <c r="C1526">
        <v>393.2</v>
      </c>
      <c r="D1526">
        <v>26.17</v>
      </c>
      <c r="E1526">
        <v>0</v>
      </c>
      <c r="H1526">
        <v>1.367E-2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>
      <c r="A1527">
        <f t="shared" si="23"/>
        <v>1526</v>
      </c>
      <c r="B1527" t="s">
        <v>76</v>
      </c>
      <c r="C1527">
        <v>393.2</v>
      </c>
      <c r="D1527">
        <v>29.411999999999999</v>
      </c>
      <c r="E1527">
        <v>0</v>
      </c>
      <c r="H1527">
        <v>1.536E-2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>
      <c r="A1528">
        <f t="shared" si="23"/>
        <v>1527</v>
      </c>
      <c r="B1528" t="s">
        <v>76</v>
      </c>
      <c r="C1528">
        <v>393.2</v>
      </c>
      <c r="D1528">
        <v>31.963000000000001</v>
      </c>
      <c r="E1528">
        <v>0</v>
      </c>
      <c r="H1528">
        <v>1.6660000000000001E-2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>
      <c r="A1529">
        <f t="shared" si="23"/>
        <v>1528</v>
      </c>
      <c r="B1529" t="s">
        <v>76</v>
      </c>
      <c r="C1529">
        <v>393.2</v>
      </c>
      <c r="D1529">
        <v>35.271999999999998</v>
      </c>
      <c r="E1529">
        <v>0</v>
      </c>
      <c r="H1529">
        <v>1.831E-2</v>
      </c>
      <c r="N1529">
        <v>0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>
      <c r="A1530">
        <f t="shared" si="23"/>
        <v>1529</v>
      </c>
      <c r="B1530" t="s">
        <v>76</v>
      </c>
      <c r="C1530">
        <v>393.2</v>
      </c>
      <c r="D1530">
        <v>36.1</v>
      </c>
      <c r="E1530">
        <v>0</v>
      </c>
      <c r="H1530">
        <v>1.8870000000000001E-2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>
      <c r="A1531">
        <f t="shared" si="23"/>
        <v>1530</v>
      </c>
      <c r="B1531" t="s">
        <v>76</v>
      </c>
      <c r="C1531">
        <v>393.2</v>
      </c>
      <c r="D1531">
        <v>38.919000000000004</v>
      </c>
      <c r="E1531">
        <v>0</v>
      </c>
      <c r="H1531">
        <v>2.043E-2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>
      <c r="A1532">
        <f t="shared" si="23"/>
        <v>1531</v>
      </c>
      <c r="B1532" t="s">
        <v>76</v>
      </c>
      <c r="C1532">
        <v>393.2</v>
      </c>
      <c r="D1532">
        <v>39.546999999999997</v>
      </c>
      <c r="E1532">
        <v>0</v>
      </c>
      <c r="H1532">
        <v>2.0729999999999998E-2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>
      <c r="A1533">
        <f t="shared" si="23"/>
        <v>1532</v>
      </c>
      <c r="B1533" t="s">
        <v>76</v>
      </c>
      <c r="C1533">
        <v>393.2</v>
      </c>
      <c r="D1533">
        <v>40.235999999999997</v>
      </c>
      <c r="E1533">
        <v>0</v>
      </c>
      <c r="H1533">
        <v>2.1160000000000002E-2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>
      <c r="A1534">
        <f t="shared" si="23"/>
        <v>1533</v>
      </c>
      <c r="B1534" t="s">
        <v>76</v>
      </c>
      <c r="C1534">
        <v>393.2</v>
      </c>
      <c r="D1534">
        <v>42.056000000000004</v>
      </c>
      <c r="E1534">
        <v>0</v>
      </c>
      <c r="H1534">
        <v>2.1989999999999999E-2</v>
      </c>
      <c r="N1534">
        <v>0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>
      <c r="A1535">
        <f t="shared" si="23"/>
        <v>1534</v>
      </c>
      <c r="B1535" t="s">
        <v>76</v>
      </c>
      <c r="C1535">
        <v>393.2</v>
      </c>
      <c r="D1535">
        <v>46.433999999999997</v>
      </c>
      <c r="E1535">
        <v>0</v>
      </c>
      <c r="H1535">
        <v>2.426E-2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>
      <c r="A1536">
        <f t="shared" si="23"/>
        <v>1535</v>
      </c>
      <c r="B1536" t="s">
        <v>76</v>
      </c>
      <c r="C1536">
        <v>393.2</v>
      </c>
      <c r="D1536">
        <v>48.498000000000005</v>
      </c>
      <c r="E1536">
        <v>0</v>
      </c>
      <c r="H1536">
        <v>2.545E-2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>
      <c r="A1537">
        <f t="shared" si="23"/>
        <v>1536</v>
      </c>
      <c r="B1537" t="s">
        <v>76</v>
      </c>
      <c r="C1537">
        <v>393.2</v>
      </c>
      <c r="D1537">
        <v>49.192</v>
      </c>
      <c r="E1537">
        <v>0</v>
      </c>
      <c r="H1537">
        <v>2.571E-2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>
      <c r="A1538">
        <f t="shared" si="23"/>
        <v>1537</v>
      </c>
      <c r="B1538" t="s">
        <v>76</v>
      </c>
      <c r="C1538">
        <v>393.2</v>
      </c>
      <c r="D1538">
        <v>49.531999999999996</v>
      </c>
      <c r="E1538">
        <v>0</v>
      </c>
      <c r="H1538">
        <v>2.5899999999999999E-2</v>
      </c>
      <c r="N1538">
        <v>0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>
      <c r="A1539">
        <f t="shared" si="23"/>
        <v>1538</v>
      </c>
      <c r="B1539" t="s">
        <v>76</v>
      </c>
      <c r="C1539">
        <v>393.2</v>
      </c>
      <c r="D1539">
        <v>55.186000000000007</v>
      </c>
      <c r="E1539">
        <v>0</v>
      </c>
      <c r="H1539">
        <v>2.879E-2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>
      <c r="A1540">
        <f t="shared" si="23"/>
        <v>1539</v>
      </c>
      <c r="B1540" t="s">
        <v>76</v>
      </c>
      <c r="C1540">
        <v>393.2</v>
      </c>
      <c r="D1540">
        <v>57.465000000000003</v>
      </c>
      <c r="E1540">
        <v>0</v>
      </c>
      <c r="H1540">
        <v>2.9839999999999998E-2</v>
      </c>
      <c r="N1540">
        <v>0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>
      <c r="A1541">
        <f t="shared" si="23"/>
        <v>1540</v>
      </c>
      <c r="B1541" t="s">
        <v>76</v>
      </c>
      <c r="C1541">
        <v>393.2</v>
      </c>
      <c r="D1541">
        <v>58.633000000000003</v>
      </c>
      <c r="E1541">
        <v>0</v>
      </c>
      <c r="H1541">
        <v>3.0499999999999999E-2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>
      <c r="A1542">
        <f t="shared" si="23"/>
        <v>1541</v>
      </c>
      <c r="B1542" t="s">
        <v>76</v>
      </c>
      <c r="C1542">
        <v>393.2</v>
      </c>
      <c r="D1542">
        <v>59.873999999999995</v>
      </c>
      <c r="E1542">
        <v>0</v>
      </c>
      <c r="H1542">
        <v>3.099E-2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>
      <c r="A1543">
        <f t="shared" si="23"/>
        <v>1542</v>
      </c>
      <c r="B1543" t="s">
        <v>76</v>
      </c>
      <c r="C1543">
        <v>393.2</v>
      </c>
      <c r="D1543">
        <v>60.494999999999997</v>
      </c>
      <c r="E1543">
        <v>0</v>
      </c>
      <c r="H1543">
        <v>3.168E-2</v>
      </c>
      <c r="N1543">
        <v>0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>
      <c r="A1544">
        <f t="shared" si="23"/>
        <v>1543</v>
      </c>
      <c r="B1544" t="s">
        <v>76</v>
      </c>
      <c r="C1544">
        <v>393.2</v>
      </c>
      <c r="D1544">
        <v>61.946999999999996</v>
      </c>
      <c r="E1544">
        <v>0</v>
      </c>
      <c r="H1544">
        <v>3.2059999999999998E-2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>
      <c r="A1545">
        <f t="shared" si="23"/>
        <v>1544</v>
      </c>
      <c r="B1545" t="s">
        <v>76</v>
      </c>
      <c r="C1545">
        <v>393.2</v>
      </c>
      <c r="D1545">
        <v>62.085000000000001</v>
      </c>
      <c r="E1545">
        <v>0</v>
      </c>
      <c r="H1545">
        <v>3.177E-2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>
      <c r="A1546">
        <f t="shared" si="23"/>
        <v>1545</v>
      </c>
      <c r="B1546" t="s">
        <v>76</v>
      </c>
      <c r="C1546">
        <v>393.2</v>
      </c>
      <c r="D1546">
        <v>62.286999999999999</v>
      </c>
      <c r="E1546">
        <v>0</v>
      </c>
      <c r="H1546">
        <v>3.2230000000000002E-2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>
      <c r="A1547">
        <f t="shared" si="23"/>
        <v>1546</v>
      </c>
      <c r="B1547" t="s">
        <v>76</v>
      </c>
      <c r="C1547">
        <v>393.2</v>
      </c>
      <c r="D1547">
        <v>63.946000000000005</v>
      </c>
      <c r="E1547">
        <v>0</v>
      </c>
      <c r="H1547">
        <v>3.3169999999999998E-2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>
      <c r="A1548">
        <f t="shared" si="23"/>
        <v>1547</v>
      </c>
      <c r="B1548" t="s">
        <v>76</v>
      </c>
      <c r="C1548">
        <v>393.2</v>
      </c>
      <c r="D1548">
        <v>63.946999999999996</v>
      </c>
      <c r="E1548">
        <v>0</v>
      </c>
      <c r="H1548">
        <v>3.3149999999999999E-2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>
      <c r="A1549">
        <f t="shared" si="23"/>
        <v>1548</v>
      </c>
      <c r="B1549" t="s">
        <v>76</v>
      </c>
      <c r="C1549">
        <v>393.2</v>
      </c>
      <c r="D1549">
        <v>64.911000000000001</v>
      </c>
      <c r="E1549">
        <v>0</v>
      </c>
      <c r="H1549">
        <v>3.3320000000000002E-2</v>
      </c>
      <c r="N1549">
        <v>0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>
      <c r="A1550">
        <f t="shared" si="23"/>
        <v>1549</v>
      </c>
      <c r="B1550" t="s">
        <v>76</v>
      </c>
      <c r="C1550">
        <v>393.2</v>
      </c>
      <c r="D1550">
        <v>65.73899999999999</v>
      </c>
      <c r="E1550">
        <v>0</v>
      </c>
      <c r="H1550">
        <v>3.3590000000000002E-2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 spans="1:20">
      <c r="A1551">
        <f t="shared" si="23"/>
        <v>1550</v>
      </c>
      <c r="B1551" t="s">
        <v>76</v>
      </c>
      <c r="C1551">
        <v>393.2</v>
      </c>
      <c r="D1551">
        <v>65.873000000000005</v>
      </c>
      <c r="E1551">
        <v>0</v>
      </c>
      <c r="H1551">
        <v>3.388E-2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>
      <c r="A1552">
        <f t="shared" si="23"/>
        <v>1551</v>
      </c>
      <c r="B1552" t="s">
        <v>76</v>
      </c>
      <c r="C1552">
        <v>393.2</v>
      </c>
      <c r="D1552">
        <v>66.703999999999994</v>
      </c>
      <c r="E1552">
        <v>0</v>
      </c>
      <c r="H1552">
        <v>3.4160000000000003E-2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>
      <c r="A1553">
        <f t="shared" si="23"/>
        <v>1552</v>
      </c>
      <c r="B1553" t="s">
        <v>76</v>
      </c>
      <c r="C1553">
        <v>423.2</v>
      </c>
      <c r="D1553">
        <v>6.9249999999999998</v>
      </c>
      <c r="E1553">
        <v>0</v>
      </c>
      <c r="H1553">
        <v>9.5E-4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>
      <c r="A1554">
        <f t="shared" si="23"/>
        <v>1553</v>
      </c>
      <c r="B1554" t="s">
        <v>76</v>
      </c>
      <c r="C1554">
        <v>423.2</v>
      </c>
      <c r="D1554">
        <v>9.3379999999999992</v>
      </c>
      <c r="E1554">
        <v>0</v>
      </c>
      <c r="H1554">
        <v>2.16E-3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>
      <c r="A1555">
        <f t="shared" si="23"/>
        <v>1554</v>
      </c>
      <c r="B1555" t="s">
        <v>76</v>
      </c>
      <c r="C1555">
        <v>423.2</v>
      </c>
      <c r="D1555">
        <v>11.544</v>
      </c>
      <c r="E1555">
        <v>0</v>
      </c>
      <c r="H1555">
        <v>3.3300000000000001E-3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>
      <c r="A1556">
        <f t="shared" si="23"/>
        <v>1555</v>
      </c>
      <c r="B1556" t="s">
        <v>76</v>
      </c>
      <c r="C1556">
        <v>423.2</v>
      </c>
      <c r="D1556">
        <v>13.888</v>
      </c>
      <c r="E1556">
        <v>0</v>
      </c>
      <c r="H1556">
        <v>4.4200000000000003E-3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>
      <c r="A1557">
        <f t="shared" si="23"/>
        <v>1556</v>
      </c>
      <c r="B1557" t="s">
        <v>76</v>
      </c>
      <c r="C1557">
        <v>423.2</v>
      </c>
      <c r="D1557">
        <v>14.714</v>
      </c>
      <c r="E1557">
        <v>0</v>
      </c>
      <c r="H1557">
        <v>4.9899999999999996E-3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>
      <c r="A1558">
        <f t="shared" si="23"/>
        <v>1557</v>
      </c>
      <c r="B1558" t="s">
        <v>76</v>
      </c>
      <c r="C1558">
        <v>423.2</v>
      </c>
      <c r="D1558">
        <v>15.689</v>
      </c>
      <c r="E1558">
        <v>0</v>
      </c>
      <c r="H1558">
        <v>5.5199999999999997E-3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>
      <c r="A1559">
        <f t="shared" si="23"/>
        <v>1558</v>
      </c>
      <c r="B1559" t="s">
        <v>76</v>
      </c>
      <c r="C1559">
        <v>423.2</v>
      </c>
      <c r="D1559">
        <v>17.41</v>
      </c>
      <c r="E1559">
        <v>0</v>
      </c>
      <c r="H1559">
        <v>6.3499999999999997E-3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>
      <c r="A1560">
        <f t="shared" si="23"/>
        <v>1559</v>
      </c>
      <c r="B1560" t="s">
        <v>76</v>
      </c>
      <c r="C1560">
        <v>423.2</v>
      </c>
      <c r="D1560">
        <v>17.682000000000002</v>
      </c>
      <c r="E1560">
        <v>0</v>
      </c>
      <c r="H1560">
        <v>6.2599999999999999E-3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>
      <c r="A1561">
        <f t="shared" si="23"/>
        <v>1560</v>
      </c>
      <c r="B1561" t="s">
        <v>76</v>
      </c>
      <c r="C1561">
        <v>423.2</v>
      </c>
      <c r="D1561">
        <v>18.989000000000001</v>
      </c>
      <c r="E1561">
        <v>0</v>
      </c>
      <c r="H1561">
        <v>7.4900000000000001E-3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>
      <c r="A1562">
        <f t="shared" si="23"/>
        <v>1561</v>
      </c>
      <c r="B1562" t="s">
        <v>76</v>
      </c>
      <c r="C1562">
        <v>423.2</v>
      </c>
      <c r="D1562">
        <v>20.317999999999998</v>
      </c>
      <c r="E1562">
        <v>0</v>
      </c>
      <c r="H1562">
        <v>7.8700000000000003E-3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>
      <c r="A1563">
        <f t="shared" si="23"/>
        <v>1562</v>
      </c>
      <c r="B1563" t="s">
        <v>76</v>
      </c>
      <c r="C1563">
        <v>423.2</v>
      </c>
      <c r="D1563">
        <v>20.781999999999996</v>
      </c>
      <c r="E1563">
        <v>0</v>
      </c>
      <c r="H1563">
        <v>8.1600000000000006E-3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>
      <c r="A1564">
        <f t="shared" si="23"/>
        <v>1563</v>
      </c>
      <c r="B1564" t="s">
        <v>76</v>
      </c>
      <c r="C1564">
        <v>423.2</v>
      </c>
      <c r="D1564">
        <v>22.236000000000001</v>
      </c>
      <c r="E1564">
        <v>0</v>
      </c>
      <c r="H1564">
        <v>8.6300000000000005E-3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>
      <c r="A1565">
        <f t="shared" si="23"/>
        <v>1564</v>
      </c>
      <c r="B1565" t="s">
        <v>76</v>
      </c>
      <c r="C1565">
        <v>423.2</v>
      </c>
      <c r="D1565">
        <v>22.305</v>
      </c>
      <c r="E1565">
        <v>0</v>
      </c>
      <c r="H1565">
        <v>8.77E-3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>
      <c r="A1566">
        <f t="shared" si="23"/>
        <v>1565</v>
      </c>
      <c r="B1566" t="s">
        <v>76</v>
      </c>
      <c r="C1566">
        <v>423.2</v>
      </c>
      <c r="D1566">
        <v>23.765000000000001</v>
      </c>
      <c r="E1566">
        <v>0</v>
      </c>
      <c r="H1566">
        <v>9.5700000000000004E-3</v>
      </c>
      <c r="N1566">
        <v>0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>
      <c r="A1567">
        <f t="shared" si="23"/>
        <v>1566</v>
      </c>
      <c r="B1567" t="s">
        <v>76</v>
      </c>
      <c r="C1567">
        <v>423.2</v>
      </c>
      <c r="D1567">
        <v>25.751999999999999</v>
      </c>
      <c r="E1567">
        <v>0</v>
      </c>
      <c r="H1567">
        <v>1.0359999999999999E-2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>
      <c r="A1568">
        <f t="shared" si="23"/>
        <v>1567</v>
      </c>
      <c r="B1568" t="s">
        <v>76</v>
      </c>
      <c r="C1568">
        <v>423.2</v>
      </c>
      <c r="D1568">
        <v>27.751999999999999</v>
      </c>
      <c r="E1568">
        <v>0</v>
      </c>
      <c r="H1568">
        <v>1.1469999999999999E-2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>
      <c r="A1569">
        <f t="shared" si="23"/>
        <v>1568</v>
      </c>
      <c r="B1569" t="s">
        <v>76</v>
      </c>
      <c r="C1569">
        <v>423.2</v>
      </c>
      <c r="D1569">
        <v>29.8</v>
      </c>
      <c r="E1569">
        <v>0</v>
      </c>
      <c r="H1569">
        <v>1.268E-2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>
      <c r="A1570">
        <f t="shared" si="23"/>
        <v>1569</v>
      </c>
      <c r="B1570" t="s">
        <v>76</v>
      </c>
      <c r="C1570">
        <v>423.2</v>
      </c>
      <c r="D1570">
        <v>30.51</v>
      </c>
      <c r="E1570">
        <v>0</v>
      </c>
      <c r="H1570">
        <v>1.2829999999999999E-2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>
      <c r="A1571">
        <f t="shared" si="23"/>
        <v>1570</v>
      </c>
      <c r="B1571" t="s">
        <v>76</v>
      </c>
      <c r="C1571">
        <v>423.2</v>
      </c>
      <c r="D1571">
        <v>32.020000000000003</v>
      </c>
      <c r="E1571">
        <v>0</v>
      </c>
      <c r="H1571">
        <v>1.3639999999999999E-2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>
      <c r="A1572">
        <f t="shared" si="23"/>
        <v>1571</v>
      </c>
      <c r="B1572" t="s">
        <v>76</v>
      </c>
      <c r="C1572">
        <v>423.2</v>
      </c>
      <c r="D1572">
        <v>34.501999999999995</v>
      </c>
      <c r="E1572">
        <v>0</v>
      </c>
      <c r="H1572">
        <v>1.498E-2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>
      <c r="A1573">
        <f t="shared" si="23"/>
        <v>1572</v>
      </c>
      <c r="B1573" t="s">
        <v>76</v>
      </c>
      <c r="C1573">
        <v>423.2</v>
      </c>
      <c r="D1573">
        <v>37.398000000000003</v>
      </c>
      <c r="E1573">
        <v>0</v>
      </c>
      <c r="H1573">
        <v>1.644E-2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>
      <c r="A1574">
        <f t="shared" ref="A1574:A1637" si="24">A1573+1</f>
        <v>1573</v>
      </c>
      <c r="B1574" t="s">
        <v>76</v>
      </c>
      <c r="C1574">
        <v>423.2</v>
      </c>
      <c r="D1574">
        <v>41.052</v>
      </c>
      <c r="E1574">
        <v>0</v>
      </c>
      <c r="H1574">
        <v>1.8460000000000001E-2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>
      <c r="A1575">
        <f t="shared" si="24"/>
        <v>1574</v>
      </c>
      <c r="B1575" t="s">
        <v>76</v>
      </c>
      <c r="C1575">
        <v>423.2</v>
      </c>
      <c r="D1575">
        <v>42.568999999999996</v>
      </c>
      <c r="E1575">
        <v>0</v>
      </c>
      <c r="H1575">
        <v>1.8929999999999999E-2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>
      <c r="A1576">
        <f t="shared" si="24"/>
        <v>1575</v>
      </c>
      <c r="B1576" t="s">
        <v>76</v>
      </c>
      <c r="C1576">
        <v>423.2</v>
      </c>
      <c r="D1576">
        <v>44.033999999999999</v>
      </c>
      <c r="E1576">
        <v>0</v>
      </c>
      <c r="H1576">
        <v>1.9779999999999999E-2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>
      <c r="A1577">
        <f t="shared" si="24"/>
        <v>1576</v>
      </c>
      <c r="B1577" t="s">
        <v>76</v>
      </c>
      <c r="C1577">
        <v>423.2</v>
      </c>
      <c r="D1577">
        <v>46.23</v>
      </c>
      <c r="E1577">
        <v>0</v>
      </c>
      <c r="H1577">
        <v>2.0559999999999998E-2</v>
      </c>
      <c r="N1577">
        <v>0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>
      <c r="A1578">
        <f t="shared" si="24"/>
        <v>1577</v>
      </c>
      <c r="B1578" t="s">
        <v>76</v>
      </c>
      <c r="C1578">
        <v>423.2</v>
      </c>
      <c r="D1578">
        <v>46.918999999999997</v>
      </c>
      <c r="E1578">
        <v>0</v>
      </c>
      <c r="H1578">
        <v>2.1090000000000001E-2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>
      <c r="A1579">
        <f t="shared" si="24"/>
        <v>1578</v>
      </c>
      <c r="B1579" t="s">
        <v>76</v>
      </c>
      <c r="C1579">
        <v>423.2</v>
      </c>
      <c r="D1579">
        <v>51.332000000000001</v>
      </c>
      <c r="E1579">
        <v>0</v>
      </c>
      <c r="H1579">
        <v>2.324E-2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>
      <c r="A1580">
        <f t="shared" si="24"/>
        <v>1579</v>
      </c>
      <c r="B1580" t="s">
        <v>76</v>
      </c>
      <c r="C1580">
        <v>423.2</v>
      </c>
      <c r="D1580">
        <v>52.228000000000002</v>
      </c>
      <c r="E1580">
        <v>0</v>
      </c>
      <c r="H1580">
        <v>2.3470000000000001E-2</v>
      </c>
      <c r="N1580">
        <v>0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>
      <c r="A1581">
        <f t="shared" si="24"/>
        <v>1580</v>
      </c>
      <c r="B1581" t="s">
        <v>76</v>
      </c>
      <c r="C1581">
        <v>423.2</v>
      </c>
      <c r="D1581">
        <v>55.601999999999997</v>
      </c>
      <c r="E1581">
        <v>0</v>
      </c>
      <c r="H1581">
        <v>2.52E-2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>
      <c r="A1582">
        <f t="shared" si="24"/>
        <v>1581</v>
      </c>
      <c r="B1582" t="s">
        <v>76</v>
      </c>
      <c r="C1582">
        <v>423.2</v>
      </c>
      <c r="D1582">
        <v>58.636000000000003</v>
      </c>
      <c r="E1582">
        <v>0</v>
      </c>
      <c r="H1582">
        <v>2.6499999999999999E-2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>
      <c r="A1583">
        <f t="shared" si="24"/>
        <v>1582</v>
      </c>
      <c r="B1583" t="s">
        <v>76</v>
      </c>
      <c r="C1583">
        <v>423.2</v>
      </c>
      <c r="D1583">
        <v>62.773000000000003</v>
      </c>
      <c r="E1583">
        <v>0</v>
      </c>
      <c r="H1583">
        <v>2.8219999999999999E-2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>
      <c r="A1584">
        <f t="shared" si="24"/>
        <v>1583</v>
      </c>
      <c r="B1584" t="s">
        <v>76</v>
      </c>
      <c r="C1584">
        <v>423.2</v>
      </c>
      <c r="D1584">
        <v>63.393000000000001</v>
      </c>
      <c r="E1584">
        <v>0</v>
      </c>
      <c r="H1584">
        <v>2.896E-2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>
      <c r="A1585">
        <f t="shared" si="24"/>
        <v>1584</v>
      </c>
      <c r="B1585" t="s">
        <v>76</v>
      </c>
      <c r="C1585">
        <v>423.2</v>
      </c>
      <c r="D1585">
        <v>64.013999999999996</v>
      </c>
      <c r="E1585">
        <v>0</v>
      </c>
      <c r="H1585">
        <v>2.8969999999999999E-2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>
      <c r="A1586">
        <f t="shared" si="24"/>
        <v>1585</v>
      </c>
      <c r="B1586" t="s">
        <v>76</v>
      </c>
      <c r="C1586">
        <v>423.2</v>
      </c>
      <c r="D1586">
        <v>66.013000000000005</v>
      </c>
      <c r="E1586">
        <v>0</v>
      </c>
      <c r="H1586">
        <v>2.9929999999999998E-2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>
      <c r="A1587">
        <f t="shared" si="24"/>
        <v>1586</v>
      </c>
      <c r="B1587" t="s">
        <v>76</v>
      </c>
      <c r="C1587">
        <v>453.2</v>
      </c>
      <c r="D1587">
        <v>10.712999999999999</v>
      </c>
      <c r="E1587">
        <v>0</v>
      </c>
      <c r="H1587">
        <v>3.2000000000000003E-4</v>
      </c>
      <c r="N1587">
        <v>0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>
      <c r="A1588">
        <f t="shared" si="24"/>
        <v>1587</v>
      </c>
      <c r="B1588" t="s">
        <v>76</v>
      </c>
      <c r="C1588">
        <v>453.2</v>
      </c>
      <c r="D1588">
        <v>14.229000000000001</v>
      </c>
      <c r="E1588">
        <v>0</v>
      </c>
      <c r="H1588">
        <v>1.99E-3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>
      <c r="A1589">
        <f t="shared" si="24"/>
        <v>1588</v>
      </c>
      <c r="B1589" t="s">
        <v>76</v>
      </c>
      <c r="C1589">
        <v>453.2</v>
      </c>
      <c r="D1589">
        <v>18.651</v>
      </c>
      <c r="E1589">
        <v>0</v>
      </c>
      <c r="H1589">
        <v>3.9699999999999996E-3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>
      <c r="A1590">
        <f t="shared" si="24"/>
        <v>1589</v>
      </c>
      <c r="B1590" t="s">
        <v>76</v>
      </c>
      <c r="C1590">
        <v>453.2</v>
      </c>
      <c r="D1590">
        <v>21.546999999999997</v>
      </c>
      <c r="E1590">
        <v>0</v>
      </c>
      <c r="H1590">
        <v>5.3099999999999996E-3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>
      <c r="A1591">
        <f t="shared" si="24"/>
        <v>1590</v>
      </c>
      <c r="B1591" t="s">
        <v>76</v>
      </c>
      <c r="C1591">
        <v>453.2</v>
      </c>
      <c r="D1591">
        <v>23.545999999999999</v>
      </c>
      <c r="E1591">
        <v>0</v>
      </c>
      <c r="H1591">
        <v>6.2100000000000002E-3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>
      <c r="A1592">
        <f t="shared" si="24"/>
        <v>1591</v>
      </c>
      <c r="B1592" t="s">
        <v>76</v>
      </c>
      <c r="C1592">
        <v>453.2</v>
      </c>
      <c r="D1592">
        <v>24.510999999999999</v>
      </c>
      <c r="E1592">
        <v>0</v>
      </c>
      <c r="H1592">
        <v>6.5700000000000003E-3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>
      <c r="A1593">
        <f t="shared" si="24"/>
        <v>1592</v>
      </c>
      <c r="B1593" t="s">
        <v>76</v>
      </c>
      <c r="C1593">
        <v>453.2</v>
      </c>
      <c r="D1593">
        <v>25.408000000000001</v>
      </c>
      <c r="E1593">
        <v>0</v>
      </c>
      <c r="H1593">
        <v>7.0000000000000001E-3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>
      <c r="A1594">
        <f t="shared" si="24"/>
        <v>1593</v>
      </c>
      <c r="B1594" t="s">
        <v>76</v>
      </c>
      <c r="C1594">
        <v>453.2</v>
      </c>
      <c r="D1594">
        <v>26.293000000000003</v>
      </c>
      <c r="E1594">
        <v>0</v>
      </c>
      <c r="H1594">
        <v>7.4200000000000004E-3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 spans="1:20">
      <c r="A1595">
        <f t="shared" si="24"/>
        <v>1594</v>
      </c>
      <c r="B1595" t="s">
        <v>76</v>
      </c>
      <c r="C1595">
        <v>453.2</v>
      </c>
      <c r="D1595">
        <v>32.292000000000002</v>
      </c>
      <c r="E1595">
        <v>0</v>
      </c>
      <c r="H1595">
        <v>1.0330000000000001E-2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>
      <c r="A1596">
        <f t="shared" si="24"/>
        <v>1595</v>
      </c>
      <c r="B1596" t="s">
        <v>76</v>
      </c>
      <c r="C1596">
        <v>453.2</v>
      </c>
      <c r="D1596">
        <v>34.843000000000004</v>
      </c>
      <c r="E1596">
        <v>0</v>
      </c>
      <c r="H1596">
        <v>1.158E-2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>
      <c r="A1597">
        <f t="shared" si="24"/>
        <v>1596</v>
      </c>
      <c r="B1597" t="s">
        <v>76</v>
      </c>
      <c r="C1597">
        <v>453.2</v>
      </c>
      <c r="D1597">
        <v>39.116999999999997</v>
      </c>
      <c r="E1597">
        <v>0</v>
      </c>
      <c r="H1597">
        <v>1.3559999999999999E-2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>
      <c r="A1598">
        <f t="shared" si="24"/>
        <v>1597</v>
      </c>
      <c r="B1598" t="s">
        <v>76</v>
      </c>
      <c r="C1598">
        <v>453.2</v>
      </c>
      <c r="D1598">
        <v>42.427</v>
      </c>
      <c r="E1598">
        <v>0</v>
      </c>
      <c r="H1598">
        <v>1.4970000000000001E-2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>
      <c r="A1599">
        <f t="shared" si="24"/>
        <v>1598</v>
      </c>
      <c r="B1599" t="s">
        <v>76</v>
      </c>
      <c r="C1599">
        <v>453.2</v>
      </c>
      <c r="D1599">
        <v>46.15</v>
      </c>
      <c r="E1599">
        <v>0</v>
      </c>
      <c r="H1599">
        <v>1.6500000000000001E-2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>
      <c r="A1600">
        <f t="shared" si="24"/>
        <v>1599</v>
      </c>
      <c r="B1600" t="s">
        <v>76</v>
      </c>
      <c r="C1600">
        <v>453.2</v>
      </c>
      <c r="D1600">
        <v>50.768999999999998</v>
      </c>
      <c r="E1600">
        <v>0</v>
      </c>
      <c r="H1600">
        <v>1.866E-2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>
      <c r="A1601">
        <f t="shared" si="24"/>
        <v>1600</v>
      </c>
      <c r="B1601" t="s">
        <v>76</v>
      </c>
      <c r="C1601">
        <v>453.2</v>
      </c>
      <c r="D1601">
        <v>54.216999999999999</v>
      </c>
      <c r="E1601">
        <v>0</v>
      </c>
      <c r="H1601">
        <v>2.0289999999999999E-2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>
      <c r="A1602">
        <f t="shared" si="24"/>
        <v>1601</v>
      </c>
      <c r="B1602" t="s">
        <v>76</v>
      </c>
      <c r="C1602">
        <v>453.2</v>
      </c>
      <c r="D1602">
        <v>59.181000000000004</v>
      </c>
      <c r="E1602">
        <v>0</v>
      </c>
      <c r="H1602">
        <v>2.257E-2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>
      <c r="A1603">
        <f t="shared" si="24"/>
        <v>1602</v>
      </c>
      <c r="B1603" t="s">
        <v>76</v>
      </c>
      <c r="C1603">
        <v>363.2</v>
      </c>
      <c r="D1603">
        <v>19.21</v>
      </c>
      <c r="E1603">
        <v>0</v>
      </c>
      <c r="F1603">
        <v>3.8599999999999968E-2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>
      <c r="A1604">
        <f t="shared" si="24"/>
        <v>1603</v>
      </c>
      <c r="B1604" t="s">
        <v>76</v>
      </c>
      <c r="C1604">
        <v>363.2</v>
      </c>
      <c r="D1604">
        <v>20.11</v>
      </c>
      <c r="E1604">
        <v>0</v>
      </c>
      <c r="F1604">
        <v>3.9399999999999991E-2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>
      <c r="A1605">
        <f t="shared" si="24"/>
        <v>1604</v>
      </c>
      <c r="B1605" t="s">
        <v>76</v>
      </c>
      <c r="C1605">
        <v>363.2</v>
      </c>
      <c r="D1605">
        <v>23.89</v>
      </c>
      <c r="E1605">
        <v>0</v>
      </c>
      <c r="F1605">
        <v>2.9100000000000015E-2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>
      <c r="A1606">
        <f t="shared" si="24"/>
        <v>1605</v>
      </c>
      <c r="B1606" t="s">
        <v>76</v>
      </c>
      <c r="C1606">
        <v>393.2</v>
      </c>
      <c r="D1606">
        <v>14.86</v>
      </c>
      <c r="E1606">
        <v>0</v>
      </c>
      <c r="F1606">
        <v>0.11350000000000005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>
      <c r="A1607">
        <f t="shared" si="24"/>
        <v>1606</v>
      </c>
      <c r="B1607" t="s">
        <v>76</v>
      </c>
      <c r="C1607">
        <v>393.2</v>
      </c>
      <c r="D1607">
        <v>25</v>
      </c>
      <c r="E1607">
        <v>0</v>
      </c>
      <c r="F1607">
        <v>7.020000000000004E-2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0">
      <c r="A1608">
        <f t="shared" si="24"/>
        <v>1607</v>
      </c>
      <c r="B1608" t="s">
        <v>76</v>
      </c>
      <c r="C1608">
        <v>393.2</v>
      </c>
      <c r="D1608">
        <v>31.61</v>
      </c>
      <c r="E1608">
        <v>0</v>
      </c>
      <c r="F1608">
        <v>5.8499999999999996E-2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>
      <c r="A1609">
        <f t="shared" si="24"/>
        <v>1608</v>
      </c>
      <c r="B1609" t="s">
        <v>76</v>
      </c>
      <c r="C1609">
        <v>393.2</v>
      </c>
      <c r="D1609">
        <v>31.74</v>
      </c>
      <c r="E1609">
        <v>0</v>
      </c>
      <c r="F1609">
        <v>4.7100000000000031E-2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>
      <c r="A1610">
        <f t="shared" si="24"/>
        <v>1609</v>
      </c>
      <c r="B1610" t="s">
        <v>76</v>
      </c>
      <c r="C1610">
        <v>393.2</v>
      </c>
      <c r="D1610">
        <v>32.299999999999997</v>
      </c>
      <c r="E1610">
        <v>0</v>
      </c>
      <c r="F1610">
        <v>6.8599999999999994E-2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>
      <c r="A1611">
        <f t="shared" si="24"/>
        <v>1610</v>
      </c>
      <c r="B1611" t="s">
        <v>76</v>
      </c>
      <c r="C1611">
        <v>393.2</v>
      </c>
      <c r="D1611">
        <v>34.01</v>
      </c>
      <c r="E1611">
        <v>0</v>
      </c>
      <c r="F1611">
        <v>4.7399999999999998E-2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>
      <c r="A1612">
        <f t="shared" si="24"/>
        <v>1611</v>
      </c>
      <c r="B1612" t="s">
        <v>76</v>
      </c>
      <c r="C1612">
        <v>423.2</v>
      </c>
      <c r="D1612">
        <v>19.420000000000002</v>
      </c>
      <c r="E1612">
        <v>0</v>
      </c>
      <c r="F1612">
        <v>0.2591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>
      <c r="A1613">
        <f t="shared" si="24"/>
        <v>1612</v>
      </c>
      <c r="B1613" t="s">
        <v>76</v>
      </c>
      <c r="C1613">
        <v>423.2</v>
      </c>
      <c r="D1613">
        <v>21.96</v>
      </c>
      <c r="E1613">
        <v>0</v>
      </c>
      <c r="F1613">
        <v>0.21879999999999999</v>
      </c>
      <c r="N1613">
        <v>0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>
      <c r="A1614">
        <f t="shared" si="24"/>
        <v>1613</v>
      </c>
      <c r="B1614" t="s">
        <v>76</v>
      </c>
      <c r="C1614">
        <v>423.2</v>
      </c>
      <c r="D1614">
        <v>26.24</v>
      </c>
      <c r="E1614">
        <v>0</v>
      </c>
      <c r="F1614">
        <v>0.18010000000000004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>
      <c r="A1615">
        <f t="shared" si="24"/>
        <v>1614</v>
      </c>
      <c r="B1615" t="s">
        <v>76</v>
      </c>
      <c r="C1615">
        <v>423.2</v>
      </c>
      <c r="D1615">
        <v>26.99</v>
      </c>
      <c r="E1615">
        <v>0</v>
      </c>
      <c r="F1615">
        <v>0.16269999999999996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>
      <c r="A1616">
        <f t="shared" si="24"/>
        <v>1615</v>
      </c>
      <c r="B1616" t="s">
        <v>76</v>
      </c>
      <c r="C1616">
        <v>423.2</v>
      </c>
      <c r="D1616">
        <v>30.03</v>
      </c>
      <c r="E1616">
        <v>0</v>
      </c>
      <c r="F1616">
        <v>0.17079999999999995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>
      <c r="A1617">
        <f t="shared" si="24"/>
        <v>1616</v>
      </c>
      <c r="B1617" t="s">
        <v>76</v>
      </c>
      <c r="C1617">
        <v>423.2</v>
      </c>
      <c r="D1617">
        <v>30.79</v>
      </c>
      <c r="E1617">
        <v>0</v>
      </c>
      <c r="F1617">
        <v>0.16439999999999999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 spans="1:20">
      <c r="A1618">
        <f t="shared" si="24"/>
        <v>1617</v>
      </c>
      <c r="B1618" t="s">
        <v>78</v>
      </c>
      <c r="C1618">
        <v>298.14999999999998</v>
      </c>
      <c r="D1618">
        <v>25.33</v>
      </c>
      <c r="E1618">
        <v>0</v>
      </c>
      <c r="I1618">
        <v>2.4899999999999998E-4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</row>
    <row r="1619" spans="1:20">
      <c r="A1619">
        <f t="shared" si="24"/>
        <v>1618</v>
      </c>
      <c r="B1619" t="s">
        <v>78</v>
      </c>
      <c r="C1619">
        <v>298.14999999999998</v>
      </c>
      <c r="D1619">
        <v>50.66</v>
      </c>
      <c r="E1619">
        <v>0</v>
      </c>
      <c r="I1619">
        <v>4.8099999999999998E-4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</row>
    <row r="1620" spans="1:20">
      <c r="A1620">
        <f t="shared" si="24"/>
        <v>1619</v>
      </c>
      <c r="B1620" t="s">
        <v>78</v>
      </c>
      <c r="C1620">
        <v>298.14999999999998</v>
      </c>
      <c r="D1620">
        <v>101.33</v>
      </c>
      <c r="E1620">
        <v>0</v>
      </c>
      <c r="I1620">
        <v>9.0200000000000002E-4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</row>
    <row r="1621" spans="1:20">
      <c r="A1621">
        <f t="shared" si="24"/>
        <v>1620</v>
      </c>
      <c r="B1621" t="s">
        <v>78</v>
      </c>
      <c r="C1621">
        <v>298.14999999999998</v>
      </c>
      <c r="D1621">
        <v>202.65</v>
      </c>
      <c r="E1621">
        <v>0</v>
      </c>
      <c r="I1621">
        <v>1.6100000000000001E-3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</row>
    <row r="1622" spans="1:20">
      <c r="A1622">
        <f t="shared" si="24"/>
        <v>1621</v>
      </c>
      <c r="B1622" t="s">
        <v>78</v>
      </c>
      <c r="C1622">
        <v>298.14999999999998</v>
      </c>
      <c r="D1622">
        <v>303.97000000000003</v>
      </c>
      <c r="E1622">
        <v>0</v>
      </c>
      <c r="I1622">
        <v>2.183E-3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</row>
    <row r="1623" spans="1:20">
      <c r="A1623">
        <f t="shared" si="24"/>
        <v>1622</v>
      </c>
      <c r="B1623" t="s">
        <v>78</v>
      </c>
      <c r="C1623">
        <v>298.14999999999998</v>
      </c>
      <c r="D1623">
        <v>506.62</v>
      </c>
      <c r="E1623">
        <v>0</v>
      </c>
      <c r="I1623">
        <v>3.1630000000000004E-3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</row>
    <row r="1624" spans="1:20">
      <c r="A1624">
        <f t="shared" si="24"/>
        <v>1623</v>
      </c>
      <c r="B1624" t="s">
        <v>78</v>
      </c>
      <c r="C1624">
        <v>298.14999999999998</v>
      </c>
      <c r="D1624">
        <v>810.6</v>
      </c>
      <c r="E1624">
        <v>0</v>
      </c>
      <c r="I1624">
        <v>4.3639999999999998E-3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</row>
    <row r="1625" spans="1:20">
      <c r="A1625">
        <f t="shared" si="24"/>
        <v>1624</v>
      </c>
      <c r="B1625" t="s">
        <v>78</v>
      </c>
      <c r="C1625">
        <v>298.14999999999998</v>
      </c>
      <c r="D1625">
        <v>1013.25</v>
      </c>
      <c r="E1625">
        <v>0</v>
      </c>
      <c r="I1625">
        <v>5.0829999999999998E-3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</row>
    <row r="1626" spans="1:20">
      <c r="A1626">
        <f t="shared" si="24"/>
        <v>1625</v>
      </c>
      <c r="B1626" t="s">
        <v>78</v>
      </c>
      <c r="C1626">
        <v>323.14999999999998</v>
      </c>
      <c r="D1626">
        <v>25.33</v>
      </c>
      <c r="E1626">
        <v>0</v>
      </c>
      <c r="I1626">
        <v>1.95E-4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</row>
    <row r="1627" spans="1:20">
      <c r="A1627">
        <f t="shared" si="24"/>
        <v>1626</v>
      </c>
      <c r="B1627" t="s">
        <v>78</v>
      </c>
      <c r="C1627">
        <v>323.14999999999998</v>
      </c>
      <c r="D1627">
        <v>50.66</v>
      </c>
      <c r="E1627">
        <v>0</v>
      </c>
      <c r="I1627">
        <v>3.8100000000000005E-4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</row>
    <row r="1628" spans="1:20">
      <c r="A1628">
        <f t="shared" si="24"/>
        <v>1627</v>
      </c>
      <c r="B1628" t="s">
        <v>78</v>
      </c>
      <c r="C1628">
        <v>323.14999999999998</v>
      </c>
      <c r="D1628">
        <v>101.33</v>
      </c>
      <c r="E1628">
        <v>0</v>
      </c>
      <c r="I1628">
        <v>7.2199999999999999E-4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</row>
    <row r="1629" spans="1:20">
      <c r="A1629">
        <f t="shared" si="24"/>
        <v>1628</v>
      </c>
      <c r="B1629" t="s">
        <v>78</v>
      </c>
      <c r="C1629">
        <v>323.14999999999998</v>
      </c>
      <c r="D1629">
        <v>202.65</v>
      </c>
      <c r="E1629">
        <v>0</v>
      </c>
      <c r="I1629">
        <v>1.3059999999999999E-3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</row>
    <row r="1630" spans="1:20">
      <c r="A1630">
        <f t="shared" si="24"/>
        <v>1629</v>
      </c>
      <c r="B1630" t="s">
        <v>78</v>
      </c>
      <c r="C1630">
        <v>323.14999999999998</v>
      </c>
      <c r="D1630">
        <v>303.97000000000003</v>
      </c>
      <c r="E1630">
        <v>0</v>
      </c>
      <c r="I1630">
        <v>1.807E-3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</row>
    <row r="1631" spans="1:20">
      <c r="A1631">
        <f t="shared" si="24"/>
        <v>1630</v>
      </c>
      <c r="B1631" t="s">
        <v>78</v>
      </c>
      <c r="C1631">
        <v>323.14999999999998</v>
      </c>
      <c r="D1631">
        <v>506.62</v>
      </c>
      <c r="E1631">
        <v>0</v>
      </c>
      <c r="I1631">
        <v>2.6510000000000001E-3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</row>
    <row r="1632" spans="1:20">
      <c r="A1632">
        <f t="shared" si="24"/>
        <v>1631</v>
      </c>
      <c r="B1632" t="s">
        <v>78</v>
      </c>
      <c r="C1632">
        <v>323.14999999999998</v>
      </c>
      <c r="D1632">
        <v>810.6</v>
      </c>
      <c r="E1632">
        <v>0</v>
      </c>
      <c r="I1632">
        <v>3.7169999999999998E-3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</row>
    <row r="1633" spans="1:20">
      <c r="A1633">
        <f t="shared" si="24"/>
        <v>1632</v>
      </c>
      <c r="B1633" t="s">
        <v>78</v>
      </c>
      <c r="C1633">
        <v>323.14999999999998</v>
      </c>
      <c r="D1633">
        <v>1013.25</v>
      </c>
      <c r="E1633">
        <v>0</v>
      </c>
      <c r="I1633">
        <v>4.3559999999999996E-3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</row>
    <row r="1634" spans="1:20">
      <c r="A1634">
        <f t="shared" si="24"/>
        <v>1633</v>
      </c>
      <c r="B1634" t="s">
        <v>78</v>
      </c>
      <c r="C1634">
        <v>348.15</v>
      </c>
      <c r="D1634">
        <v>25.33</v>
      </c>
      <c r="E1634">
        <v>0</v>
      </c>
      <c r="I1634">
        <v>1.8100000000000001E-4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</row>
    <row r="1635" spans="1:20">
      <c r="A1635">
        <f t="shared" si="24"/>
        <v>1634</v>
      </c>
      <c r="B1635" t="s">
        <v>78</v>
      </c>
      <c r="C1635">
        <v>348.15</v>
      </c>
      <c r="D1635">
        <v>50.66</v>
      </c>
      <c r="E1635">
        <v>0</v>
      </c>
      <c r="I1635">
        <v>3.5299999999999996E-4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</row>
    <row r="1636" spans="1:20">
      <c r="A1636">
        <f t="shared" si="24"/>
        <v>1635</v>
      </c>
      <c r="B1636" t="s">
        <v>78</v>
      </c>
      <c r="C1636">
        <v>348.15</v>
      </c>
      <c r="D1636">
        <v>101.33</v>
      </c>
      <c r="E1636">
        <v>0</v>
      </c>
      <c r="I1636">
        <v>6.7599999999999995E-4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</row>
    <row r="1637" spans="1:20">
      <c r="A1637">
        <f t="shared" si="24"/>
        <v>1636</v>
      </c>
      <c r="B1637" t="s">
        <v>78</v>
      </c>
      <c r="C1637">
        <v>348.15</v>
      </c>
      <c r="D1637">
        <v>202.65</v>
      </c>
      <c r="E1637">
        <v>0</v>
      </c>
      <c r="I1637">
        <v>1.2360000000000001E-3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</row>
    <row r="1638" spans="1:20">
      <c r="A1638">
        <f t="shared" ref="A1638:A1701" si="25">A1637+1</f>
        <v>1637</v>
      </c>
      <c r="B1638" t="s">
        <v>78</v>
      </c>
      <c r="C1638">
        <v>348.15</v>
      </c>
      <c r="D1638">
        <v>303.97000000000003</v>
      </c>
      <c r="E1638">
        <v>0</v>
      </c>
      <c r="I1638">
        <v>1.7210000000000001E-3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</row>
    <row r="1639" spans="1:20">
      <c r="A1639">
        <f t="shared" si="25"/>
        <v>1638</v>
      </c>
      <c r="B1639" t="s">
        <v>78</v>
      </c>
      <c r="C1639">
        <v>348.15</v>
      </c>
      <c r="D1639">
        <v>506.62</v>
      </c>
      <c r="E1639">
        <v>0</v>
      </c>
      <c r="I1639">
        <v>2.5540000000000003E-3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</row>
    <row r="1640" spans="1:20">
      <c r="A1640">
        <f t="shared" si="25"/>
        <v>1639</v>
      </c>
      <c r="B1640" t="s">
        <v>78</v>
      </c>
      <c r="C1640">
        <v>348.15</v>
      </c>
      <c r="D1640">
        <v>810.6</v>
      </c>
      <c r="E1640">
        <v>0</v>
      </c>
      <c r="I1640">
        <v>3.604E-3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</row>
    <row r="1641" spans="1:20">
      <c r="A1641">
        <f t="shared" si="25"/>
        <v>1640</v>
      </c>
      <c r="B1641" t="s">
        <v>78</v>
      </c>
      <c r="C1641">
        <v>348.15</v>
      </c>
      <c r="D1641">
        <v>1013.25</v>
      </c>
      <c r="E1641">
        <v>0</v>
      </c>
      <c r="I1641">
        <v>4.2220000000000001E-3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</row>
    <row r="1642" spans="1:20">
      <c r="A1642">
        <f t="shared" si="25"/>
        <v>1641</v>
      </c>
      <c r="B1642" t="s">
        <v>78</v>
      </c>
      <c r="C1642">
        <v>373.15</v>
      </c>
      <c r="D1642">
        <v>25.33</v>
      </c>
      <c r="E1642">
        <v>0</v>
      </c>
      <c r="I1642">
        <v>1.8999999999999998E-4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</row>
    <row r="1643" spans="1:20">
      <c r="A1643">
        <f t="shared" si="25"/>
        <v>1642</v>
      </c>
      <c r="B1643" t="s">
        <v>78</v>
      </c>
      <c r="C1643">
        <v>373.15</v>
      </c>
      <c r="D1643">
        <v>50.66</v>
      </c>
      <c r="E1643">
        <v>0</v>
      </c>
      <c r="I1643">
        <v>3.6900000000000002E-4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</row>
    <row r="1644" spans="1:20">
      <c r="A1644">
        <f t="shared" si="25"/>
        <v>1643</v>
      </c>
      <c r="B1644" t="s">
        <v>78</v>
      </c>
      <c r="C1644">
        <v>373.15</v>
      </c>
      <c r="D1644">
        <v>101.33</v>
      </c>
      <c r="E1644">
        <v>0</v>
      </c>
      <c r="I1644">
        <v>7.0400000000000009E-4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</row>
    <row r="1645" spans="1:20">
      <c r="A1645">
        <f t="shared" si="25"/>
        <v>1644</v>
      </c>
      <c r="B1645" t="s">
        <v>78</v>
      </c>
      <c r="C1645">
        <v>373.15</v>
      </c>
      <c r="D1645">
        <v>202.65</v>
      </c>
      <c r="E1645">
        <v>0</v>
      </c>
      <c r="I1645">
        <v>1.2999999999999999E-3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</row>
    <row r="1646" spans="1:20">
      <c r="A1646">
        <f t="shared" si="25"/>
        <v>1645</v>
      </c>
      <c r="B1646" t="s">
        <v>78</v>
      </c>
      <c r="C1646">
        <v>373.15</v>
      </c>
      <c r="D1646">
        <v>303.97000000000003</v>
      </c>
      <c r="E1646">
        <v>0</v>
      </c>
      <c r="I1646">
        <v>1.8160000000000001E-3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</row>
    <row r="1647" spans="1:20">
      <c r="A1647">
        <f t="shared" si="25"/>
        <v>1646</v>
      </c>
      <c r="B1647" t="s">
        <v>78</v>
      </c>
      <c r="C1647">
        <v>373.15</v>
      </c>
      <c r="D1647">
        <v>506.62</v>
      </c>
      <c r="E1647">
        <v>0</v>
      </c>
      <c r="I1647">
        <v>2.7069999999999998E-3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</row>
    <row r="1648" spans="1:20">
      <c r="A1648">
        <f t="shared" si="25"/>
        <v>1647</v>
      </c>
      <c r="B1648" t="s">
        <v>78</v>
      </c>
      <c r="C1648">
        <v>373.15</v>
      </c>
      <c r="D1648">
        <v>810.6</v>
      </c>
      <c r="E1648">
        <v>0</v>
      </c>
      <c r="I1648">
        <v>3.8190000000000003E-3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</row>
    <row r="1649" spans="1:20">
      <c r="A1649">
        <f t="shared" si="25"/>
        <v>1648</v>
      </c>
      <c r="B1649" t="s">
        <v>78</v>
      </c>
      <c r="C1649">
        <v>373.15</v>
      </c>
      <c r="D1649">
        <v>1013.25</v>
      </c>
      <c r="E1649">
        <v>0</v>
      </c>
      <c r="I1649">
        <v>4.45E-3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</row>
    <row r="1650" spans="1:20">
      <c r="A1650">
        <f t="shared" si="25"/>
        <v>1649</v>
      </c>
      <c r="B1650" t="s">
        <v>79</v>
      </c>
      <c r="C1650">
        <v>338.15</v>
      </c>
      <c r="D1650">
        <v>101.3</v>
      </c>
      <c r="E1650">
        <v>0</v>
      </c>
      <c r="I1650">
        <v>6.9999999999999999E-4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</row>
    <row r="1651" spans="1:20">
      <c r="A1651">
        <f t="shared" si="25"/>
        <v>1650</v>
      </c>
      <c r="B1651" t="s">
        <v>79</v>
      </c>
      <c r="C1651">
        <v>353.15</v>
      </c>
      <c r="D1651">
        <v>101.3</v>
      </c>
      <c r="E1651">
        <v>0</v>
      </c>
      <c r="I1651">
        <v>6.9800000000000005E-4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</row>
    <row r="1652" spans="1:20">
      <c r="A1652">
        <f t="shared" si="25"/>
        <v>1651</v>
      </c>
      <c r="B1652" t="s">
        <v>79</v>
      </c>
      <c r="C1652">
        <v>398.15</v>
      </c>
      <c r="D1652">
        <v>101.3</v>
      </c>
      <c r="E1652">
        <v>0</v>
      </c>
      <c r="I1652">
        <v>8.5499999999999997E-4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</row>
    <row r="1653" spans="1:20">
      <c r="A1653">
        <f t="shared" si="25"/>
        <v>1652</v>
      </c>
      <c r="B1653" t="s">
        <v>79</v>
      </c>
      <c r="C1653">
        <v>453.15</v>
      </c>
      <c r="D1653">
        <v>101.3</v>
      </c>
      <c r="E1653">
        <v>0</v>
      </c>
      <c r="I1653">
        <v>1.173E-3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</row>
    <row r="1654" spans="1:20">
      <c r="A1654">
        <f t="shared" si="25"/>
        <v>1653</v>
      </c>
      <c r="B1654" t="s">
        <v>79</v>
      </c>
      <c r="C1654">
        <v>483.15</v>
      </c>
      <c r="D1654">
        <v>101.3</v>
      </c>
      <c r="E1654">
        <v>0</v>
      </c>
      <c r="I1654">
        <v>1.297E-3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</row>
    <row r="1655" spans="1:20">
      <c r="A1655">
        <f t="shared" si="25"/>
        <v>1654</v>
      </c>
      <c r="B1655" t="s">
        <v>79</v>
      </c>
      <c r="C1655">
        <v>513.15</v>
      </c>
      <c r="D1655">
        <v>101.3</v>
      </c>
      <c r="E1655">
        <v>0</v>
      </c>
      <c r="I1655">
        <v>1.446E-3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</row>
    <row r="1656" spans="1:20">
      <c r="A1656">
        <f t="shared" si="25"/>
        <v>1655</v>
      </c>
      <c r="B1656" t="s">
        <v>79</v>
      </c>
      <c r="C1656">
        <v>323.14999999999998</v>
      </c>
      <c r="D1656">
        <v>202.7</v>
      </c>
      <c r="E1656">
        <v>0</v>
      </c>
      <c r="I1656">
        <v>1.2899999999999999E-3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</row>
    <row r="1657" spans="1:20">
      <c r="A1657">
        <f t="shared" si="25"/>
        <v>1656</v>
      </c>
      <c r="B1657" t="s">
        <v>79</v>
      </c>
      <c r="C1657">
        <v>353.15</v>
      </c>
      <c r="D1657">
        <v>202.7</v>
      </c>
      <c r="E1657">
        <v>0</v>
      </c>
      <c r="I1657">
        <v>1.248E-3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</row>
    <row r="1658" spans="1:20">
      <c r="A1658">
        <f t="shared" si="25"/>
        <v>1657</v>
      </c>
      <c r="B1658" t="s">
        <v>79</v>
      </c>
      <c r="C1658">
        <v>373.15</v>
      </c>
      <c r="D1658">
        <v>202.7</v>
      </c>
      <c r="E1658">
        <v>0</v>
      </c>
      <c r="I1658">
        <v>1.302E-3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</row>
    <row r="1659" spans="1:20">
      <c r="A1659">
        <f t="shared" si="25"/>
        <v>1658</v>
      </c>
      <c r="B1659" t="s">
        <v>79</v>
      </c>
      <c r="C1659">
        <v>423.15</v>
      </c>
      <c r="D1659">
        <v>202.7</v>
      </c>
      <c r="E1659">
        <v>0</v>
      </c>
      <c r="I1659">
        <v>1.5499999999999999E-3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</row>
    <row r="1660" spans="1:20">
      <c r="A1660">
        <f t="shared" si="25"/>
        <v>1659</v>
      </c>
      <c r="B1660" t="s">
        <v>79</v>
      </c>
      <c r="C1660">
        <v>473.15</v>
      </c>
      <c r="D1660">
        <v>202.7</v>
      </c>
      <c r="E1660">
        <v>0</v>
      </c>
      <c r="I1660">
        <v>2.343E-3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</row>
    <row r="1661" spans="1:20">
      <c r="A1661">
        <f t="shared" si="25"/>
        <v>1660</v>
      </c>
      <c r="B1661" t="s">
        <v>79</v>
      </c>
      <c r="C1661">
        <v>513.15</v>
      </c>
      <c r="D1661">
        <v>202.7</v>
      </c>
      <c r="E1661">
        <v>0</v>
      </c>
      <c r="I1661">
        <v>3.1189999999999998E-3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</row>
    <row r="1662" spans="1:20">
      <c r="A1662">
        <f t="shared" si="25"/>
        <v>1661</v>
      </c>
      <c r="B1662" t="s">
        <v>79</v>
      </c>
      <c r="C1662">
        <v>323.14999999999998</v>
      </c>
      <c r="D1662">
        <v>304</v>
      </c>
      <c r="E1662">
        <v>0</v>
      </c>
      <c r="I1662">
        <v>1.8339999999999999E-3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</row>
    <row r="1663" spans="1:20">
      <c r="A1663">
        <f t="shared" si="25"/>
        <v>1662</v>
      </c>
      <c r="B1663" t="s">
        <v>79</v>
      </c>
      <c r="C1663">
        <v>343.15</v>
      </c>
      <c r="D1663">
        <v>304</v>
      </c>
      <c r="E1663">
        <v>0</v>
      </c>
      <c r="I1663">
        <v>1.73E-3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</row>
    <row r="1664" spans="1:20">
      <c r="A1664">
        <f t="shared" si="25"/>
        <v>1663</v>
      </c>
      <c r="B1664" t="s">
        <v>79</v>
      </c>
      <c r="C1664">
        <v>378.15</v>
      </c>
      <c r="D1664">
        <v>304</v>
      </c>
      <c r="E1664">
        <v>0</v>
      </c>
      <c r="I1664">
        <v>1.853E-3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</row>
    <row r="1665" spans="1:20">
      <c r="A1665">
        <f t="shared" si="25"/>
        <v>1664</v>
      </c>
      <c r="B1665" t="s">
        <v>79</v>
      </c>
      <c r="C1665">
        <v>408.15</v>
      </c>
      <c r="D1665">
        <v>304</v>
      </c>
      <c r="E1665">
        <v>0</v>
      </c>
      <c r="I1665">
        <v>2.2300000000000002E-3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</row>
    <row r="1666" spans="1:20">
      <c r="A1666">
        <f t="shared" si="25"/>
        <v>1665</v>
      </c>
      <c r="B1666" t="s">
        <v>79</v>
      </c>
      <c r="C1666">
        <v>438.15</v>
      </c>
      <c r="D1666">
        <v>304</v>
      </c>
      <c r="E1666">
        <v>0</v>
      </c>
      <c r="I1666">
        <v>2.7829999999999999E-3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</row>
    <row r="1667" spans="1:20">
      <c r="A1667">
        <f t="shared" si="25"/>
        <v>1666</v>
      </c>
      <c r="B1667" t="s">
        <v>79</v>
      </c>
      <c r="C1667">
        <v>503.15</v>
      </c>
      <c r="D1667">
        <v>304</v>
      </c>
      <c r="E1667">
        <v>0</v>
      </c>
      <c r="I1667">
        <v>4.313E-3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</row>
    <row r="1668" spans="1:20">
      <c r="A1668">
        <f t="shared" si="25"/>
        <v>1667</v>
      </c>
      <c r="B1668" t="s">
        <v>80</v>
      </c>
      <c r="C1668">
        <v>533.1</v>
      </c>
      <c r="D1668">
        <v>10.34</v>
      </c>
      <c r="E1668">
        <v>0</v>
      </c>
      <c r="I1668">
        <v>3.1E-4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</row>
    <row r="1669" spans="1:20">
      <c r="A1669">
        <f t="shared" si="25"/>
        <v>1668</v>
      </c>
      <c r="B1669" t="s">
        <v>80</v>
      </c>
      <c r="C1669">
        <v>533.1</v>
      </c>
      <c r="D1669">
        <v>34.47</v>
      </c>
      <c r="E1669">
        <v>0</v>
      </c>
      <c r="I1669">
        <v>8.8999999999999995E-4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</row>
    <row r="1670" spans="1:20">
      <c r="A1670">
        <f t="shared" si="25"/>
        <v>1669</v>
      </c>
      <c r="B1670" t="s">
        <v>80</v>
      </c>
      <c r="C1670">
        <v>588.70000000000005</v>
      </c>
      <c r="D1670">
        <v>10.34</v>
      </c>
      <c r="E1670">
        <v>0</v>
      </c>
      <c r="I1670">
        <v>3.8999999999999999E-4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</row>
    <row r="1671" spans="1:20">
      <c r="A1671">
        <f t="shared" si="25"/>
        <v>1670</v>
      </c>
      <c r="B1671" t="s">
        <v>80</v>
      </c>
      <c r="C1671">
        <v>588.70000000000005</v>
      </c>
      <c r="D1671">
        <v>20.68</v>
      </c>
      <c r="E1671">
        <v>0</v>
      </c>
      <c r="I1671">
        <v>1.1100000000000001E-3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</row>
    <row r="1672" spans="1:20">
      <c r="A1672">
        <f t="shared" si="25"/>
        <v>1671</v>
      </c>
      <c r="B1672" t="s">
        <v>80</v>
      </c>
      <c r="C1672">
        <v>588.70000000000005</v>
      </c>
      <c r="D1672">
        <v>34.47</v>
      </c>
      <c r="E1672">
        <v>0</v>
      </c>
      <c r="I1672">
        <v>1.66E-3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</row>
    <row r="1673" spans="1:20">
      <c r="A1673">
        <f t="shared" si="25"/>
        <v>1672</v>
      </c>
      <c r="B1673" t="s">
        <v>81</v>
      </c>
      <c r="C1673">
        <v>324.64999999999998</v>
      </c>
      <c r="D1673">
        <v>101.3</v>
      </c>
      <c r="E1673">
        <v>0</v>
      </c>
      <c r="I1673">
        <v>8.0999999999999996E-4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</row>
    <row r="1674" spans="1:20">
      <c r="A1674">
        <f t="shared" si="25"/>
        <v>1673</v>
      </c>
      <c r="B1674" t="s">
        <v>81</v>
      </c>
      <c r="C1674">
        <v>324.64999999999998</v>
      </c>
      <c r="D1674">
        <v>202.6</v>
      </c>
      <c r="E1674">
        <v>0</v>
      </c>
      <c r="I1674">
        <v>1.47E-3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</row>
    <row r="1675" spans="1:20">
      <c r="A1675">
        <f t="shared" si="25"/>
        <v>1674</v>
      </c>
      <c r="B1675" t="s">
        <v>81</v>
      </c>
      <c r="C1675">
        <v>324.64999999999998</v>
      </c>
      <c r="D1675">
        <v>304</v>
      </c>
      <c r="E1675">
        <v>0</v>
      </c>
      <c r="I1675">
        <v>2.0500000000000002E-3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</row>
    <row r="1676" spans="1:20">
      <c r="A1676">
        <f t="shared" si="25"/>
        <v>1675</v>
      </c>
      <c r="B1676" t="s">
        <v>81</v>
      </c>
      <c r="C1676">
        <v>324.64999999999998</v>
      </c>
      <c r="D1676">
        <v>405.3</v>
      </c>
      <c r="E1676">
        <v>0</v>
      </c>
      <c r="I1676">
        <v>2.5400000000000002E-3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</row>
    <row r="1677" spans="1:20">
      <c r="A1677">
        <f t="shared" si="25"/>
        <v>1676</v>
      </c>
      <c r="B1677" t="s">
        <v>81</v>
      </c>
      <c r="C1677">
        <v>324.64999999999998</v>
      </c>
      <c r="D1677">
        <v>506.6</v>
      </c>
      <c r="E1677">
        <v>0</v>
      </c>
      <c r="I1677">
        <v>3.0000000000000001E-3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</row>
    <row r="1678" spans="1:20">
      <c r="A1678">
        <f t="shared" si="25"/>
        <v>1677</v>
      </c>
      <c r="B1678" t="s">
        <v>81</v>
      </c>
      <c r="C1678">
        <v>324.64999999999998</v>
      </c>
      <c r="D1678">
        <v>607.9</v>
      </c>
      <c r="E1678">
        <v>0</v>
      </c>
      <c r="I1678">
        <v>3.4399999999999999E-3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</row>
    <row r="1679" spans="1:20">
      <c r="A1679">
        <f t="shared" si="25"/>
        <v>1678</v>
      </c>
      <c r="B1679" t="s">
        <v>83</v>
      </c>
      <c r="C1679">
        <v>303.14999999999998</v>
      </c>
      <c r="D1679">
        <v>12.4</v>
      </c>
      <c r="E1679">
        <v>0.5</v>
      </c>
      <c r="I1679">
        <v>1.03E-4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</row>
    <row r="1680" spans="1:20">
      <c r="A1680">
        <f t="shared" si="25"/>
        <v>1679</v>
      </c>
      <c r="B1680" t="s">
        <v>83</v>
      </c>
      <c r="C1680">
        <v>303.14999999999998</v>
      </c>
      <c r="D1680">
        <v>24.6</v>
      </c>
      <c r="E1680">
        <v>0.5</v>
      </c>
      <c r="I1680">
        <v>1.8200000000000001E-4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</row>
    <row r="1681" spans="1:20">
      <c r="A1681">
        <f t="shared" si="25"/>
        <v>1680</v>
      </c>
      <c r="B1681" t="s">
        <v>83</v>
      </c>
      <c r="C1681">
        <v>303.14999999999998</v>
      </c>
      <c r="D1681">
        <v>34.5</v>
      </c>
      <c r="E1681">
        <v>0.5</v>
      </c>
      <c r="I1681">
        <v>2.8600000000000001E-4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</row>
    <row r="1682" spans="1:20">
      <c r="A1682">
        <f t="shared" si="25"/>
        <v>1681</v>
      </c>
      <c r="B1682" t="s">
        <v>83</v>
      </c>
      <c r="C1682">
        <v>303.14999999999998</v>
      </c>
      <c r="D1682">
        <v>45.8</v>
      </c>
      <c r="E1682">
        <v>0.5</v>
      </c>
      <c r="I1682">
        <v>3.8400000000000001E-4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</row>
    <row r="1683" spans="1:20">
      <c r="A1683">
        <f t="shared" si="25"/>
        <v>1682</v>
      </c>
      <c r="B1683" t="s">
        <v>83</v>
      </c>
      <c r="C1683">
        <v>303.14999999999998</v>
      </c>
      <c r="D1683">
        <v>54.1</v>
      </c>
      <c r="E1683">
        <v>0.5</v>
      </c>
      <c r="I1683">
        <v>4.7300000000000006E-4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</row>
    <row r="1684" spans="1:20">
      <c r="A1684">
        <f t="shared" si="25"/>
        <v>1683</v>
      </c>
      <c r="B1684" t="s">
        <v>83</v>
      </c>
      <c r="C1684">
        <v>303.14999999999998</v>
      </c>
      <c r="D1684">
        <v>60.5</v>
      </c>
      <c r="E1684">
        <v>0.5</v>
      </c>
      <c r="I1684">
        <v>5.6799999999999993E-4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</row>
    <row r="1685" spans="1:20">
      <c r="A1685">
        <f t="shared" si="25"/>
        <v>1684</v>
      </c>
      <c r="B1685" t="s">
        <v>83</v>
      </c>
      <c r="C1685">
        <v>303.14999999999998</v>
      </c>
      <c r="D1685">
        <v>14.8</v>
      </c>
      <c r="E1685">
        <v>1.75</v>
      </c>
      <c r="I1685">
        <v>5.6000000000000006E-5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</row>
    <row r="1686" spans="1:20">
      <c r="A1686">
        <f t="shared" si="25"/>
        <v>1685</v>
      </c>
      <c r="B1686" t="s">
        <v>83</v>
      </c>
      <c r="C1686">
        <v>303.14999999999998</v>
      </c>
      <c r="D1686">
        <v>26.9</v>
      </c>
      <c r="E1686">
        <v>1.75</v>
      </c>
      <c r="I1686">
        <v>1.46E-4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</row>
    <row r="1687" spans="1:20">
      <c r="A1687">
        <f t="shared" si="25"/>
        <v>1686</v>
      </c>
      <c r="B1687" t="s">
        <v>83</v>
      </c>
      <c r="C1687">
        <v>303.14999999999998</v>
      </c>
      <c r="D1687">
        <v>38.299999999999997</v>
      </c>
      <c r="E1687">
        <v>1.75</v>
      </c>
      <c r="I1687">
        <v>2.13E-4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</row>
    <row r="1688" spans="1:20">
      <c r="A1688">
        <f t="shared" si="25"/>
        <v>1687</v>
      </c>
      <c r="B1688" t="s">
        <v>83</v>
      </c>
      <c r="C1688">
        <v>303.14999999999998</v>
      </c>
      <c r="D1688">
        <v>48.3</v>
      </c>
      <c r="E1688">
        <v>1.75</v>
      </c>
      <c r="I1688">
        <v>2.4399999999999999E-4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</row>
    <row r="1689" spans="1:20">
      <c r="A1689">
        <f t="shared" si="25"/>
        <v>1688</v>
      </c>
      <c r="B1689" t="s">
        <v>83</v>
      </c>
      <c r="C1689">
        <v>303.14999999999998</v>
      </c>
      <c r="D1689">
        <v>55.8</v>
      </c>
      <c r="E1689">
        <v>1.75</v>
      </c>
      <c r="I1689">
        <v>3.1E-4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</row>
    <row r="1690" spans="1:20">
      <c r="A1690">
        <f t="shared" si="25"/>
        <v>1689</v>
      </c>
      <c r="B1690" t="s">
        <v>83</v>
      </c>
      <c r="C1690">
        <v>303.14999999999998</v>
      </c>
      <c r="D1690">
        <v>64.7</v>
      </c>
      <c r="E1690">
        <v>1.75</v>
      </c>
      <c r="I1690">
        <v>3.6200000000000002E-4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</row>
    <row r="1691" spans="1:20">
      <c r="A1691">
        <f t="shared" si="25"/>
        <v>1690</v>
      </c>
      <c r="B1691" t="s">
        <v>83</v>
      </c>
      <c r="C1691">
        <v>303.14999999999998</v>
      </c>
      <c r="D1691">
        <v>16.2</v>
      </c>
      <c r="E1691">
        <v>3.5</v>
      </c>
      <c r="I1691">
        <v>3.8000000000000002E-5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</row>
    <row r="1692" spans="1:20">
      <c r="A1692">
        <f t="shared" si="25"/>
        <v>1691</v>
      </c>
      <c r="B1692" t="s">
        <v>83</v>
      </c>
      <c r="C1692">
        <v>303.14999999999998</v>
      </c>
      <c r="D1692">
        <v>29.9</v>
      </c>
      <c r="E1692">
        <v>3.5</v>
      </c>
      <c r="I1692">
        <v>9.3000000000000011E-5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</row>
    <row r="1693" spans="1:20">
      <c r="A1693">
        <f t="shared" si="25"/>
        <v>1692</v>
      </c>
      <c r="B1693" t="s">
        <v>83</v>
      </c>
      <c r="C1693">
        <v>303.14999999999998</v>
      </c>
      <c r="D1693">
        <v>44.3</v>
      </c>
      <c r="E1693">
        <v>3.5</v>
      </c>
      <c r="I1693">
        <v>1.3700000000000002E-4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</row>
    <row r="1694" spans="1:20">
      <c r="A1694">
        <f t="shared" si="25"/>
        <v>1693</v>
      </c>
      <c r="B1694" t="s">
        <v>83</v>
      </c>
      <c r="C1694">
        <v>303.14999999999998</v>
      </c>
      <c r="D1694">
        <v>58.8</v>
      </c>
      <c r="E1694">
        <v>3.5</v>
      </c>
      <c r="I1694">
        <v>1.7799999999999999E-4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</row>
    <row r="1695" spans="1:20">
      <c r="A1695">
        <f t="shared" si="25"/>
        <v>1694</v>
      </c>
      <c r="B1695" t="s">
        <v>83</v>
      </c>
      <c r="C1695">
        <v>303.14999999999998</v>
      </c>
      <c r="D1695">
        <v>66.400000000000006</v>
      </c>
      <c r="E1695">
        <v>3.5</v>
      </c>
      <c r="I1695">
        <v>2.3799999999999998E-4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</row>
    <row r="1696" spans="1:20">
      <c r="A1696">
        <f t="shared" si="25"/>
        <v>1695</v>
      </c>
      <c r="B1696" t="s">
        <v>83</v>
      </c>
      <c r="C1696">
        <v>303.14999999999998</v>
      </c>
      <c r="D1696">
        <v>76</v>
      </c>
      <c r="E1696">
        <v>3.5</v>
      </c>
      <c r="I1696">
        <v>2.6400000000000002E-4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</row>
    <row r="1697" spans="1:20">
      <c r="A1697">
        <f t="shared" si="25"/>
        <v>1696</v>
      </c>
      <c r="B1697" t="s">
        <v>83</v>
      </c>
      <c r="C1697">
        <v>303.14999999999998</v>
      </c>
      <c r="D1697">
        <v>26.2</v>
      </c>
      <c r="E1697">
        <v>5.6</v>
      </c>
      <c r="I1697">
        <v>3.1999999999999999E-5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</row>
    <row r="1698" spans="1:20">
      <c r="A1698">
        <f t="shared" si="25"/>
        <v>1697</v>
      </c>
      <c r="B1698" t="s">
        <v>83</v>
      </c>
      <c r="C1698">
        <v>303.14999999999998</v>
      </c>
      <c r="D1698">
        <v>34.1</v>
      </c>
      <c r="E1698">
        <v>5.6</v>
      </c>
      <c r="I1698">
        <v>5.2000000000000004E-5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</row>
    <row r="1699" spans="1:20">
      <c r="A1699">
        <f t="shared" si="25"/>
        <v>1698</v>
      </c>
      <c r="B1699" t="s">
        <v>83</v>
      </c>
      <c r="C1699">
        <v>303.14999999999998</v>
      </c>
      <c r="D1699">
        <v>54</v>
      </c>
      <c r="E1699">
        <v>5.6</v>
      </c>
      <c r="I1699">
        <v>9.0000000000000006E-5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</row>
    <row r="1700" spans="1:20">
      <c r="A1700">
        <f t="shared" si="25"/>
        <v>1699</v>
      </c>
      <c r="B1700" t="s">
        <v>83</v>
      </c>
      <c r="C1700">
        <v>303.14999999999998</v>
      </c>
      <c r="D1700">
        <v>72.599999999999994</v>
      </c>
      <c r="E1700">
        <v>5.6</v>
      </c>
      <c r="I1700">
        <v>1.83E-4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</row>
    <row r="1701" spans="1:20">
      <c r="A1701">
        <f t="shared" si="25"/>
        <v>1700</v>
      </c>
      <c r="B1701" t="s">
        <v>83</v>
      </c>
      <c r="C1701">
        <v>303.14999999999998</v>
      </c>
      <c r="D1701">
        <v>12.4</v>
      </c>
      <c r="E1701">
        <v>1</v>
      </c>
      <c r="I1701">
        <v>9.3999999999999994E-5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</row>
    <row r="1702" spans="1:20">
      <c r="A1702">
        <f t="shared" ref="A1702:A1765" si="26">A1701+1</f>
        <v>1701</v>
      </c>
      <c r="B1702" t="s">
        <v>83</v>
      </c>
      <c r="C1702">
        <v>303.14999999999998</v>
      </c>
      <c r="D1702">
        <v>23.8</v>
      </c>
      <c r="E1702">
        <v>1</v>
      </c>
      <c r="I1702">
        <v>1.74E-4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</row>
    <row r="1703" spans="1:20">
      <c r="A1703">
        <f t="shared" si="26"/>
        <v>1702</v>
      </c>
      <c r="B1703" t="s">
        <v>83</v>
      </c>
      <c r="C1703">
        <v>303.14999999999998</v>
      </c>
      <c r="D1703">
        <v>35.200000000000003</v>
      </c>
      <c r="E1703">
        <v>1</v>
      </c>
      <c r="I1703">
        <v>2.5599999999999999E-4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</row>
    <row r="1704" spans="1:20">
      <c r="A1704">
        <f t="shared" si="26"/>
        <v>1703</v>
      </c>
      <c r="B1704" t="s">
        <v>83</v>
      </c>
      <c r="C1704">
        <v>303.14999999999998</v>
      </c>
      <c r="D1704">
        <v>45.9</v>
      </c>
      <c r="E1704">
        <v>1</v>
      </c>
      <c r="I1704">
        <v>3.6999999999999999E-4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</row>
    <row r="1705" spans="1:20">
      <c r="A1705">
        <f t="shared" si="26"/>
        <v>1704</v>
      </c>
      <c r="B1705" t="s">
        <v>83</v>
      </c>
      <c r="C1705">
        <v>303.14999999999998</v>
      </c>
      <c r="D1705">
        <v>55</v>
      </c>
      <c r="E1705">
        <v>1</v>
      </c>
      <c r="I1705">
        <v>4.6799999999999999E-4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</row>
    <row r="1706" spans="1:20">
      <c r="A1706">
        <f t="shared" si="26"/>
        <v>1705</v>
      </c>
      <c r="B1706" t="s">
        <v>83</v>
      </c>
      <c r="C1706">
        <v>303.14999999999998</v>
      </c>
      <c r="D1706">
        <v>65.2</v>
      </c>
      <c r="E1706">
        <v>1</v>
      </c>
      <c r="I1706">
        <v>5.5000000000000003E-4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</row>
    <row r="1707" spans="1:20">
      <c r="A1707">
        <f t="shared" si="26"/>
        <v>1706</v>
      </c>
      <c r="B1707" t="s">
        <v>83</v>
      </c>
      <c r="C1707">
        <v>303.14999999999998</v>
      </c>
      <c r="D1707">
        <v>14.1</v>
      </c>
      <c r="E1707">
        <v>2.7</v>
      </c>
      <c r="I1707">
        <v>5.6999999999999996E-5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</row>
    <row r="1708" spans="1:20">
      <c r="A1708">
        <f t="shared" si="26"/>
        <v>1707</v>
      </c>
      <c r="B1708" t="s">
        <v>83</v>
      </c>
      <c r="C1708">
        <v>303.14999999999998</v>
      </c>
      <c r="D1708">
        <v>27.2</v>
      </c>
      <c r="E1708">
        <v>2.7</v>
      </c>
      <c r="I1708">
        <v>1.2899999999999999E-4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</row>
    <row r="1709" spans="1:20">
      <c r="A1709">
        <f t="shared" si="26"/>
        <v>1708</v>
      </c>
      <c r="B1709" t="s">
        <v>83</v>
      </c>
      <c r="C1709">
        <v>303.14999999999998</v>
      </c>
      <c r="D1709">
        <v>38.299999999999997</v>
      </c>
      <c r="E1709">
        <v>2.7</v>
      </c>
      <c r="I1709">
        <v>2.02E-4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</row>
    <row r="1710" spans="1:20">
      <c r="A1710">
        <f t="shared" si="26"/>
        <v>1709</v>
      </c>
      <c r="B1710" t="s">
        <v>83</v>
      </c>
      <c r="C1710">
        <v>303.14999999999998</v>
      </c>
      <c r="D1710">
        <v>51.7</v>
      </c>
      <c r="E1710">
        <v>2.7</v>
      </c>
      <c r="I1710">
        <v>2.81E-4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</row>
    <row r="1711" spans="1:20">
      <c r="A1711">
        <f t="shared" si="26"/>
        <v>1710</v>
      </c>
      <c r="B1711" t="s">
        <v>83</v>
      </c>
      <c r="C1711">
        <v>303.14999999999998</v>
      </c>
      <c r="D1711">
        <v>61.4</v>
      </c>
      <c r="E1711">
        <v>2.7</v>
      </c>
      <c r="I1711">
        <v>3.4600000000000001E-4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</row>
    <row r="1712" spans="1:20">
      <c r="A1712">
        <f t="shared" si="26"/>
        <v>1711</v>
      </c>
      <c r="B1712" t="s">
        <v>83</v>
      </c>
      <c r="C1712">
        <v>303.14999999999998</v>
      </c>
      <c r="D1712">
        <v>72.599999999999994</v>
      </c>
      <c r="E1712">
        <v>2.7</v>
      </c>
      <c r="I1712">
        <v>4.1399999999999998E-4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</row>
    <row r="1713" spans="1:20">
      <c r="A1713">
        <f t="shared" si="26"/>
        <v>1712</v>
      </c>
      <c r="B1713" t="s">
        <v>83</v>
      </c>
      <c r="C1713">
        <v>303.14999999999998</v>
      </c>
      <c r="D1713">
        <v>16.899999999999999</v>
      </c>
      <c r="E1713">
        <v>5.47</v>
      </c>
      <c r="I1713">
        <v>3.1999999999999999E-5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</row>
    <row r="1714" spans="1:20">
      <c r="A1714">
        <f t="shared" si="26"/>
        <v>1713</v>
      </c>
      <c r="B1714" t="s">
        <v>83</v>
      </c>
      <c r="C1714">
        <v>303.14999999999998</v>
      </c>
      <c r="D1714">
        <v>31.5</v>
      </c>
      <c r="E1714">
        <v>5.47</v>
      </c>
      <c r="I1714">
        <v>8.7999999999999998E-5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</row>
    <row r="1715" spans="1:20">
      <c r="A1715">
        <f t="shared" si="26"/>
        <v>1714</v>
      </c>
      <c r="B1715" t="s">
        <v>83</v>
      </c>
      <c r="C1715">
        <v>303.14999999999998</v>
      </c>
      <c r="D1715">
        <v>44.1</v>
      </c>
      <c r="E1715">
        <v>5.47</v>
      </c>
      <c r="I1715">
        <v>1.3899999999999999E-4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</row>
    <row r="1716" spans="1:20">
      <c r="A1716">
        <f t="shared" si="26"/>
        <v>1715</v>
      </c>
      <c r="B1716" t="s">
        <v>83</v>
      </c>
      <c r="C1716">
        <v>303.14999999999998</v>
      </c>
      <c r="D1716">
        <v>56.5</v>
      </c>
      <c r="E1716">
        <v>5.47</v>
      </c>
      <c r="I1716">
        <v>1.8600000000000002E-4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</row>
    <row r="1717" spans="1:20">
      <c r="A1717">
        <f t="shared" si="26"/>
        <v>1716</v>
      </c>
      <c r="B1717" t="s">
        <v>83</v>
      </c>
      <c r="C1717">
        <v>303.14999999999998</v>
      </c>
      <c r="D1717">
        <v>71.2</v>
      </c>
      <c r="E1717">
        <v>5.47</v>
      </c>
      <c r="I1717">
        <v>2.72E-4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</row>
    <row r="1718" spans="1:20">
      <c r="A1718">
        <f t="shared" si="26"/>
        <v>1717</v>
      </c>
      <c r="B1718" t="s">
        <v>81</v>
      </c>
      <c r="C1718">
        <v>324.64999999999998</v>
      </c>
      <c r="D1718">
        <v>101.3</v>
      </c>
      <c r="E1718">
        <v>1</v>
      </c>
      <c r="I1718">
        <v>5.9999999999999995E-4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</row>
    <row r="1719" spans="1:20">
      <c r="A1719">
        <f t="shared" si="26"/>
        <v>1718</v>
      </c>
      <c r="B1719" t="s">
        <v>81</v>
      </c>
      <c r="C1719">
        <v>324.64999999999998</v>
      </c>
      <c r="D1719">
        <v>202.6</v>
      </c>
      <c r="E1719">
        <v>1</v>
      </c>
      <c r="I1719">
        <v>1.09E-3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</row>
    <row r="1720" spans="1:20">
      <c r="A1720">
        <f t="shared" si="26"/>
        <v>1719</v>
      </c>
      <c r="B1720" t="s">
        <v>81</v>
      </c>
      <c r="C1720">
        <v>324.64999999999998</v>
      </c>
      <c r="D1720">
        <v>304</v>
      </c>
      <c r="E1720">
        <v>1</v>
      </c>
      <c r="I1720">
        <v>1.5199999999999999E-3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</row>
    <row r="1721" spans="1:20">
      <c r="A1721">
        <f t="shared" si="26"/>
        <v>1720</v>
      </c>
      <c r="B1721" t="s">
        <v>81</v>
      </c>
      <c r="C1721">
        <v>324.64999999999998</v>
      </c>
      <c r="D1721">
        <v>405.3</v>
      </c>
      <c r="E1721">
        <v>1</v>
      </c>
      <c r="I1721">
        <v>1.9E-3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</row>
    <row r="1722" spans="1:20">
      <c r="A1722">
        <f t="shared" si="26"/>
        <v>1721</v>
      </c>
      <c r="B1722" t="s">
        <v>81</v>
      </c>
      <c r="C1722">
        <v>324.64999999999998</v>
      </c>
      <c r="D1722">
        <v>506.6</v>
      </c>
      <c r="E1722">
        <v>1</v>
      </c>
      <c r="I1722">
        <v>2.2600000000000003E-3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</row>
    <row r="1723" spans="1:20">
      <c r="A1723">
        <f t="shared" si="26"/>
        <v>1722</v>
      </c>
      <c r="B1723" t="s">
        <v>81</v>
      </c>
      <c r="C1723">
        <v>324.64999999999998</v>
      </c>
      <c r="D1723">
        <v>607.9</v>
      </c>
      <c r="E1723">
        <v>1</v>
      </c>
      <c r="I1723">
        <v>2.5899999999999999E-3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</row>
    <row r="1724" spans="1:20">
      <c r="A1724">
        <f t="shared" si="26"/>
        <v>1723</v>
      </c>
      <c r="B1724" t="s">
        <v>81</v>
      </c>
      <c r="C1724">
        <v>375.65</v>
      </c>
      <c r="D1724">
        <v>102.3</v>
      </c>
      <c r="E1724">
        <v>1</v>
      </c>
      <c r="I1724">
        <v>6.0999999999999997E-4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</row>
    <row r="1725" spans="1:20">
      <c r="A1725">
        <f t="shared" si="26"/>
        <v>1724</v>
      </c>
      <c r="B1725" t="s">
        <v>81</v>
      </c>
      <c r="C1725">
        <v>375.65</v>
      </c>
      <c r="D1725">
        <v>203.7</v>
      </c>
      <c r="E1725">
        <v>1</v>
      </c>
      <c r="I1725">
        <v>1.1300000000000001E-3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</row>
    <row r="1726" spans="1:20">
      <c r="A1726">
        <f t="shared" si="26"/>
        <v>1725</v>
      </c>
      <c r="B1726" t="s">
        <v>81</v>
      </c>
      <c r="C1726">
        <v>375.65</v>
      </c>
      <c r="D1726">
        <v>306</v>
      </c>
      <c r="E1726">
        <v>1</v>
      </c>
      <c r="I1726">
        <v>1.56E-3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</row>
    <row r="1727" spans="1:20">
      <c r="A1727">
        <f t="shared" si="26"/>
        <v>1726</v>
      </c>
      <c r="B1727" t="s">
        <v>81</v>
      </c>
      <c r="C1727">
        <v>375.65</v>
      </c>
      <c r="D1727">
        <v>408.3</v>
      </c>
      <c r="E1727">
        <v>1</v>
      </c>
      <c r="I1727">
        <v>1.9499999999999999E-3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</row>
    <row r="1728" spans="1:20">
      <c r="A1728">
        <f t="shared" si="26"/>
        <v>1727</v>
      </c>
      <c r="B1728" t="s">
        <v>81</v>
      </c>
      <c r="C1728">
        <v>375.65</v>
      </c>
      <c r="D1728">
        <v>509.7</v>
      </c>
      <c r="E1728">
        <v>1</v>
      </c>
      <c r="I1728">
        <v>2.3E-3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</row>
    <row r="1729" spans="1:20">
      <c r="A1729">
        <f t="shared" si="26"/>
        <v>1728</v>
      </c>
      <c r="B1729" t="s">
        <v>81</v>
      </c>
      <c r="C1729">
        <v>375.65</v>
      </c>
      <c r="D1729">
        <v>612</v>
      </c>
      <c r="E1729">
        <v>1</v>
      </c>
      <c r="I1729">
        <v>2.66E-3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</row>
    <row r="1730" spans="1:20">
      <c r="A1730">
        <f t="shared" si="26"/>
        <v>1729</v>
      </c>
      <c r="B1730" t="s">
        <v>84</v>
      </c>
      <c r="C1730">
        <v>298.14999999999998</v>
      </c>
      <c r="D1730">
        <v>25.33</v>
      </c>
      <c r="E1730">
        <v>0</v>
      </c>
      <c r="J1730">
        <v>3.1100000000000002E-4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</row>
    <row r="1731" spans="1:20">
      <c r="A1731">
        <f t="shared" si="26"/>
        <v>1730</v>
      </c>
      <c r="B1731" t="s">
        <v>84</v>
      </c>
      <c r="C1731">
        <v>298.14999999999998</v>
      </c>
      <c r="D1731">
        <v>50.66</v>
      </c>
      <c r="E1731">
        <v>0</v>
      </c>
      <c r="J1731">
        <v>6.1899999999999998E-4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</row>
    <row r="1732" spans="1:20">
      <c r="A1732">
        <f t="shared" si="26"/>
        <v>1731</v>
      </c>
      <c r="B1732" t="s">
        <v>84</v>
      </c>
      <c r="C1732">
        <v>298.14999999999998</v>
      </c>
      <c r="D1732">
        <v>101.3</v>
      </c>
      <c r="E1732">
        <v>0</v>
      </c>
      <c r="J1732">
        <v>1.2330000000000002E-3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</row>
    <row r="1733" spans="1:20">
      <c r="A1733">
        <f t="shared" si="26"/>
        <v>1732</v>
      </c>
      <c r="B1733" t="s">
        <v>84</v>
      </c>
      <c r="C1733">
        <v>298.14999999999998</v>
      </c>
      <c r="D1733">
        <v>202.6</v>
      </c>
      <c r="E1733">
        <v>0</v>
      </c>
      <c r="J1733">
        <v>2.4169999999999999E-3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</row>
    <row r="1734" spans="1:20">
      <c r="A1734">
        <f t="shared" si="26"/>
        <v>1733</v>
      </c>
      <c r="B1734" t="s">
        <v>84</v>
      </c>
      <c r="C1734">
        <v>298.14999999999998</v>
      </c>
      <c r="D1734">
        <v>405.3</v>
      </c>
      <c r="E1734">
        <v>0</v>
      </c>
      <c r="J1734">
        <v>4.6730000000000001E-3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</row>
    <row r="1735" spans="1:20">
      <c r="A1735">
        <f t="shared" si="26"/>
        <v>1734</v>
      </c>
      <c r="B1735" t="s">
        <v>84</v>
      </c>
      <c r="C1735">
        <v>298.14999999999998</v>
      </c>
      <c r="D1735">
        <v>607.9</v>
      </c>
      <c r="E1735">
        <v>0</v>
      </c>
      <c r="J1735">
        <v>6.7990000000000004E-3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</row>
    <row r="1736" spans="1:20">
      <c r="A1736">
        <f t="shared" si="26"/>
        <v>1735</v>
      </c>
      <c r="B1736" t="s">
        <v>84</v>
      </c>
      <c r="C1736">
        <v>298.14999999999998</v>
      </c>
      <c r="D1736">
        <v>810.6</v>
      </c>
      <c r="E1736">
        <v>0</v>
      </c>
      <c r="J1736">
        <v>8.8249999999999995E-3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</row>
    <row r="1737" spans="1:20">
      <c r="A1737">
        <f t="shared" si="26"/>
        <v>1736</v>
      </c>
      <c r="B1737" t="s">
        <v>84</v>
      </c>
      <c r="C1737">
        <v>298.14999999999998</v>
      </c>
      <c r="D1737">
        <v>1013.3</v>
      </c>
      <c r="E1737">
        <v>0</v>
      </c>
      <c r="J1737">
        <v>1.0744999999999999E-2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</row>
    <row r="1738" spans="1:20">
      <c r="A1738">
        <f t="shared" si="26"/>
        <v>1737</v>
      </c>
      <c r="B1738" t="s">
        <v>85</v>
      </c>
      <c r="C1738">
        <v>273.14999999999998</v>
      </c>
      <c r="D1738">
        <v>25.33</v>
      </c>
      <c r="E1738">
        <v>0</v>
      </c>
      <c r="J1738">
        <v>3.8299999999999999E-4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</row>
    <row r="1739" spans="1:20">
      <c r="A1739">
        <f t="shared" si="26"/>
        <v>1738</v>
      </c>
      <c r="B1739" t="s">
        <v>85</v>
      </c>
      <c r="C1739">
        <v>273.14999999999998</v>
      </c>
      <c r="D1739">
        <v>50.66</v>
      </c>
      <c r="E1739">
        <v>0</v>
      </c>
      <c r="J1739">
        <v>7.6800000000000002E-4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</row>
    <row r="1740" spans="1:20">
      <c r="A1740">
        <f t="shared" si="26"/>
        <v>1739</v>
      </c>
      <c r="B1740" t="s">
        <v>85</v>
      </c>
      <c r="C1740">
        <v>273.14999999999998</v>
      </c>
      <c r="D1740">
        <v>101.33</v>
      </c>
      <c r="E1740">
        <v>0</v>
      </c>
      <c r="J1740">
        <v>1.5200000000000001E-3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</row>
    <row r="1741" spans="1:20">
      <c r="A1741">
        <f t="shared" si="26"/>
        <v>1740</v>
      </c>
      <c r="B1741" t="s">
        <v>85</v>
      </c>
      <c r="C1741">
        <v>273.14999999999998</v>
      </c>
      <c r="D1741">
        <v>202.65</v>
      </c>
      <c r="E1741">
        <v>0</v>
      </c>
      <c r="J1741">
        <v>2.983E-3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</row>
    <row r="1742" spans="1:20">
      <c r="A1742">
        <f t="shared" si="26"/>
        <v>1741</v>
      </c>
      <c r="B1742" t="s">
        <v>85</v>
      </c>
      <c r="C1742">
        <v>273.14999999999998</v>
      </c>
      <c r="D1742">
        <v>405.3</v>
      </c>
      <c r="E1742">
        <v>0</v>
      </c>
      <c r="J1742">
        <v>5.6899999999999997E-3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</row>
    <row r="1743" spans="1:20">
      <c r="A1743">
        <f t="shared" si="26"/>
        <v>1742</v>
      </c>
      <c r="B1743" t="s">
        <v>85</v>
      </c>
      <c r="C1743">
        <v>273.14999999999998</v>
      </c>
      <c r="D1743">
        <v>607.95000000000005</v>
      </c>
      <c r="E1743">
        <v>0</v>
      </c>
      <c r="J1743">
        <v>8.2389999999999998E-3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</row>
    <row r="1744" spans="1:20">
      <c r="A1744">
        <f t="shared" si="26"/>
        <v>1743</v>
      </c>
      <c r="B1744" t="s">
        <v>85</v>
      </c>
      <c r="C1744">
        <v>273.14999999999998</v>
      </c>
      <c r="D1744">
        <v>810.6</v>
      </c>
      <c r="E1744">
        <v>0</v>
      </c>
      <c r="J1744">
        <v>1.0619E-2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</row>
    <row r="1745" spans="1:20">
      <c r="A1745">
        <f t="shared" si="26"/>
        <v>1744</v>
      </c>
      <c r="B1745" t="s">
        <v>85</v>
      </c>
      <c r="C1745">
        <v>273.14999999999998</v>
      </c>
      <c r="D1745">
        <v>1013.25</v>
      </c>
      <c r="E1745">
        <v>0</v>
      </c>
      <c r="J1745">
        <v>1.2699999999999999E-2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</row>
    <row r="1746" spans="1:20">
      <c r="A1746">
        <f t="shared" si="26"/>
        <v>1745</v>
      </c>
      <c r="B1746" t="s">
        <v>85</v>
      </c>
      <c r="C1746">
        <v>298.14999999999998</v>
      </c>
      <c r="D1746">
        <v>25.33</v>
      </c>
      <c r="E1746">
        <v>0</v>
      </c>
      <c r="J1746">
        <v>3.1100000000000002E-4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</row>
    <row r="1747" spans="1:20">
      <c r="A1747">
        <f t="shared" si="26"/>
        <v>1746</v>
      </c>
      <c r="B1747" t="s">
        <v>85</v>
      </c>
      <c r="C1747">
        <v>298.14999999999998</v>
      </c>
      <c r="D1747">
        <v>50.66</v>
      </c>
      <c r="E1747">
        <v>0</v>
      </c>
      <c r="J1747">
        <v>6.1899999999999998E-4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</row>
    <row r="1748" spans="1:20">
      <c r="A1748">
        <f t="shared" si="26"/>
        <v>1747</v>
      </c>
      <c r="B1748" t="s">
        <v>85</v>
      </c>
      <c r="C1748">
        <v>298.14999999999998</v>
      </c>
      <c r="D1748">
        <v>101.33</v>
      </c>
      <c r="E1748">
        <v>0</v>
      </c>
      <c r="J1748">
        <v>1.2329999999999999E-3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</row>
    <row r="1749" spans="1:20">
      <c r="A1749">
        <f t="shared" si="26"/>
        <v>1748</v>
      </c>
      <c r="B1749" t="s">
        <v>85</v>
      </c>
      <c r="C1749">
        <v>298.14999999999998</v>
      </c>
      <c r="D1749">
        <v>202.65</v>
      </c>
      <c r="E1749">
        <v>0</v>
      </c>
      <c r="J1749">
        <v>2.4169999999999999E-3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</row>
    <row r="1750" spans="1:20">
      <c r="A1750">
        <f t="shared" si="26"/>
        <v>1749</v>
      </c>
      <c r="B1750" t="s">
        <v>85</v>
      </c>
      <c r="C1750">
        <v>298.14999999999998</v>
      </c>
      <c r="D1750">
        <v>405.3</v>
      </c>
      <c r="E1750">
        <v>0</v>
      </c>
      <c r="J1750">
        <v>4.6730000000000001E-3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</row>
    <row r="1751" spans="1:20">
      <c r="A1751">
        <f t="shared" si="26"/>
        <v>1750</v>
      </c>
      <c r="B1751" t="s">
        <v>85</v>
      </c>
      <c r="C1751">
        <v>298.14999999999998</v>
      </c>
      <c r="D1751">
        <v>607.95000000000005</v>
      </c>
      <c r="E1751">
        <v>0</v>
      </c>
      <c r="J1751">
        <v>6.7990000000000004E-3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</row>
    <row r="1752" spans="1:20">
      <c r="A1752">
        <f t="shared" si="26"/>
        <v>1751</v>
      </c>
      <c r="B1752" t="s">
        <v>85</v>
      </c>
      <c r="C1752">
        <v>298.14999999999998</v>
      </c>
      <c r="D1752">
        <v>810.6</v>
      </c>
      <c r="E1752">
        <v>0</v>
      </c>
      <c r="J1752">
        <v>8.8249999999999995E-3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</row>
    <row r="1753" spans="1:20">
      <c r="A1753">
        <f t="shared" si="26"/>
        <v>1752</v>
      </c>
      <c r="B1753" t="s">
        <v>85</v>
      </c>
      <c r="C1753">
        <v>298.14999999999998</v>
      </c>
      <c r="D1753">
        <v>1013.25</v>
      </c>
      <c r="E1753">
        <v>0</v>
      </c>
      <c r="J1753">
        <v>1.0744999999999999E-2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</row>
    <row r="1754" spans="1:20">
      <c r="A1754">
        <f t="shared" si="26"/>
        <v>1753</v>
      </c>
      <c r="B1754" t="s">
        <v>85</v>
      </c>
      <c r="C1754">
        <v>323.14999999999998</v>
      </c>
      <c r="D1754">
        <v>25.33</v>
      </c>
      <c r="E1754">
        <v>0</v>
      </c>
      <c r="J1754">
        <v>2.9E-4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</row>
    <row r="1755" spans="1:20">
      <c r="A1755">
        <f t="shared" si="26"/>
        <v>1754</v>
      </c>
      <c r="B1755" t="s">
        <v>85</v>
      </c>
      <c r="C1755">
        <v>323.14999999999998</v>
      </c>
      <c r="D1755">
        <v>50.66</v>
      </c>
      <c r="E1755">
        <v>0</v>
      </c>
      <c r="J1755">
        <v>5.7799999999999995E-4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</row>
    <row r="1756" spans="1:20">
      <c r="A1756">
        <f t="shared" si="26"/>
        <v>1755</v>
      </c>
      <c r="B1756" t="s">
        <v>85</v>
      </c>
      <c r="C1756">
        <v>323.14999999999998</v>
      </c>
      <c r="D1756">
        <v>101.33</v>
      </c>
      <c r="E1756">
        <v>0</v>
      </c>
      <c r="J1756">
        <v>1.1509999999999999E-3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</row>
    <row r="1757" spans="1:20">
      <c r="A1757">
        <f t="shared" si="26"/>
        <v>1756</v>
      </c>
      <c r="B1757" t="s">
        <v>85</v>
      </c>
      <c r="C1757">
        <v>323.14999999999998</v>
      </c>
      <c r="D1757">
        <v>202.65</v>
      </c>
      <c r="E1757">
        <v>0</v>
      </c>
      <c r="J1757">
        <v>2.2560000000000002E-3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</row>
    <row r="1758" spans="1:20">
      <c r="A1758">
        <f t="shared" si="26"/>
        <v>1757</v>
      </c>
      <c r="B1758" t="s">
        <v>85</v>
      </c>
      <c r="C1758">
        <v>323.14999999999998</v>
      </c>
      <c r="D1758">
        <v>405.3</v>
      </c>
      <c r="E1758">
        <v>0</v>
      </c>
      <c r="J1758">
        <v>4.3870000000000003E-3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</row>
    <row r="1759" spans="1:20">
      <c r="A1759">
        <f t="shared" si="26"/>
        <v>1758</v>
      </c>
      <c r="B1759" t="s">
        <v>85</v>
      </c>
      <c r="C1759">
        <v>323.14999999999998</v>
      </c>
      <c r="D1759">
        <v>607.95000000000005</v>
      </c>
      <c r="E1759">
        <v>0</v>
      </c>
      <c r="J1759">
        <v>6.4019999999999997E-3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</row>
    <row r="1760" spans="1:20">
      <c r="A1760">
        <f t="shared" si="26"/>
        <v>1759</v>
      </c>
      <c r="B1760" t="s">
        <v>85</v>
      </c>
      <c r="C1760">
        <v>323.14999999999998</v>
      </c>
      <c r="D1760">
        <v>810.6</v>
      </c>
      <c r="E1760">
        <v>0</v>
      </c>
      <c r="J1760">
        <v>8.3160000000000005E-3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</row>
    <row r="1761" spans="1:20">
      <c r="A1761">
        <f t="shared" si="26"/>
        <v>1760</v>
      </c>
      <c r="B1761" t="s">
        <v>85</v>
      </c>
      <c r="C1761">
        <v>323.14999999999998</v>
      </c>
      <c r="D1761">
        <v>1013.25</v>
      </c>
      <c r="E1761">
        <v>0</v>
      </c>
      <c r="J1761">
        <v>1.0187999999999999E-2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</row>
    <row r="1762" spans="1:20">
      <c r="A1762">
        <f t="shared" si="26"/>
        <v>1761</v>
      </c>
      <c r="B1762" t="s">
        <v>85</v>
      </c>
      <c r="C1762">
        <v>348.15</v>
      </c>
      <c r="D1762">
        <v>25.33</v>
      </c>
      <c r="E1762">
        <v>0</v>
      </c>
      <c r="J1762">
        <v>2.9500000000000001E-4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</row>
    <row r="1763" spans="1:20">
      <c r="A1763">
        <f t="shared" si="26"/>
        <v>1762</v>
      </c>
      <c r="B1763" t="s">
        <v>85</v>
      </c>
      <c r="C1763">
        <v>348.15</v>
      </c>
      <c r="D1763">
        <v>50.66</v>
      </c>
      <c r="E1763">
        <v>0</v>
      </c>
      <c r="J1763">
        <v>5.9000000000000003E-4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</row>
    <row r="1764" spans="1:20">
      <c r="A1764">
        <f t="shared" si="26"/>
        <v>1763</v>
      </c>
      <c r="B1764" t="s">
        <v>85</v>
      </c>
      <c r="C1764">
        <v>348.15</v>
      </c>
      <c r="D1764">
        <v>101.32</v>
      </c>
      <c r="E1764">
        <v>0</v>
      </c>
      <c r="J1764">
        <v>1.173E-3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</row>
    <row r="1765" spans="1:20">
      <c r="A1765">
        <f t="shared" si="26"/>
        <v>1764</v>
      </c>
      <c r="B1765" t="s">
        <v>85</v>
      </c>
      <c r="C1765">
        <v>348.15</v>
      </c>
      <c r="D1765">
        <v>202.65</v>
      </c>
      <c r="E1765">
        <v>0</v>
      </c>
      <c r="J1765">
        <v>2.31E-3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</row>
    <row r="1766" spans="1:20">
      <c r="A1766">
        <f t="shared" ref="A1766:A1829" si="27">A1765+1</f>
        <v>1765</v>
      </c>
      <c r="B1766" t="s">
        <v>85</v>
      </c>
      <c r="C1766">
        <v>348.15</v>
      </c>
      <c r="D1766">
        <v>405.3</v>
      </c>
      <c r="E1766">
        <v>0</v>
      </c>
      <c r="J1766">
        <v>4.4869999999999997E-3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</row>
    <row r="1767" spans="1:20">
      <c r="A1767">
        <f t="shared" si="27"/>
        <v>1766</v>
      </c>
      <c r="B1767" t="s">
        <v>85</v>
      </c>
      <c r="C1767">
        <v>348.15</v>
      </c>
      <c r="D1767">
        <v>607.95000000000005</v>
      </c>
      <c r="E1767">
        <v>0</v>
      </c>
      <c r="J1767">
        <v>6.5449999999999996E-3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</row>
    <row r="1768" spans="1:20">
      <c r="A1768">
        <f t="shared" si="27"/>
        <v>1767</v>
      </c>
      <c r="B1768" t="s">
        <v>85</v>
      </c>
      <c r="C1768">
        <v>348.15</v>
      </c>
      <c r="D1768">
        <v>810.6</v>
      </c>
      <c r="E1768">
        <v>0</v>
      </c>
      <c r="J1768">
        <v>8.5039999999999994E-3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</row>
    <row r="1769" spans="1:20">
      <c r="A1769">
        <f t="shared" si="27"/>
        <v>1768</v>
      </c>
      <c r="B1769" t="s">
        <v>85</v>
      </c>
      <c r="C1769">
        <v>348.15</v>
      </c>
      <c r="D1769">
        <v>1013.25</v>
      </c>
      <c r="E1769">
        <v>0</v>
      </c>
      <c r="J1769">
        <v>1.0385E-2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</row>
    <row r="1770" spans="1:20">
      <c r="A1770">
        <f t="shared" si="27"/>
        <v>1769</v>
      </c>
      <c r="B1770" t="s">
        <v>85</v>
      </c>
      <c r="C1770">
        <v>373.15</v>
      </c>
      <c r="D1770">
        <v>25.33</v>
      </c>
      <c r="E1770">
        <v>0</v>
      </c>
      <c r="J1770">
        <v>3.3E-4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</row>
    <row r="1771" spans="1:20">
      <c r="A1771">
        <f t="shared" si="27"/>
        <v>1770</v>
      </c>
      <c r="B1771" t="s">
        <v>85</v>
      </c>
      <c r="C1771">
        <v>373.15</v>
      </c>
      <c r="D1771">
        <v>50.66</v>
      </c>
      <c r="E1771">
        <v>0</v>
      </c>
      <c r="J1771">
        <v>6.5099999999999999E-4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</row>
    <row r="1772" spans="1:20">
      <c r="A1772">
        <f t="shared" si="27"/>
        <v>1771</v>
      </c>
      <c r="B1772" t="s">
        <v>85</v>
      </c>
      <c r="C1772">
        <v>373.15</v>
      </c>
      <c r="D1772">
        <v>101.32</v>
      </c>
      <c r="E1772">
        <v>0</v>
      </c>
      <c r="J1772">
        <v>1.2880000000000001E-3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</row>
    <row r="1773" spans="1:20">
      <c r="A1773">
        <f t="shared" si="27"/>
        <v>1772</v>
      </c>
      <c r="B1773" t="s">
        <v>85</v>
      </c>
      <c r="C1773">
        <v>373.15</v>
      </c>
      <c r="D1773">
        <v>202.65</v>
      </c>
      <c r="E1773">
        <v>0</v>
      </c>
      <c r="J1773">
        <v>2.526E-3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</row>
    <row r="1774" spans="1:20">
      <c r="A1774">
        <f t="shared" si="27"/>
        <v>1773</v>
      </c>
      <c r="B1774" t="s">
        <v>85</v>
      </c>
      <c r="C1774">
        <v>373.15</v>
      </c>
      <c r="D1774">
        <v>405.3</v>
      </c>
      <c r="E1774">
        <v>0</v>
      </c>
      <c r="J1774">
        <v>4.8650000000000004E-3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</row>
    <row r="1775" spans="1:20">
      <c r="A1775">
        <f t="shared" si="27"/>
        <v>1774</v>
      </c>
      <c r="B1775" t="s">
        <v>85</v>
      </c>
      <c r="C1775">
        <v>373.15</v>
      </c>
      <c r="D1775">
        <v>607.95000000000005</v>
      </c>
      <c r="E1775">
        <v>0</v>
      </c>
      <c r="J1775">
        <v>7.0910000000000001E-3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</row>
    <row r="1776" spans="1:20">
      <c r="A1776">
        <f t="shared" si="27"/>
        <v>1775</v>
      </c>
      <c r="B1776" t="s">
        <v>85</v>
      </c>
      <c r="C1776">
        <v>373.15</v>
      </c>
      <c r="D1776">
        <v>810.6</v>
      </c>
      <c r="E1776">
        <v>0</v>
      </c>
      <c r="J1776">
        <v>9.1900000000000003E-3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</row>
    <row r="1777" spans="1:20">
      <c r="A1777">
        <f t="shared" si="27"/>
        <v>1776</v>
      </c>
      <c r="B1777" t="s">
        <v>85</v>
      </c>
      <c r="C1777">
        <v>373.15</v>
      </c>
      <c r="D1777">
        <v>1013.25</v>
      </c>
      <c r="E1777">
        <v>0</v>
      </c>
      <c r="J1777">
        <v>1.1147000000000001E-2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</row>
    <row r="1778" spans="1:20">
      <c r="A1778">
        <f t="shared" si="27"/>
        <v>1777</v>
      </c>
      <c r="B1778" t="s">
        <v>86</v>
      </c>
      <c r="C1778">
        <v>299.8</v>
      </c>
      <c r="D1778">
        <v>34.47</v>
      </c>
      <c r="E1778">
        <v>0</v>
      </c>
      <c r="J1778">
        <v>4.3607532210109023E-4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</row>
    <row r="1779" spans="1:20">
      <c r="A1779">
        <f t="shared" si="27"/>
        <v>1778</v>
      </c>
      <c r="B1779" t="s">
        <v>86</v>
      </c>
      <c r="C1779">
        <v>324.3</v>
      </c>
      <c r="D1779">
        <v>34.47</v>
      </c>
      <c r="E1779">
        <v>0</v>
      </c>
      <c r="J1779">
        <v>5.5493895671476128E-4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</row>
    <row r="1780" spans="1:20">
      <c r="A1780">
        <f t="shared" si="27"/>
        <v>1779</v>
      </c>
      <c r="B1780" t="s">
        <v>86</v>
      </c>
      <c r="C1780">
        <v>366.5</v>
      </c>
      <c r="D1780">
        <v>34.47</v>
      </c>
      <c r="E1780">
        <v>0</v>
      </c>
      <c r="J1780">
        <v>4.5192544023087838E-4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</row>
    <row r="1781" spans="1:20">
      <c r="A1781">
        <f t="shared" si="27"/>
        <v>1780</v>
      </c>
      <c r="B1781" t="s">
        <v>86</v>
      </c>
      <c r="C1781">
        <v>422</v>
      </c>
      <c r="D1781">
        <v>34.47</v>
      </c>
      <c r="E1781">
        <v>0</v>
      </c>
      <c r="J1781">
        <v>4.6777505569694518E-4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</row>
    <row r="1782" spans="1:20">
      <c r="A1782">
        <f t="shared" si="27"/>
        <v>1781</v>
      </c>
      <c r="B1782" t="s">
        <v>86</v>
      </c>
      <c r="C1782">
        <v>449.8</v>
      </c>
      <c r="D1782">
        <v>34.47</v>
      </c>
      <c r="E1782">
        <v>0</v>
      </c>
      <c r="J1782">
        <v>4.5985031079538247E-4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</row>
    <row r="1783" spans="1:20">
      <c r="A1783">
        <f t="shared" si="27"/>
        <v>1782</v>
      </c>
      <c r="B1783" t="s">
        <v>86</v>
      </c>
      <c r="C1783">
        <v>477.6</v>
      </c>
      <c r="D1783">
        <v>34.47</v>
      </c>
      <c r="E1783">
        <v>0</v>
      </c>
      <c r="J1783">
        <v>3.964478274659055E-4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</row>
    <row r="1784" spans="1:20">
      <c r="A1784">
        <f t="shared" si="27"/>
        <v>1783</v>
      </c>
      <c r="B1784" t="s">
        <v>86</v>
      </c>
      <c r="C1784">
        <v>502.6</v>
      </c>
      <c r="D1784">
        <v>34.47</v>
      </c>
      <c r="E1784">
        <v>0</v>
      </c>
      <c r="J1784">
        <v>2.1412087519925139E-4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</row>
    <row r="1785" spans="1:20">
      <c r="A1785">
        <f t="shared" si="27"/>
        <v>1784</v>
      </c>
      <c r="B1785" t="s">
        <v>86</v>
      </c>
      <c r="C1785">
        <v>273.14999999999998</v>
      </c>
      <c r="D1785">
        <v>68.95</v>
      </c>
      <c r="E1785">
        <v>0</v>
      </c>
      <c r="J1785">
        <v>6.7139789480693147E-4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</row>
    <row r="1786" spans="1:20">
      <c r="A1786">
        <f t="shared" si="27"/>
        <v>1785</v>
      </c>
      <c r="B1786" t="s">
        <v>86</v>
      </c>
      <c r="C1786">
        <v>297.60000000000002</v>
      </c>
      <c r="D1786">
        <v>68.95</v>
      </c>
      <c r="E1786">
        <v>0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</row>
    <row r="1787" spans="1:20">
      <c r="A1787">
        <f t="shared" si="27"/>
        <v>1786</v>
      </c>
      <c r="B1787" t="s">
        <v>86</v>
      </c>
      <c r="C1787">
        <v>298.14999999999998</v>
      </c>
      <c r="D1787">
        <v>68.95</v>
      </c>
      <c r="E1787">
        <v>0</v>
      </c>
      <c r="J1787">
        <v>9.4857187234774324E-4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</row>
    <row r="1788" spans="1:20">
      <c r="A1788">
        <f t="shared" si="27"/>
        <v>1787</v>
      </c>
      <c r="B1788" t="s">
        <v>86</v>
      </c>
      <c r="C1788">
        <v>298.7</v>
      </c>
      <c r="D1788">
        <v>68.95</v>
      </c>
      <c r="E1788">
        <v>0</v>
      </c>
      <c r="F1788">
        <v>6.7000000000000002E-3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</row>
    <row r="1789" spans="1:20">
      <c r="A1789">
        <f t="shared" si="27"/>
        <v>1788</v>
      </c>
      <c r="B1789" t="s">
        <v>86</v>
      </c>
      <c r="C1789">
        <v>312.60000000000002</v>
      </c>
      <c r="D1789">
        <v>68.95</v>
      </c>
      <c r="E1789">
        <v>0</v>
      </c>
      <c r="J1789">
        <v>9.2719535292859001E-4</v>
      </c>
      <c r="N1789">
        <v>0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</row>
    <row r="1790" spans="1:20">
      <c r="A1790">
        <f t="shared" si="27"/>
        <v>1789</v>
      </c>
      <c r="B1790" t="s">
        <v>86</v>
      </c>
      <c r="C1790">
        <v>317.60000000000002</v>
      </c>
      <c r="D1790">
        <v>68.95</v>
      </c>
      <c r="E1790">
        <v>0</v>
      </c>
      <c r="J1790">
        <v>8.6781133226871234E-4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</row>
    <row r="1791" spans="1:20">
      <c r="A1791">
        <f t="shared" si="27"/>
        <v>1790</v>
      </c>
      <c r="B1791" t="s">
        <v>86</v>
      </c>
      <c r="C1791">
        <v>334.8</v>
      </c>
      <c r="D1791">
        <v>68.95</v>
      </c>
      <c r="E1791">
        <v>0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</row>
    <row r="1792" spans="1:20">
      <c r="A1792">
        <f t="shared" si="27"/>
        <v>1791</v>
      </c>
      <c r="B1792" t="s">
        <v>86</v>
      </c>
      <c r="C1792">
        <v>335.9</v>
      </c>
      <c r="D1792">
        <v>68.95</v>
      </c>
      <c r="E1792">
        <v>0</v>
      </c>
      <c r="F1792">
        <v>1.4500000000000001E-2</v>
      </c>
      <c r="J1792">
        <v>7.5377422123867844E-4</v>
      </c>
      <c r="N1792">
        <v>0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</row>
    <row r="1793" spans="1:20">
      <c r="A1793">
        <f t="shared" si="27"/>
        <v>1792</v>
      </c>
      <c r="B1793" t="s">
        <v>86</v>
      </c>
      <c r="C1793">
        <v>341.5</v>
      </c>
      <c r="D1793">
        <v>68.95</v>
      </c>
      <c r="E1793">
        <v>0</v>
      </c>
      <c r="F1793">
        <v>1.34E-2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</row>
    <row r="1794" spans="1:20">
      <c r="A1794">
        <f t="shared" si="27"/>
        <v>1793</v>
      </c>
      <c r="B1794" t="s">
        <v>86</v>
      </c>
      <c r="C1794">
        <v>362</v>
      </c>
      <c r="D1794">
        <v>68.95</v>
      </c>
      <c r="E1794">
        <v>0</v>
      </c>
      <c r="F1794">
        <v>2.1999999999999999E-2</v>
      </c>
      <c r="J1794">
        <v>8.7968870115152052E-4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</row>
    <row r="1795" spans="1:20">
      <c r="A1795">
        <f t="shared" si="27"/>
        <v>1794</v>
      </c>
      <c r="B1795" t="s">
        <v>86</v>
      </c>
      <c r="C1795">
        <v>391.5</v>
      </c>
      <c r="D1795">
        <v>68.95</v>
      </c>
      <c r="E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</row>
    <row r="1796" spans="1:20">
      <c r="A1796">
        <f t="shared" si="27"/>
        <v>1795</v>
      </c>
      <c r="B1796" t="s">
        <v>86</v>
      </c>
      <c r="C1796">
        <v>392</v>
      </c>
      <c r="D1796">
        <v>68.95</v>
      </c>
      <c r="E1796">
        <v>0</v>
      </c>
      <c r="F1796">
        <v>3.1E-2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</row>
    <row r="1797" spans="1:20">
      <c r="A1797">
        <f t="shared" si="27"/>
        <v>1796</v>
      </c>
      <c r="B1797" t="s">
        <v>86</v>
      </c>
      <c r="C1797">
        <v>393.15</v>
      </c>
      <c r="D1797">
        <v>68.95</v>
      </c>
      <c r="E1797">
        <v>0</v>
      </c>
      <c r="J1797">
        <v>1.0301109350237718E-3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</row>
    <row r="1798" spans="1:20">
      <c r="A1798">
        <f t="shared" si="27"/>
        <v>1797</v>
      </c>
      <c r="B1798" t="s">
        <v>86</v>
      </c>
      <c r="C1798">
        <v>420.4</v>
      </c>
      <c r="D1798">
        <v>68.95</v>
      </c>
      <c r="E1798">
        <v>0</v>
      </c>
      <c r="J1798">
        <v>1.2991745488537159E-3</v>
      </c>
      <c r="N1798">
        <v>0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</row>
    <row r="1799" spans="1:20">
      <c r="A1799">
        <f t="shared" si="27"/>
        <v>1798</v>
      </c>
      <c r="B1799" t="s">
        <v>86</v>
      </c>
      <c r="C1799">
        <v>420.9</v>
      </c>
      <c r="D1799">
        <v>68.95</v>
      </c>
      <c r="E1799">
        <v>0</v>
      </c>
      <c r="F1799">
        <v>6.7000000000000004E-2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</row>
    <row r="1800" spans="1:20">
      <c r="A1800">
        <f t="shared" si="27"/>
        <v>1799</v>
      </c>
      <c r="B1800" t="s">
        <v>86</v>
      </c>
      <c r="C1800">
        <v>423.15</v>
      </c>
      <c r="D1800">
        <v>68.95</v>
      </c>
      <c r="E1800">
        <v>0</v>
      </c>
      <c r="N1800">
        <v>0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</row>
    <row r="1801" spans="1:20">
      <c r="A1801">
        <f t="shared" si="27"/>
        <v>1800</v>
      </c>
      <c r="B1801" t="s">
        <v>86</v>
      </c>
      <c r="C1801">
        <v>452.6</v>
      </c>
      <c r="D1801">
        <v>68.95</v>
      </c>
      <c r="E1801">
        <v>0</v>
      </c>
      <c r="J1801">
        <v>1.5048313004910499E-3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</row>
    <row r="1802" spans="1:20">
      <c r="A1802">
        <f t="shared" si="27"/>
        <v>1801</v>
      </c>
      <c r="B1802" t="s">
        <v>86</v>
      </c>
      <c r="C1802">
        <v>454.8</v>
      </c>
      <c r="D1802">
        <v>68.95</v>
      </c>
      <c r="E1802">
        <v>0</v>
      </c>
      <c r="F1802">
        <v>0.15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</row>
    <row r="1803" spans="1:20">
      <c r="A1803">
        <f t="shared" si="27"/>
        <v>1802</v>
      </c>
      <c r="B1803" t="s">
        <v>86</v>
      </c>
      <c r="C1803">
        <v>477.6</v>
      </c>
      <c r="D1803">
        <v>68.95</v>
      </c>
      <c r="E1803">
        <v>0</v>
      </c>
      <c r="F1803">
        <v>0.26300000000000001</v>
      </c>
      <c r="J1803">
        <v>1.6629711751662973E-3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</row>
    <row r="1804" spans="1:20">
      <c r="A1804">
        <f t="shared" si="27"/>
        <v>1803</v>
      </c>
      <c r="B1804" t="s">
        <v>86</v>
      </c>
      <c r="C1804">
        <v>508.15</v>
      </c>
      <c r="D1804">
        <v>68.95</v>
      </c>
      <c r="E1804">
        <v>0</v>
      </c>
      <c r="F1804">
        <v>0.48899999999999999</v>
      </c>
      <c r="J1804">
        <v>1.5364632832794778E-3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</row>
    <row r="1805" spans="1:20">
      <c r="A1805">
        <f t="shared" si="27"/>
        <v>1804</v>
      </c>
      <c r="B1805" t="s">
        <v>86</v>
      </c>
      <c r="C1805">
        <v>531.5</v>
      </c>
      <c r="D1805">
        <v>68.95</v>
      </c>
      <c r="E1805">
        <v>0</v>
      </c>
      <c r="J1805">
        <v>1.2991745488537159E-3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</row>
    <row r="1806" spans="1:20">
      <c r="A1806">
        <f t="shared" si="27"/>
        <v>1805</v>
      </c>
      <c r="B1806" t="s">
        <v>86</v>
      </c>
      <c r="C1806">
        <v>533.15</v>
      </c>
      <c r="D1806">
        <v>68.95</v>
      </c>
      <c r="E1806">
        <v>0</v>
      </c>
      <c r="F1806">
        <v>0.66100000000000003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</row>
    <row r="1807" spans="1:20">
      <c r="A1807">
        <f t="shared" si="27"/>
        <v>1806</v>
      </c>
      <c r="B1807" t="s">
        <v>86</v>
      </c>
      <c r="C1807">
        <v>542.6</v>
      </c>
      <c r="D1807">
        <v>68.95</v>
      </c>
      <c r="E1807">
        <v>0</v>
      </c>
      <c r="F1807">
        <v>0.75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</row>
    <row r="1808" spans="1:20">
      <c r="A1808">
        <f t="shared" si="27"/>
        <v>1807</v>
      </c>
      <c r="B1808" t="s">
        <v>86</v>
      </c>
      <c r="C1808">
        <v>544.29999999999995</v>
      </c>
      <c r="D1808">
        <v>68.95</v>
      </c>
      <c r="E1808">
        <v>0</v>
      </c>
      <c r="J1808">
        <v>9.5094698470560258E-4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</row>
    <row r="1809" spans="1:20">
      <c r="A1809">
        <f t="shared" si="27"/>
        <v>1808</v>
      </c>
      <c r="B1809" t="s">
        <v>86</v>
      </c>
      <c r="C1809">
        <v>298.14999999999998</v>
      </c>
      <c r="D1809">
        <v>103.42</v>
      </c>
      <c r="E1809">
        <v>0</v>
      </c>
      <c r="J1809">
        <v>1.4415613218008428E-3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</row>
    <row r="1810" spans="1:20">
      <c r="A1810">
        <f t="shared" si="27"/>
        <v>1809</v>
      </c>
      <c r="B1810" t="s">
        <v>86</v>
      </c>
      <c r="C1810">
        <v>324.8</v>
      </c>
      <c r="D1810">
        <v>103.42</v>
      </c>
      <c r="E1810">
        <v>0</v>
      </c>
      <c r="J1810">
        <v>1.3466413181242077E-3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</row>
    <row r="1811" spans="1:20">
      <c r="A1811">
        <f t="shared" si="27"/>
        <v>1810</v>
      </c>
      <c r="B1811" t="s">
        <v>86</v>
      </c>
      <c r="C1811">
        <v>341.5</v>
      </c>
      <c r="D1811">
        <v>103.42</v>
      </c>
      <c r="E1811">
        <v>0</v>
      </c>
      <c r="J1811">
        <v>1.3466413181242077E-3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</row>
    <row r="1812" spans="1:20">
      <c r="A1812">
        <f t="shared" si="27"/>
        <v>1811</v>
      </c>
      <c r="B1812" t="s">
        <v>86</v>
      </c>
      <c r="C1812">
        <v>391.5</v>
      </c>
      <c r="D1812">
        <v>103.42</v>
      </c>
      <c r="E1812">
        <v>0</v>
      </c>
      <c r="J1812">
        <v>1.7183082977661991E-3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</row>
    <row r="1813" spans="1:20">
      <c r="A1813">
        <f t="shared" si="27"/>
        <v>1812</v>
      </c>
      <c r="B1813" t="s">
        <v>86</v>
      </c>
      <c r="C1813">
        <v>483.15</v>
      </c>
      <c r="D1813">
        <v>103.42</v>
      </c>
      <c r="E1813">
        <v>0</v>
      </c>
      <c r="J1813">
        <v>2.6975500549793925E-3</v>
      </c>
      <c r="N1813">
        <v>0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</row>
    <row r="1814" spans="1:20">
      <c r="A1814">
        <f t="shared" si="27"/>
        <v>1813</v>
      </c>
      <c r="B1814" t="s">
        <v>86</v>
      </c>
      <c r="C1814">
        <v>537.6</v>
      </c>
      <c r="D1814">
        <v>103.42</v>
      </c>
      <c r="E1814">
        <v>0</v>
      </c>
      <c r="J1814">
        <v>3.0682123709057547E-3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</row>
    <row r="1815" spans="1:20">
      <c r="A1815">
        <f t="shared" si="27"/>
        <v>1814</v>
      </c>
      <c r="B1815" t="s">
        <v>86</v>
      </c>
      <c r="C1815">
        <v>563.70000000000005</v>
      </c>
      <c r="D1815">
        <v>103.42</v>
      </c>
      <c r="E1815">
        <v>0</v>
      </c>
      <c r="J1815">
        <v>2.0423025774175163E-3</v>
      </c>
      <c r="N1815">
        <v>0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</row>
    <row r="1816" spans="1:20">
      <c r="A1816">
        <f t="shared" si="27"/>
        <v>1815</v>
      </c>
      <c r="B1816" t="s">
        <v>86</v>
      </c>
      <c r="C1816">
        <v>273.14999999999998</v>
      </c>
      <c r="D1816">
        <v>137.88999999999999</v>
      </c>
      <c r="E1816">
        <v>0</v>
      </c>
      <c r="J1816">
        <v>7.7753409934840892E-4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</row>
    <row r="1817" spans="1:20">
      <c r="A1817">
        <f t="shared" si="27"/>
        <v>1816</v>
      </c>
      <c r="B1817" t="s">
        <v>86</v>
      </c>
      <c r="C1817">
        <v>302.60000000000002</v>
      </c>
      <c r="D1817">
        <v>137.88999999999999</v>
      </c>
      <c r="E1817">
        <v>0</v>
      </c>
      <c r="J1817">
        <v>1.8526729161388396E-3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</row>
    <row r="1818" spans="1:20">
      <c r="A1818">
        <f t="shared" si="27"/>
        <v>1817</v>
      </c>
      <c r="B1818" t="s">
        <v>86</v>
      </c>
      <c r="C1818">
        <v>324.8</v>
      </c>
      <c r="D1818">
        <v>137.88999999999999</v>
      </c>
      <c r="E1818">
        <v>0</v>
      </c>
      <c r="J1818">
        <v>2.4923843810578782E-3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</row>
    <row r="1819" spans="1:20">
      <c r="A1819">
        <f t="shared" si="27"/>
        <v>1818</v>
      </c>
      <c r="B1819" t="s">
        <v>86</v>
      </c>
      <c r="C1819">
        <v>366.5</v>
      </c>
      <c r="D1819">
        <v>137.88999999999999</v>
      </c>
      <c r="E1819">
        <v>0</v>
      </c>
      <c r="N1819">
        <v>0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</row>
    <row r="1820" spans="1:20">
      <c r="A1820">
        <f t="shared" si="27"/>
        <v>1819</v>
      </c>
      <c r="B1820" t="s">
        <v>86</v>
      </c>
      <c r="C1820">
        <v>367</v>
      </c>
      <c r="D1820">
        <v>137.88999999999999</v>
      </c>
      <c r="E1820">
        <v>0</v>
      </c>
      <c r="J1820">
        <v>2.4292394976934092E-3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</row>
    <row r="1821" spans="1:20">
      <c r="A1821">
        <f t="shared" si="27"/>
        <v>1820</v>
      </c>
      <c r="B1821" t="s">
        <v>86</v>
      </c>
      <c r="C1821">
        <v>367.6</v>
      </c>
      <c r="D1821">
        <v>137.88999999999999</v>
      </c>
      <c r="E1821">
        <v>0</v>
      </c>
      <c r="F1821">
        <v>6.4999999999999997E-3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</row>
    <row r="1822" spans="1:20">
      <c r="A1822">
        <f t="shared" si="27"/>
        <v>1821</v>
      </c>
      <c r="B1822" t="s">
        <v>86</v>
      </c>
      <c r="C1822">
        <v>395.4</v>
      </c>
      <c r="D1822">
        <v>137.88999999999999</v>
      </c>
      <c r="E1822">
        <v>0</v>
      </c>
      <c r="J1822">
        <v>2.3266120097496122E-3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</row>
    <row r="1823" spans="1:20">
      <c r="A1823">
        <f t="shared" si="27"/>
        <v>1822</v>
      </c>
      <c r="B1823" t="s">
        <v>86</v>
      </c>
      <c r="C1823">
        <v>396.5</v>
      </c>
      <c r="D1823">
        <v>137.88999999999999</v>
      </c>
      <c r="E1823">
        <v>0</v>
      </c>
      <c r="F1823">
        <v>1.89E-2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</row>
    <row r="1824" spans="1:20">
      <c r="A1824">
        <f t="shared" si="27"/>
        <v>1823</v>
      </c>
      <c r="B1824" t="s">
        <v>86</v>
      </c>
      <c r="C1824">
        <v>422</v>
      </c>
      <c r="D1824">
        <v>137.88999999999999</v>
      </c>
      <c r="E1824">
        <v>0</v>
      </c>
      <c r="F1824">
        <v>0.04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</row>
    <row r="1825" spans="1:20">
      <c r="A1825">
        <f t="shared" si="27"/>
        <v>1824</v>
      </c>
      <c r="B1825" t="s">
        <v>86</v>
      </c>
      <c r="C1825">
        <v>423.15</v>
      </c>
      <c r="D1825">
        <v>137.88999999999999</v>
      </c>
      <c r="E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</row>
    <row r="1826" spans="1:20">
      <c r="A1826">
        <f t="shared" si="27"/>
        <v>1825</v>
      </c>
      <c r="B1826" t="s">
        <v>86</v>
      </c>
      <c r="C1826">
        <v>424.8</v>
      </c>
      <c r="D1826">
        <v>137.88999999999999</v>
      </c>
      <c r="E1826">
        <v>0</v>
      </c>
      <c r="J1826">
        <v>2.6423214455238756E-3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</row>
    <row r="1827" spans="1:20">
      <c r="A1827">
        <f t="shared" si="27"/>
        <v>1826</v>
      </c>
      <c r="B1827" t="s">
        <v>86</v>
      </c>
      <c r="C1827">
        <v>477.6</v>
      </c>
      <c r="D1827">
        <v>137.88999999999999</v>
      </c>
      <c r="E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</row>
    <row r="1828" spans="1:20">
      <c r="A1828">
        <f t="shared" si="27"/>
        <v>1827</v>
      </c>
      <c r="B1828" t="s">
        <v>86</v>
      </c>
      <c r="C1828">
        <v>478.15</v>
      </c>
      <c r="D1828">
        <v>137.88999999999999</v>
      </c>
      <c r="E1828">
        <v>0</v>
      </c>
      <c r="F1828">
        <v>0.13100000000000001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</row>
    <row r="1829" spans="1:20">
      <c r="A1829">
        <f t="shared" si="27"/>
        <v>1828</v>
      </c>
      <c r="B1829" t="s">
        <v>86</v>
      </c>
      <c r="C1829">
        <v>478.7</v>
      </c>
      <c r="D1829">
        <v>137.88999999999999</v>
      </c>
      <c r="E1829">
        <v>0</v>
      </c>
      <c r="F1829">
        <v>0.14399999999999999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</row>
    <row r="1830" spans="1:20">
      <c r="A1830">
        <f t="shared" ref="A1830:A1893" si="28">A1829+1</f>
        <v>1829</v>
      </c>
      <c r="B1830" t="s">
        <v>86</v>
      </c>
      <c r="C1830">
        <v>479.3</v>
      </c>
      <c r="D1830">
        <v>137.88999999999999</v>
      </c>
      <c r="E1830">
        <v>0</v>
      </c>
      <c r="J1830">
        <v>3.7063672069480554E-3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</row>
    <row r="1831" spans="1:20">
      <c r="A1831">
        <f t="shared" si="28"/>
        <v>1830</v>
      </c>
      <c r="B1831" t="s">
        <v>86</v>
      </c>
      <c r="C1831">
        <v>523.70000000000005</v>
      </c>
      <c r="D1831">
        <v>137.88999999999999</v>
      </c>
      <c r="E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</row>
    <row r="1832" spans="1:20">
      <c r="A1832">
        <f t="shared" si="28"/>
        <v>1831</v>
      </c>
      <c r="B1832" t="s">
        <v>86</v>
      </c>
      <c r="C1832">
        <v>525.9</v>
      </c>
      <c r="D1832">
        <v>137.88999999999999</v>
      </c>
      <c r="E1832">
        <v>0</v>
      </c>
      <c r="F1832">
        <v>0.29499999999999998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</row>
    <row r="1833" spans="1:20">
      <c r="A1833">
        <f t="shared" si="28"/>
        <v>1832</v>
      </c>
      <c r="B1833" t="s">
        <v>86</v>
      </c>
      <c r="C1833">
        <v>526.5</v>
      </c>
      <c r="D1833">
        <v>137.88999999999999</v>
      </c>
      <c r="E1833">
        <v>0</v>
      </c>
      <c r="J1833">
        <v>4.6267054067710969E-3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</row>
    <row r="1834" spans="1:20">
      <c r="A1834">
        <f t="shared" si="28"/>
        <v>1833</v>
      </c>
      <c r="B1834" t="s">
        <v>86</v>
      </c>
      <c r="C1834">
        <v>533.15</v>
      </c>
      <c r="D1834">
        <v>137.88999999999999</v>
      </c>
      <c r="E1834">
        <v>0</v>
      </c>
      <c r="F1834">
        <v>0.34499999999999997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</row>
    <row r="1835" spans="1:20">
      <c r="A1835">
        <f t="shared" si="28"/>
        <v>1834</v>
      </c>
      <c r="B1835" t="s">
        <v>86</v>
      </c>
      <c r="C1835">
        <v>558.15</v>
      </c>
      <c r="D1835">
        <v>137.88999999999999</v>
      </c>
      <c r="E1835">
        <v>0</v>
      </c>
      <c r="J1835">
        <v>6.3E-3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</row>
    <row r="1836" spans="1:20">
      <c r="A1836">
        <f t="shared" si="28"/>
        <v>1835</v>
      </c>
      <c r="B1836" t="s">
        <v>86</v>
      </c>
      <c r="C1836">
        <v>570.4</v>
      </c>
      <c r="D1836">
        <v>137.88999999999999</v>
      </c>
      <c r="E1836">
        <v>0</v>
      </c>
      <c r="F1836">
        <v>0.53500000000000003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</row>
    <row r="1837" spans="1:20">
      <c r="A1837">
        <f t="shared" si="28"/>
        <v>1836</v>
      </c>
      <c r="B1837" t="s">
        <v>86</v>
      </c>
      <c r="C1837">
        <v>574.79999999999995</v>
      </c>
      <c r="D1837">
        <v>137.88999999999999</v>
      </c>
      <c r="E1837">
        <v>0</v>
      </c>
      <c r="J1837">
        <v>6.0699999999999999E-3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</row>
    <row r="1838" spans="1:20">
      <c r="A1838">
        <f t="shared" si="28"/>
        <v>1837</v>
      </c>
      <c r="B1838" t="s">
        <v>86</v>
      </c>
      <c r="C1838">
        <v>575.9</v>
      </c>
      <c r="D1838">
        <v>137.88999999999999</v>
      </c>
      <c r="E1838">
        <v>0</v>
      </c>
      <c r="F1838">
        <v>0.69499999999999995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</row>
    <row r="1839" spans="1:20">
      <c r="A1839">
        <f t="shared" si="28"/>
        <v>1838</v>
      </c>
      <c r="B1839" t="s">
        <v>86</v>
      </c>
      <c r="C1839">
        <v>599.79999999999995</v>
      </c>
      <c r="D1839">
        <v>137.88999999999999</v>
      </c>
      <c r="E1839">
        <v>0</v>
      </c>
      <c r="F1839">
        <v>0.78200000000000003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</row>
    <row r="1840" spans="1:20">
      <c r="A1840">
        <f t="shared" si="28"/>
        <v>1839</v>
      </c>
      <c r="B1840" t="s">
        <v>86</v>
      </c>
      <c r="C1840">
        <v>600.9</v>
      </c>
      <c r="D1840">
        <v>137.88999999999999</v>
      </c>
      <c r="E1840">
        <v>0</v>
      </c>
      <c r="J1840">
        <v>2.5000000000000001E-3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</row>
    <row r="1841" spans="1:20">
      <c r="A1841">
        <f t="shared" si="28"/>
        <v>1840</v>
      </c>
      <c r="B1841" t="s">
        <v>86</v>
      </c>
      <c r="C1841">
        <v>609.29999999999995</v>
      </c>
      <c r="D1841">
        <v>137.88999999999999</v>
      </c>
      <c r="E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</row>
    <row r="1842" spans="1:20">
      <c r="A1842">
        <f t="shared" si="28"/>
        <v>1841</v>
      </c>
      <c r="B1842" t="s">
        <v>86</v>
      </c>
      <c r="C1842">
        <v>273.14999999999998</v>
      </c>
      <c r="D1842">
        <v>206.84</v>
      </c>
      <c r="E1842">
        <v>0</v>
      </c>
      <c r="J1842">
        <v>1.2150000000000002E-3</v>
      </c>
      <c r="N1842">
        <v>0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</row>
    <row r="1843" spans="1:20">
      <c r="A1843">
        <f t="shared" si="28"/>
        <v>1842</v>
      </c>
      <c r="B1843" t="s">
        <v>86</v>
      </c>
      <c r="C1843">
        <v>304.8</v>
      </c>
      <c r="D1843">
        <v>206.84</v>
      </c>
      <c r="E1843">
        <v>0</v>
      </c>
      <c r="J1843">
        <v>3.3999999999999998E-3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</row>
    <row r="1844" spans="1:20">
      <c r="A1844">
        <f t="shared" si="28"/>
        <v>1843</v>
      </c>
      <c r="B1844" t="s">
        <v>86</v>
      </c>
      <c r="C1844">
        <v>319.3</v>
      </c>
      <c r="D1844">
        <v>206.84</v>
      </c>
      <c r="E1844">
        <v>0</v>
      </c>
      <c r="J1844">
        <v>3.3900000000000002E-3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</row>
    <row r="1845" spans="1:20">
      <c r="A1845">
        <f t="shared" si="28"/>
        <v>1844</v>
      </c>
      <c r="B1845" t="s">
        <v>86</v>
      </c>
      <c r="C1845">
        <v>326.5</v>
      </c>
      <c r="D1845">
        <v>206.84</v>
      </c>
      <c r="E1845">
        <v>0</v>
      </c>
      <c r="J1845">
        <v>3.3799999999999998E-3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</row>
    <row r="1846" spans="1:20">
      <c r="A1846">
        <f t="shared" si="28"/>
        <v>1845</v>
      </c>
      <c r="B1846" t="s">
        <v>86</v>
      </c>
      <c r="C1846">
        <v>334.3</v>
      </c>
      <c r="D1846">
        <v>206.84</v>
      </c>
      <c r="E1846">
        <v>0</v>
      </c>
      <c r="J1846">
        <v>3.4500000000000004E-3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</row>
    <row r="1847" spans="1:20">
      <c r="A1847">
        <f t="shared" si="28"/>
        <v>1846</v>
      </c>
      <c r="B1847" t="s">
        <v>86</v>
      </c>
      <c r="C1847">
        <v>339.3</v>
      </c>
      <c r="D1847">
        <v>206.84</v>
      </c>
      <c r="E1847">
        <v>0</v>
      </c>
      <c r="J1847">
        <v>3.4199999999999999E-3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</row>
    <row r="1848" spans="1:20">
      <c r="A1848">
        <f t="shared" si="28"/>
        <v>1847</v>
      </c>
      <c r="B1848" t="s">
        <v>86</v>
      </c>
      <c r="C1848">
        <v>367</v>
      </c>
      <c r="D1848">
        <v>206.84</v>
      </c>
      <c r="E1848">
        <v>0</v>
      </c>
      <c r="J1848">
        <v>3.8599999999999997E-3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</row>
    <row r="1849" spans="1:20">
      <c r="A1849">
        <f t="shared" si="28"/>
        <v>1848</v>
      </c>
      <c r="B1849" t="s">
        <v>86</v>
      </c>
      <c r="C1849">
        <v>387.6</v>
      </c>
      <c r="D1849">
        <v>206.84</v>
      </c>
      <c r="E1849">
        <v>0</v>
      </c>
      <c r="J1849">
        <v>4.28E-3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</row>
    <row r="1850" spans="1:20">
      <c r="A1850">
        <f t="shared" si="28"/>
        <v>1849</v>
      </c>
      <c r="B1850" t="s">
        <v>86</v>
      </c>
      <c r="C1850">
        <v>424.8</v>
      </c>
      <c r="D1850">
        <v>206.84</v>
      </c>
      <c r="E1850">
        <v>0</v>
      </c>
      <c r="J1850">
        <v>5.1799999999999997E-3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</row>
    <row r="1851" spans="1:20">
      <c r="A1851">
        <f t="shared" si="28"/>
        <v>1850</v>
      </c>
      <c r="B1851" t="s">
        <v>86</v>
      </c>
      <c r="C1851">
        <v>444.3</v>
      </c>
      <c r="D1851">
        <v>206.84</v>
      </c>
      <c r="E1851">
        <v>0</v>
      </c>
      <c r="F1851">
        <v>3.5000000000000003E-2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</row>
    <row r="1852" spans="1:20">
      <c r="A1852">
        <f t="shared" si="28"/>
        <v>1851</v>
      </c>
      <c r="B1852" t="s">
        <v>86</v>
      </c>
      <c r="C1852">
        <v>480.4</v>
      </c>
      <c r="D1852">
        <v>206.84</v>
      </c>
      <c r="E1852">
        <v>0</v>
      </c>
      <c r="F1852">
        <v>0.10100000000000001</v>
      </c>
      <c r="J1852">
        <v>7.1799999999999998E-3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</row>
    <row r="1853" spans="1:20">
      <c r="A1853">
        <f t="shared" si="28"/>
        <v>1852</v>
      </c>
      <c r="B1853" t="s">
        <v>86</v>
      </c>
      <c r="C1853">
        <v>538.70000000000005</v>
      </c>
      <c r="D1853">
        <v>206.84</v>
      </c>
      <c r="E1853">
        <v>0</v>
      </c>
      <c r="F1853">
        <v>0.17499999999999999</v>
      </c>
      <c r="N1853">
        <v>0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</row>
    <row r="1854" spans="1:20">
      <c r="A1854">
        <f t="shared" si="28"/>
        <v>1853</v>
      </c>
      <c r="B1854" t="s">
        <v>86</v>
      </c>
      <c r="C1854">
        <v>545.9</v>
      </c>
      <c r="D1854">
        <v>206.84</v>
      </c>
      <c r="E1854">
        <v>0</v>
      </c>
      <c r="J1854">
        <v>1.0029999999999999E-2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</row>
    <row r="1855" spans="1:20">
      <c r="A1855">
        <f t="shared" si="28"/>
        <v>1854</v>
      </c>
      <c r="B1855" t="s">
        <v>86</v>
      </c>
      <c r="C1855">
        <v>574.79999999999995</v>
      </c>
      <c r="D1855">
        <v>206.84</v>
      </c>
      <c r="E1855">
        <v>0</v>
      </c>
      <c r="F1855">
        <v>0.218</v>
      </c>
      <c r="J1855">
        <v>1.0449999999999999E-2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</row>
    <row r="1856" spans="1:20">
      <c r="A1856">
        <f t="shared" si="28"/>
        <v>1855</v>
      </c>
      <c r="B1856" t="s">
        <v>86</v>
      </c>
      <c r="C1856">
        <v>606.5</v>
      </c>
      <c r="D1856">
        <v>206.84</v>
      </c>
      <c r="E1856">
        <v>0</v>
      </c>
      <c r="F1856">
        <v>0.26600000000000001</v>
      </c>
      <c r="J1856">
        <v>1.0500000000000001E-2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</row>
    <row r="1857" spans="1:20">
      <c r="A1857">
        <f t="shared" si="28"/>
        <v>1856</v>
      </c>
      <c r="B1857" t="s">
        <v>87</v>
      </c>
      <c r="C1857">
        <v>373.15</v>
      </c>
      <c r="D1857">
        <v>15.5</v>
      </c>
      <c r="E1857">
        <v>0</v>
      </c>
      <c r="J1857">
        <v>2.5700000000000001E-4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</row>
    <row r="1858" spans="1:20">
      <c r="A1858">
        <f t="shared" si="28"/>
        <v>1857</v>
      </c>
      <c r="B1858" t="s">
        <v>87</v>
      </c>
      <c r="C1858">
        <v>373.15</v>
      </c>
      <c r="D1858">
        <v>15.5</v>
      </c>
      <c r="E1858">
        <v>0</v>
      </c>
      <c r="J1858">
        <v>2.6499999999999999E-4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</row>
    <row r="1859" spans="1:20">
      <c r="A1859">
        <f t="shared" si="28"/>
        <v>1858</v>
      </c>
      <c r="B1859" t="s">
        <v>87</v>
      </c>
      <c r="C1859">
        <v>373.15</v>
      </c>
      <c r="D1859">
        <v>16.2</v>
      </c>
      <c r="E1859">
        <v>0</v>
      </c>
      <c r="J1859">
        <v>2.81E-4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</row>
    <row r="1860" spans="1:20">
      <c r="A1860">
        <f t="shared" si="28"/>
        <v>1859</v>
      </c>
      <c r="B1860" t="s">
        <v>87</v>
      </c>
      <c r="C1860">
        <v>373.15</v>
      </c>
      <c r="D1860">
        <v>16.899999999999999</v>
      </c>
      <c r="E1860">
        <v>0</v>
      </c>
      <c r="J1860">
        <v>2.81E-4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</row>
    <row r="1861" spans="1:20">
      <c r="A1861">
        <f t="shared" si="28"/>
        <v>1860</v>
      </c>
      <c r="B1861" t="s">
        <v>87</v>
      </c>
      <c r="C1861">
        <v>373.15</v>
      </c>
      <c r="D1861">
        <v>16.899999999999999</v>
      </c>
      <c r="E1861">
        <v>0</v>
      </c>
      <c r="J1861">
        <v>2.4600000000000002E-4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</row>
    <row r="1862" spans="1:20">
      <c r="A1862">
        <f t="shared" si="28"/>
        <v>1861</v>
      </c>
      <c r="B1862" t="s">
        <v>87</v>
      </c>
      <c r="C1862">
        <v>373.15</v>
      </c>
      <c r="D1862">
        <v>36.200000000000003</v>
      </c>
      <c r="E1862">
        <v>0</v>
      </c>
      <c r="J1862">
        <v>5.3899999999999998E-4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</row>
    <row r="1863" spans="1:20">
      <c r="A1863">
        <f t="shared" si="28"/>
        <v>1862</v>
      </c>
      <c r="B1863" t="s">
        <v>87</v>
      </c>
      <c r="C1863">
        <v>373.15</v>
      </c>
      <c r="D1863">
        <v>37.6</v>
      </c>
      <c r="E1863">
        <v>0</v>
      </c>
      <c r="J1863">
        <v>5.71E-4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</row>
    <row r="1864" spans="1:20">
      <c r="A1864">
        <f t="shared" si="28"/>
        <v>1863</v>
      </c>
      <c r="B1864" t="s">
        <v>87</v>
      </c>
      <c r="C1864">
        <v>373.15</v>
      </c>
      <c r="D1864">
        <v>39</v>
      </c>
      <c r="E1864">
        <v>0</v>
      </c>
      <c r="J1864">
        <v>5.9500000000000004E-4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</row>
    <row r="1865" spans="1:20">
      <c r="A1865">
        <f t="shared" si="28"/>
        <v>1864</v>
      </c>
      <c r="B1865" t="s">
        <v>87</v>
      </c>
      <c r="C1865">
        <v>373.15</v>
      </c>
      <c r="D1865">
        <v>39</v>
      </c>
      <c r="E1865">
        <v>0</v>
      </c>
      <c r="J1865">
        <v>5.9500000000000004E-4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</row>
    <row r="1866" spans="1:20">
      <c r="A1866">
        <f t="shared" si="28"/>
        <v>1865</v>
      </c>
      <c r="B1866" t="s">
        <v>87</v>
      </c>
      <c r="C1866">
        <v>373.15</v>
      </c>
      <c r="D1866">
        <v>70.7</v>
      </c>
      <c r="E1866">
        <v>0</v>
      </c>
      <c r="J1866">
        <v>1.1100000000000001E-3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</row>
    <row r="1867" spans="1:20">
      <c r="A1867">
        <f t="shared" si="28"/>
        <v>1866</v>
      </c>
      <c r="B1867" t="s">
        <v>87</v>
      </c>
      <c r="C1867">
        <v>373.15</v>
      </c>
      <c r="D1867">
        <v>71.400000000000006</v>
      </c>
      <c r="E1867">
        <v>0</v>
      </c>
      <c r="J1867">
        <v>1.08E-3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</row>
    <row r="1868" spans="1:20">
      <c r="A1868">
        <f t="shared" si="28"/>
        <v>1867</v>
      </c>
      <c r="B1868" t="s">
        <v>87</v>
      </c>
      <c r="C1868">
        <v>373.15</v>
      </c>
      <c r="D1868">
        <v>72.099999999999994</v>
      </c>
      <c r="E1868">
        <v>0</v>
      </c>
      <c r="J1868">
        <v>1.08E-3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</row>
    <row r="1869" spans="1:20">
      <c r="A1869">
        <f t="shared" si="28"/>
        <v>1868</v>
      </c>
      <c r="B1869" t="s">
        <v>87</v>
      </c>
      <c r="C1869">
        <v>373.15</v>
      </c>
      <c r="D1869">
        <v>72.7</v>
      </c>
      <c r="E1869">
        <v>0</v>
      </c>
      <c r="J1869">
        <v>1.08E-3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</row>
    <row r="1870" spans="1:20">
      <c r="A1870">
        <f t="shared" si="28"/>
        <v>1869</v>
      </c>
      <c r="B1870" t="s">
        <v>87</v>
      </c>
      <c r="C1870">
        <v>373.15</v>
      </c>
      <c r="D1870">
        <v>97.6</v>
      </c>
      <c r="E1870">
        <v>0</v>
      </c>
      <c r="J1870">
        <v>1.4499999999999999E-3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</row>
    <row r="1871" spans="1:20">
      <c r="A1871">
        <f t="shared" si="28"/>
        <v>1870</v>
      </c>
      <c r="B1871" t="s">
        <v>87</v>
      </c>
      <c r="C1871">
        <v>373.15</v>
      </c>
      <c r="D1871">
        <v>98.9</v>
      </c>
      <c r="E1871">
        <v>0</v>
      </c>
      <c r="J1871">
        <v>1.5100000000000001E-3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</row>
    <row r="1872" spans="1:20">
      <c r="A1872">
        <f t="shared" si="28"/>
        <v>1871</v>
      </c>
      <c r="B1872" t="s">
        <v>87</v>
      </c>
      <c r="C1872">
        <v>373.15</v>
      </c>
      <c r="D1872">
        <v>100.3</v>
      </c>
      <c r="E1872">
        <v>0</v>
      </c>
      <c r="J1872">
        <v>1.5499999999999999E-3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</row>
    <row r="1873" spans="1:20">
      <c r="A1873">
        <f t="shared" si="28"/>
        <v>1872</v>
      </c>
      <c r="B1873" t="s">
        <v>87</v>
      </c>
      <c r="C1873">
        <v>408.15</v>
      </c>
      <c r="D1873">
        <v>14.1</v>
      </c>
      <c r="E1873">
        <v>0</v>
      </c>
      <c r="J1873">
        <v>2.9100000000000003E-4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</row>
    <row r="1874" spans="1:20">
      <c r="A1874">
        <f t="shared" si="28"/>
        <v>1873</v>
      </c>
      <c r="B1874" t="s">
        <v>87</v>
      </c>
      <c r="C1874">
        <v>408.15</v>
      </c>
      <c r="D1874">
        <v>14.8</v>
      </c>
      <c r="E1874">
        <v>0</v>
      </c>
      <c r="J1874">
        <v>2.92E-4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</row>
    <row r="1875" spans="1:20">
      <c r="A1875">
        <f t="shared" si="28"/>
        <v>1874</v>
      </c>
      <c r="B1875" t="s">
        <v>87</v>
      </c>
      <c r="C1875">
        <v>408.15</v>
      </c>
      <c r="D1875">
        <v>15.5</v>
      </c>
      <c r="E1875">
        <v>0</v>
      </c>
      <c r="J1875">
        <v>2.8899999999999998E-4</v>
      </c>
      <c r="N1875">
        <v>0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</row>
    <row r="1876" spans="1:20">
      <c r="A1876">
        <f t="shared" si="28"/>
        <v>1875</v>
      </c>
      <c r="B1876" t="s">
        <v>87</v>
      </c>
      <c r="C1876">
        <v>408.15</v>
      </c>
      <c r="D1876">
        <v>16.2</v>
      </c>
      <c r="E1876">
        <v>0</v>
      </c>
      <c r="J1876">
        <v>3.3300000000000002E-4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</row>
    <row r="1877" spans="1:20">
      <c r="A1877">
        <f t="shared" si="28"/>
        <v>1876</v>
      </c>
      <c r="B1877" t="s">
        <v>87</v>
      </c>
      <c r="C1877">
        <v>408.15</v>
      </c>
      <c r="D1877">
        <v>35.5</v>
      </c>
      <c r="E1877">
        <v>0</v>
      </c>
      <c r="J1877">
        <v>6.4300000000000002E-4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</row>
    <row r="1878" spans="1:20">
      <c r="A1878">
        <f t="shared" si="28"/>
        <v>1877</v>
      </c>
      <c r="B1878" t="s">
        <v>87</v>
      </c>
      <c r="C1878">
        <v>408.15</v>
      </c>
      <c r="D1878">
        <v>36.200000000000003</v>
      </c>
      <c r="E1878">
        <v>0</v>
      </c>
      <c r="J1878">
        <v>6.7500000000000004E-4</v>
      </c>
      <c r="N1878">
        <v>0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</row>
    <row r="1879" spans="1:20">
      <c r="A1879">
        <f t="shared" si="28"/>
        <v>1878</v>
      </c>
      <c r="B1879" t="s">
        <v>87</v>
      </c>
      <c r="C1879">
        <v>408.15</v>
      </c>
      <c r="D1879">
        <v>36.9</v>
      </c>
      <c r="E1879">
        <v>0</v>
      </c>
      <c r="J1879">
        <v>6.9899999999999997E-4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</row>
    <row r="1880" spans="1:20">
      <c r="A1880">
        <f t="shared" si="28"/>
        <v>1879</v>
      </c>
      <c r="B1880" t="s">
        <v>87</v>
      </c>
      <c r="C1880">
        <v>408.15</v>
      </c>
      <c r="D1880">
        <v>61</v>
      </c>
      <c r="E1880">
        <v>0</v>
      </c>
      <c r="J1880">
        <v>1.14E-3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</row>
    <row r="1881" spans="1:20">
      <c r="A1881">
        <f t="shared" si="28"/>
        <v>1880</v>
      </c>
      <c r="B1881" t="s">
        <v>87</v>
      </c>
      <c r="C1881">
        <v>408.15</v>
      </c>
      <c r="D1881">
        <v>61.7</v>
      </c>
      <c r="E1881">
        <v>0</v>
      </c>
      <c r="J1881">
        <v>1.1100000000000001E-3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</row>
    <row r="1882" spans="1:20">
      <c r="A1882">
        <f t="shared" si="28"/>
        <v>1881</v>
      </c>
      <c r="B1882" t="s">
        <v>87</v>
      </c>
      <c r="C1882">
        <v>408.15</v>
      </c>
      <c r="D1882">
        <v>63.1</v>
      </c>
      <c r="E1882">
        <v>0</v>
      </c>
      <c r="J1882">
        <v>1.1100000000000001E-3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</row>
    <row r="1883" spans="1:20">
      <c r="A1883">
        <f t="shared" si="28"/>
        <v>1882</v>
      </c>
      <c r="B1883" t="s">
        <v>87</v>
      </c>
      <c r="C1883">
        <v>408.15</v>
      </c>
      <c r="D1883">
        <v>64.5</v>
      </c>
      <c r="E1883">
        <v>0</v>
      </c>
      <c r="J1883">
        <v>1.14E-3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</row>
    <row r="1884" spans="1:20">
      <c r="A1884">
        <f t="shared" si="28"/>
        <v>1883</v>
      </c>
      <c r="B1884" t="s">
        <v>87</v>
      </c>
      <c r="C1884">
        <v>408.15</v>
      </c>
      <c r="D1884">
        <v>94.8</v>
      </c>
      <c r="E1884">
        <v>0</v>
      </c>
      <c r="J1884">
        <v>1.73E-3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</row>
    <row r="1885" spans="1:20">
      <c r="A1885">
        <f t="shared" si="28"/>
        <v>1884</v>
      </c>
      <c r="B1885" t="s">
        <v>87</v>
      </c>
      <c r="C1885">
        <v>408.15</v>
      </c>
      <c r="D1885">
        <v>95.5</v>
      </c>
      <c r="E1885">
        <v>0</v>
      </c>
      <c r="J1885">
        <v>1.74E-3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</row>
    <row r="1886" spans="1:20">
      <c r="A1886">
        <f t="shared" si="28"/>
        <v>1885</v>
      </c>
      <c r="B1886" t="s">
        <v>87</v>
      </c>
      <c r="C1886">
        <v>408.15</v>
      </c>
      <c r="D1886">
        <v>96.9</v>
      </c>
      <c r="E1886">
        <v>0</v>
      </c>
      <c r="J1886">
        <v>1.65E-3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</row>
    <row r="1887" spans="1:20">
      <c r="A1887">
        <f t="shared" si="28"/>
        <v>1886</v>
      </c>
      <c r="B1887" t="s">
        <v>87</v>
      </c>
      <c r="C1887">
        <v>408.15</v>
      </c>
      <c r="D1887">
        <v>97.2</v>
      </c>
      <c r="E1887">
        <v>0</v>
      </c>
      <c r="J1887">
        <v>1.6900000000000001E-3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</row>
    <row r="1888" spans="1:20">
      <c r="A1888">
        <f t="shared" si="28"/>
        <v>1887</v>
      </c>
      <c r="B1888" t="s">
        <v>87</v>
      </c>
      <c r="C1888">
        <v>435.93</v>
      </c>
      <c r="D1888">
        <v>15.5</v>
      </c>
      <c r="E1888">
        <v>0</v>
      </c>
      <c r="J1888">
        <v>3.86E-4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</row>
    <row r="1889" spans="1:20">
      <c r="A1889">
        <f t="shared" si="28"/>
        <v>1888</v>
      </c>
      <c r="B1889" t="s">
        <v>87</v>
      </c>
      <c r="C1889">
        <v>435.93</v>
      </c>
      <c r="D1889">
        <v>17.600000000000001</v>
      </c>
      <c r="E1889">
        <v>0</v>
      </c>
      <c r="J1889">
        <v>4.0000000000000002E-4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</row>
    <row r="1890" spans="1:20">
      <c r="A1890">
        <f t="shared" si="28"/>
        <v>1889</v>
      </c>
      <c r="B1890" t="s">
        <v>87</v>
      </c>
      <c r="C1890">
        <v>435.93</v>
      </c>
      <c r="D1890">
        <v>17.600000000000001</v>
      </c>
      <c r="E1890">
        <v>0</v>
      </c>
      <c r="J1890">
        <v>4.0999999999999999E-4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</row>
    <row r="1891" spans="1:20">
      <c r="A1891">
        <f t="shared" si="28"/>
        <v>1890</v>
      </c>
      <c r="B1891" t="s">
        <v>87</v>
      </c>
      <c r="C1891">
        <v>435.93</v>
      </c>
      <c r="D1891">
        <v>36.200000000000003</v>
      </c>
      <c r="E1891">
        <v>0</v>
      </c>
      <c r="J1891">
        <v>8.3600000000000005E-4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</row>
    <row r="1892" spans="1:20">
      <c r="A1892">
        <f t="shared" si="28"/>
        <v>1891</v>
      </c>
      <c r="B1892" t="s">
        <v>87</v>
      </c>
      <c r="C1892">
        <v>435.93</v>
      </c>
      <c r="D1892">
        <v>39.200000000000003</v>
      </c>
      <c r="E1892">
        <v>0</v>
      </c>
      <c r="J1892">
        <v>8.6799999999999996E-4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</row>
    <row r="1893" spans="1:20">
      <c r="A1893">
        <f t="shared" si="28"/>
        <v>1892</v>
      </c>
      <c r="B1893" t="s">
        <v>87</v>
      </c>
      <c r="C1893">
        <v>435.93</v>
      </c>
      <c r="D1893">
        <v>40.299999999999997</v>
      </c>
      <c r="E1893">
        <v>0</v>
      </c>
      <c r="J1893">
        <v>8.6799999999999996E-4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</row>
    <row r="1894" spans="1:20">
      <c r="A1894">
        <f t="shared" ref="A1894:A1957" si="29">A1893+1</f>
        <v>1893</v>
      </c>
      <c r="B1894" t="s">
        <v>87</v>
      </c>
      <c r="C1894">
        <v>435.93</v>
      </c>
      <c r="D1894">
        <v>40.700000000000003</v>
      </c>
      <c r="E1894">
        <v>0</v>
      </c>
      <c r="J1894">
        <v>8.8199999999999997E-4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</row>
    <row r="1895" spans="1:20">
      <c r="A1895">
        <f t="shared" si="29"/>
        <v>1894</v>
      </c>
      <c r="B1895" t="s">
        <v>87</v>
      </c>
      <c r="C1895">
        <v>435.93</v>
      </c>
      <c r="D1895">
        <v>41.7</v>
      </c>
      <c r="E1895">
        <v>0</v>
      </c>
      <c r="J1895">
        <v>9.3999999999999997E-4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</row>
    <row r="1896" spans="1:20">
      <c r="A1896">
        <f t="shared" si="29"/>
        <v>1895</v>
      </c>
      <c r="B1896" t="s">
        <v>87</v>
      </c>
      <c r="C1896">
        <v>435.93</v>
      </c>
      <c r="D1896">
        <v>45.2</v>
      </c>
      <c r="E1896">
        <v>0</v>
      </c>
      <c r="J1896">
        <v>1.0319999999999999E-3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</row>
    <row r="1897" spans="1:20">
      <c r="A1897">
        <f t="shared" si="29"/>
        <v>1896</v>
      </c>
      <c r="B1897" t="s">
        <v>87</v>
      </c>
      <c r="C1897">
        <v>435.93</v>
      </c>
      <c r="D1897">
        <v>54.9</v>
      </c>
      <c r="E1897">
        <v>0</v>
      </c>
      <c r="J1897">
        <v>1.32E-3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</row>
    <row r="1898" spans="1:20">
      <c r="A1898">
        <f t="shared" si="29"/>
        <v>1897</v>
      </c>
      <c r="B1898" t="s">
        <v>87</v>
      </c>
      <c r="C1898">
        <v>435.93</v>
      </c>
      <c r="D1898">
        <v>68.3</v>
      </c>
      <c r="E1898">
        <v>0</v>
      </c>
      <c r="J1898">
        <v>1.5200000000000001E-3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</row>
    <row r="1899" spans="1:20">
      <c r="A1899">
        <f t="shared" si="29"/>
        <v>1898</v>
      </c>
      <c r="B1899" t="s">
        <v>87</v>
      </c>
      <c r="C1899">
        <v>435.93</v>
      </c>
      <c r="D1899">
        <v>69.3</v>
      </c>
      <c r="E1899">
        <v>0</v>
      </c>
      <c r="J1899">
        <v>1.5499999999999999E-3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</row>
    <row r="1900" spans="1:20">
      <c r="A1900">
        <f t="shared" si="29"/>
        <v>1899</v>
      </c>
      <c r="B1900" t="s">
        <v>87</v>
      </c>
      <c r="C1900">
        <v>435.93</v>
      </c>
      <c r="D1900">
        <v>75.2</v>
      </c>
      <c r="E1900">
        <v>0</v>
      </c>
      <c r="J1900">
        <v>1.6999999999999999E-3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</row>
    <row r="1901" spans="1:20">
      <c r="A1901">
        <f t="shared" si="29"/>
        <v>1900</v>
      </c>
      <c r="B1901" t="s">
        <v>87</v>
      </c>
      <c r="C1901">
        <v>435.93</v>
      </c>
      <c r="D1901">
        <v>77.599999999999994</v>
      </c>
      <c r="E1901">
        <v>0</v>
      </c>
      <c r="J1901">
        <v>1.81E-3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</row>
    <row r="1902" spans="1:20">
      <c r="A1902">
        <f t="shared" si="29"/>
        <v>1901</v>
      </c>
      <c r="B1902" t="s">
        <v>87</v>
      </c>
      <c r="C1902">
        <v>435.93</v>
      </c>
      <c r="D1902">
        <v>84.4</v>
      </c>
      <c r="E1902">
        <v>0</v>
      </c>
      <c r="J1902">
        <v>1.97E-3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</row>
    <row r="1903" spans="1:20">
      <c r="A1903">
        <f t="shared" si="29"/>
        <v>1902</v>
      </c>
      <c r="B1903" t="s">
        <v>87</v>
      </c>
      <c r="C1903">
        <v>435.93</v>
      </c>
      <c r="D1903">
        <v>88.9</v>
      </c>
      <c r="E1903">
        <v>0</v>
      </c>
      <c r="J1903">
        <v>1.9400000000000001E-3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</row>
    <row r="1904" spans="1:20">
      <c r="A1904">
        <f t="shared" si="29"/>
        <v>1903</v>
      </c>
      <c r="B1904" t="s">
        <v>87</v>
      </c>
      <c r="C1904">
        <v>435.93</v>
      </c>
      <c r="D1904">
        <v>91</v>
      </c>
      <c r="E1904">
        <v>0</v>
      </c>
      <c r="J1904">
        <v>2.0200000000000001E-3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</row>
    <row r="1905" spans="1:20">
      <c r="A1905">
        <f t="shared" si="29"/>
        <v>1904</v>
      </c>
      <c r="B1905" t="s">
        <v>88</v>
      </c>
      <c r="C1905">
        <v>323.20999999999998</v>
      </c>
      <c r="D1905">
        <v>11.899999999999999</v>
      </c>
      <c r="E1905">
        <v>0</v>
      </c>
      <c r="I1905">
        <v>1.2E-4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</row>
    <row r="1906" spans="1:20">
      <c r="A1906">
        <f t="shared" si="29"/>
        <v>1905</v>
      </c>
      <c r="B1906" t="s">
        <v>88</v>
      </c>
      <c r="C1906">
        <v>323.22000000000003</v>
      </c>
      <c r="D1906">
        <v>20.299999999999997</v>
      </c>
      <c r="E1906">
        <v>0</v>
      </c>
      <c r="I1906">
        <v>1.6000000000000001E-4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</row>
    <row r="1907" spans="1:20">
      <c r="A1907">
        <f t="shared" si="29"/>
        <v>1906</v>
      </c>
      <c r="B1907" t="s">
        <v>88</v>
      </c>
      <c r="C1907">
        <v>323.2</v>
      </c>
      <c r="D1907">
        <v>26.200000000000003</v>
      </c>
      <c r="E1907">
        <v>0</v>
      </c>
      <c r="I1907">
        <v>2.1000000000000001E-4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</row>
    <row r="1908" spans="1:20">
      <c r="A1908">
        <f t="shared" si="29"/>
        <v>1907</v>
      </c>
      <c r="B1908" t="s">
        <v>88</v>
      </c>
      <c r="C1908">
        <v>323.19</v>
      </c>
      <c r="D1908">
        <v>26.200000000000003</v>
      </c>
      <c r="E1908">
        <v>0</v>
      </c>
      <c r="I1908">
        <v>2.3000000000000001E-4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</row>
    <row r="1909" spans="1:20">
      <c r="A1909">
        <f t="shared" si="29"/>
        <v>1908</v>
      </c>
      <c r="B1909" t="s">
        <v>88</v>
      </c>
      <c r="C1909">
        <v>323.22000000000003</v>
      </c>
      <c r="D1909">
        <v>50.599999999999994</v>
      </c>
      <c r="E1909">
        <v>0</v>
      </c>
      <c r="I1909">
        <v>4.2000000000000002E-4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</row>
    <row r="1910" spans="1:20">
      <c r="A1910">
        <f t="shared" si="29"/>
        <v>1909</v>
      </c>
      <c r="B1910" t="s">
        <v>88</v>
      </c>
      <c r="C1910">
        <v>323.20999999999998</v>
      </c>
      <c r="D1910">
        <v>51.1</v>
      </c>
      <c r="E1910">
        <v>0</v>
      </c>
      <c r="I1910">
        <v>4.2000000000000002E-4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</row>
    <row r="1911" spans="1:20">
      <c r="A1911">
        <f t="shared" si="29"/>
        <v>1910</v>
      </c>
      <c r="B1911" t="s">
        <v>88</v>
      </c>
      <c r="C1911">
        <v>323.2</v>
      </c>
      <c r="D1911">
        <v>74.599999999999994</v>
      </c>
      <c r="E1911">
        <v>0</v>
      </c>
      <c r="I1911">
        <v>6.0999999999999997E-4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</row>
    <row r="1912" spans="1:20">
      <c r="A1912">
        <f t="shared" si="29"/>
        <v>1911</v>
      </c>
      <c r="B1912" t="s">
        <v>88</v>
      </c>
      <c r="C1912">
        <v>323.2</v>
      </c>
      <c r="D1912">
        <v>79.800000000000011</v>
      </c>
      <c r="E1912">
        <v>0</v>
      </c>
      <c r="I1912">
        <v>6.3000000000000003E-4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</row>
    <row r="1913" spans="1:20">
      <c r="A1913">
        <f t="shared" si="29"/>
        <v>1912</v>
      </c>
      <c r="B1913" t="s">
        <v>88</v>
      </c>
      <c r="C1913">
        <v>323.20999999999998</v>
      </c>
      <c r="D1913">
        <v>98.5</v>
      </c>
      <c r="E1913">
        <v>0</v>
      </c>
      <c r="I1913">
        <v>8.0999999999999996E-4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</row>
    <row r="1914" spans="1:20">
      <c r="A1914">
        <f t="shared" si="29"/>
        <v>1913</v>
      </c>
      <c r="B1914" t="s">
        <v>88</v>
      </c>
      <c r="C1914">
        <v>323.2</v>
      </c>
      <c r="D1914">
        <v>98.6</v>
      </c>
      <c r="E1914">
        <v>0</v>
      </c>
      <c r="I1914">
        <v>8.0999999999999996E-4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</row>
    <row r="1915" spans="1:20">
      <c r="A1915">
        <f t="shared" si="29"/>
        <v>1914</v>
      </c>
      <c r="B1915" t="s">
        <v>88</v>
      </c>
      <c r="C1915">
        <v>323.20999999999998</v>
      </c>
      <c r="D1915">
        <v>99.9</v>
      </c>
      <c r="E1915">
        <v>0</v>
      </c>
      <c r="I1915">
        <v>8.4000000000000003E-4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</row>
    <row r="1916" spans="1:20">
      <c r="A1916">
        <f t="shared" si="29"/>
        <v>1915</v>
      </c>
      <c r="B1916" t="s">
        <v>88</v>
      </c>
      <c r="C1916">
        <v>323.19</v>
      </c>
      <c r="D1916">
        <v>116.30000000000001</v>
      </c>
      <c r="E1916">
        <v>0</v>
      </c>
      <c r="I1916">
        <v>9.1E-4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</row>
    <row r="1917" spans="1:20">
      <c r="A1917">
        <f t="shared" si="29"/>
        <v>1916</v>
      </c>
      <c r="B1917" t="s">
        <v>88</v>
      </c>
      <c r="C1917">
        <v>323.2</v>
      </c>
      <c r="D1917">
        <v>126.5</v>
      </c>
      <c r="E1917">
        <v>0</v>
      </c>
      <c r="I1917">
        <v>1.0300000000000001E-3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</row>
    <row r="1918" spans="1:20">
      <c r="A1918">
        <f t="shared" si="29"/>
        <v>1917</v>
      </c>
      <c r="B1918" t="s">
        <v>88</v>
      </c>
      <c r="C1918">
        <v>323.2</v>
      </c>
      <c r="D1918">
        <v>151.19999999999999</v>
      </c>
      <c r="E1918">
        <v>0</v>
      </c>
      <c r="I1918">
        <v>1.16E-3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</row>
    <row r="1919" spans="1:20">
      <c r="A1919">
        <f t="shared" si="29"/>
        <v>1918</v>
      </c>
      <c r="B1919" t="s">
        <v>88</v>
      </c>
      <c r="C1919">
        <v>323.20999999999998</v>
      </c>
      <c r="D1919">
        <v>155.69999999999999</v>
      </c>
      <c r="E1919">
        <v>0</v>
      </c>
      <c r="I1919">
        <v>1.16E-3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</row>
    <row r="1920" spans="1:20">
      <c r="A1920">
        <f t="shared" si="29"/>
        <v>1919</v>
      </c>
      <c r="B1920" t="s">
        <v>88</v>
      </c>
      <c r="C1920">
        <v>323.2</v>
      </c>
      <c r="D1920">
        <v>176.29999999999998</v>
      </c>
      <c r="E1920">
        <v>0</v>
      </c>
      <c r="I1920">
        <v>1.32E-3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</row>
    <row r="1921" spans="1:20">
      <c r="A1921">
        <f t="shared" si="29"/>
        <v>1920</v>
      </c>
      <c r="B1921" t="s">
        <v>88</v>
      </c>
      <c r="C1921">
        <v>323.2</v>
      </c>
      <c r="D1921">
        <v>202</v>
      </c>
      <c r="E1921">
        <v>0</v>
      </c>
      <c r="I1921">
        <v>1.49E-3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</row>
    <row r="1922" spans="1:20">
      <c r="A1922">
        <f t="shared" si="29"/>
        <v>1921</v>
      </c>
      <c r="B1922" t="s">
        <v>88</v>
      </c>
      <c r="C1922">
        <v>348.3</v>
      </c>
      <c r="D1922">
        <v>9.5</v>
      </c>
      <c r="E1922">
        <v>0</v>
      </c>
      <c r="I1922">
        <v>8.0000000000000007E-5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</row>
    <row r="1923" spans="1:20">
      <c r="A1923">
        <f t="shared" si="29"/>
        <v>1922</v>
      </c>
      <c r="B1923" t="s">
        <v>88</v>
      </c>
      <c r="C1923">
        <v>348.33</v>
      </c>
      <c r="D1923">
        <v>10.199999999999999</v>
      </c>
      <c r="E1923">
        <v>0</v>
      </c>
      <c r="I1923">
        <v>8.0000000000000007E-5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</row>
    <row r="1924" spans="1:20">
      <c r="A1924">
        <f t="shared" si="29"/>
        <v>1923</v>
      </c>
      <c r="B1924" t="s">
        <v>88</v>
      </c>
      <c r="C1924">
        <v>348.3</v>
      </c>
      <c r="D1924">
        <v>18.700000000000003</v>
      </c>
      <c r="E1924">
        <v>0</v>
      </c>
      <c r="I1924">
        <v>1.4999999999999999E-4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</row>
    <row r="1925" spans="1:20">
      <c r="A1925">
        <f t="shared" si="29"/>
        <v>1924</v>
      </c>
      <c r="B1925" t="s">
        <v>88</v>
      </c>
      <c r="C1925">
        <v>348.3</v>
      </c>
      <c r="D1925">
        <v>52.599999999999994</v>
      </c>
      <c r="E1925">
        <v>0</v>
      </c>
      <c r="I1925">
        <v>4.2999999999999999E-4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</row>
    <row r="1926" spans="1:20">
      <c r="A1926">
        <f t="shared" si="29"/>
        <v>1925</v>
      </c>
      <c r="B1926" t="s">
        <v>88</v>
      </c>
      <c r="C1926">
        <v>348.3</v>
      </c>
      <c r="D1926">
        <v>74.599999999999994</v>
      </c>
      <c r="E1926">
        <v>0</v>
      </c>
      <c r="I1926">
        <v>6.2E-4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</row>
    <row r="1927" spans="1:20">
      <c r="A1927">
        <f t="shared" si="29"/>
        <v>1926</v>
      </c>
      <c r="B1927" t="s">
        <v>88</v>
      </c>
      <c r="C1927">
        <v>348.3</v>
      </c>
      <c r="D1927">
        <v>100.19999999999999</v>
      </c>
      <c r="E1927">
        <v>0</v>
      </c>
      <c r="I1927">
        <v>8.0000000000000004E-4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</row>
    <row r="1928" spans="1:20">
      <c r="A1928">
        <f t="shared" si="29"/>
        <v>1927</v>
      </c>
      <c r="B1928" t="s">
        <v>88</v>
      </c>
      <c r="C1928">
        <v>348.28</v>
      </c>
      <c r="D1928">
        <v>125.1</v>
      </c>
      <c r="E1928">
        <v>0</v>
      </c>
      <c r="I1928">
        <v>1.01E-3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</row>
    <row r="1929" spans="1:20">
      <c r="A1929">
        <f t="shared" si="29"/>
        <v>1928</v>
      </c>
      <c r="B1929" t="s">
        <v>88</v>
      </c>
      <c r="C1929">
        <v>373.22</v>
      </c>
      <c r="D1929">
        <v>12.2</v>
      </c>
      <c r="E1929">
        <v>0</v>
      </c>
      <c r="I1929">
        <v>6.9999999999999994E-5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</row>
    <row r="1930" spans="1:20">
      <c r="A1930">
        <f t="shared" si="29"/>
        <v>1929</v>
      </c>
      <c r="B1930" t="s">
        <v>88</v>
      </c>
      <c r="C1930">
        <v>373.17</v>
      </c>
      <c r="D1930">
        <v>15.2</v>
      </c>
      <c r="E1930">
        <v>0</v>
      </c>
      <c r="I1930">
        <v>1.1E-4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</row>
    <row r="1931" spans="1:20">
      <c r="A1931">
        <f t="shared" si="29"/>
        <v>1930</v>
      </c>
      <c r="B1931" t="s">
        <v>88</v>
      </c>
      <c r="C1931">
        <v>373.17</v>
      </c>
      <c r="D1931">
        <v>24.6</v>
      </c>
      <c r="E1931">
        <v>0</v>
      </c>
      <c r="I1931">
        <v>2.0000000000000001E-4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</row>
    <row r="1932" spans="1:20">
      <c r="A1932">
        <f t="shared" si="29"/>
        <v>1931</v>
      </c>
      <c r="B1932" t="s">
        <v>88</v>
      </c>
      <c r="C1932">
        <v>373.22</v>
      </c>
      <c r="D1932">
        <v>50.300000000000004</v>
      </c>
      <c r="E1932">
        <v>0</v>
      </c>
      <c r="I1932">
        <v>3.8999999999999999E-4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</row>
    <row r="1933" spans="1:20">
      <c r="A1933">
        <f t="shared" si="29"/>
        <v>1932</v>
      </c>
      <c r="B1933" t="s">
        <v>88</v>
      </c>
      <c r="C1933">
        <v>373.27</v>
      </c>
      <c r="D1933">
        <v>50.7</v>
      </c>
      <c r="E1933">
        <v>0</v>
      </c>
      <c r="I1933">
        <v>3.8999999999999999E-4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</row>
    <row r="1934" spans="1:20">
      <c r="A1934">
        <f t="shared" si="29"/>
        <v>1933</v>
      </c>
      <c r="B1934" t="s">
        <v>88</v>
      </c>
      <c r="C1934">
        <v>373.18</v>
      </c>
      <c r="D1934">
        <v>51.5</v>
      </c>
      <c r="E1934">
        <v>0</v>
      </c>
      <c r="I1934">
        <v>4.2000000000000002E-4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</row>
    <row r="1935" spans="1:20">
      <c r="A1935">
        <f t="shared" si="29"/>
        <v>1934</v>
      </c>
      <c r="B1935" t="s">
        <v>88</v>
      </c>
      <c r="C1935">
        <v>373.19</v>
      </c>
      <c r="D1935">
        <v>75.099999999999994</v>
      </c>
      <c r="E1935">
        <v>0</v>
      </c>
      <c r="I1935">
        <v>6.3000000000000003E-4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</row>
    <row r="1936" spans="1:20">
      <c r="A1936">
        <f t="shared" si="29"/>
        <v>1935</v>
      </c>
      <c r="B1936" t="s">
        <v>88</v>
      </c>
      <c r="C1936">
        <v>373.27</v>
      </c>
      <c r="D1936">
        <v>76.900000000000006</v>
      </c>
      <c r="E1936">
        <v>0</v>
      </c>
      <c r="I1936">
        <v>6.3000000000000003E-4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</row>
    <row r="1937" spans="1:20">
      <c r="A1937">
        <f t="shared" si="29"/>
        <v>1936</v>
      </c>
      <c r="B1937" t="s">
        <v>88</v>
      </c>
      <c r="C1937">
        <v>373.18</v>
      </c>
      <c r="D1937">
        <v>100.5</v>
      </c>
      <c r="E1937">
        <v>0</v>
      </c>
      <c r="I1937">
        <v>8.1999999999999998E-4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</row>
    <row r="1938" spans="1:20">
      <c r="A1938">
        <f t="shared" si="29"/>
        <v>1937</v>
      </c>
      <c r="B1938" t="s">
        <v>88</v>
      </c>
      <c r="C1938">
        <v>373.26</v>
      </c>
      <c r="D1938">
        <v>104.60000000000001</v>
      </c>
      <c r="E1938">
        <v>0</v>
      </c>
      <c r="I1938">
        <v>8.1999999999999998E-4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</row>
    <row r="1939" spans="1:20">
      <c r="A1939">
        <f t="shared" si="29"/>
        <v>1938</v>
      </c>
      <c r="B1939" t="s">
        <v>88</v>
      </c>
      <c r="C1939">
        <v>373.19</v>
      </c>
      <c r="D1939">
        <v>129.4</v>
      </c>
      <c r="E1939">
        <v>0</v>
      </c>
      <c r="I1939">
        <v>1.06E-3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</row>
    <row r="1940" spans="1:20">
      <c r="A1940">
        <f t="shared" si="29"/>
        <v>1939</v>
      </c>
      <c r="B1940" t="s">
        <v>88</v>
      </c>
      <c r="C1940">
        <v>373.27</v>
      </c>
      <c r="D1940">
        <v>134.30000000000001</v>
      </c>
      <c r="E1940">
        <v>0</v>
      </c>
      <c r="I1940">
        <v>1.07E-3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</row>
    <row r="1941" spans="1:20">
      <c r="A1941">
        <f t="shared" si="29"/>
        <v>1940</v>
      </c>
      <c r="B1941" t="s">
        <v>88</v>
      </c>
      <c r="C1941">
        <v>373.19</v>
      </c>
      <c r="D1941">
        <v>150.19999999999999</v>
      </c>
      <c r="E1941">
        <v>0</v>
      </c>
      <c r="I1941">
        <v>1.1900000000000001E-3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</row>
    <row r="1942" spans="1:20">
      <c r="A1942">
        <f t="shared" si="29"/>
        <v>1941</v>
      </c>
      <c r="B1942" t="s">
        <v>88</v>
      </c>
      <c r="C1942">
        <v>373.26</v>
      </c>
      <c r="D1942">
        <v>150.39999999999998</v>
      </c>
      <c r="E1942">
        <v>0</v>
      </c>
      <c r="I1942">
        <v>1.2099999999999999E-3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</row>
    <row r="1943" spans="1:20">
      <c r="A1943">
        <f t="shared" si="29"/>
        <v>1942</v>
      </c>
      <c r="B1943" t="s">
        <v>88</v>
      </c>
      <c r="C1943">
        <v>373.25</v>
      </c>
      <c r="D1943">
        <v>175.6</v>
      </c>
      <c r="E1943">
        <v>0</v>
      </c>
      <c r="I1943">
        <v>1.3699999999999999E-3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</row>
    <row r="1944" spans="1:20">
      <c r="A1944">
        <f t="shared" si="29"/>
        <v>1943</v>
      </c>
      <c r="B1944" t="s">
        <v>88</v>
      </c>
      <c r="C1944">
        <v>373.19</v>
      </c>
      <c r="D1944">
        <v>176.70000000000002</v>
      </c>
      <c r="E1944">
        <v>0</v>
      </c>
      <c r="I1944">
        <v>1.39E-3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</row>
    <row r="1945" spans="1:20">
      <c r="A1945">
        <f t="shared" si="29"/>
        <v>1944</v>
      </c>
      <c r="B1945" t="s">
        <v>88</v>
      </c>
      <c r="C1945">
        <v>373.19</v>
      </c>
      <c r="D1945">
        <v>204.8</v>
      </c>
      <c r="E1945">
        <v>0</v>
      </c>
      <c r="I1945">
        <v>1.5399999999999999E-3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</row>
    <row r="1946" spans="1:20">
      <c r="A1946">
        <f t="shared" si="29"/>
        <v>1945</v>
      </c>
      <c r="B1946" t="s">
        <v>88</v>
      </c>
      <c r="C1946">
        <v>423.01</v>
      </c>
      <c r="D1946">
        <v>15.5</v>
      </c>
      <c r="E1946">
        <v>0</v>
      </c>
      <c r="I1946">
        <v>9.0000000000000006E-5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</row>
    <row r="1947" spans="1:20">
      <c r="A1947">
        <f t="shared" si="29"/>
        <v>1946</v>
      </c>
      <c r="B1947" t="s">
        <v>88</v>
      </c>
      <c r="C1947">
        <v>423.31</v>
      </c>
      <c r="D1947">
        <v>17</v>
      </c>
      <c r="E1947">
        <v>0</v>
      </c>
      <c r="I1947">
        <v>1.2E-4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</row>
    <row r="1948" spans="1:20">
      <c r="A1948">
        <f t="shared" si="29"/>
        <v>1947</v>
      </c>
      <c r="B1948" t="s">
        <v>88</v>
      </c>
      <c r="C1948">
        <v>423.41</v>
      </c>
      <c r="D1948">
        <v>25.099999999999998</v>
      </c>
      <c r="E1948">
        <v>0</v>
      </c>
      <c r="I1948">
        <v>2.0000000000000001E-4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</row>
    <row r="1949" spans="1:20">
      <c r="A1949">
        <f t="shared" si="29"/>
        <v>1948</v>
      </c>
      <c r="B1949" t="s">
        <v>88</v>
      </c>
      <c r="C1949">
        <v>422.92</v>
      </c>
      <c r="D1949">
        <v>25.7</v>
      </c>
      <c r="E1949">
        <v>0</v>
      </c>
      <c r="I1949">
        <v>2.2000000000000001E-4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</row>
    <row r="1950" spans="1:20">
      <c r="A1950">
        <f t="shared" si="29"/>
        <v>1949</v>
      </c>
      <c r="B1950" t="s">
        <v>88</v>
      </c>
      <c r="C1950">
        <v>423.22</v>
      </c>
      <c r="D1950">
        <v>54</v>
      </c>
      <c r="E1950">
        <v>0</v>
      </c>
      <c r="I1950">
        <v>5.0000000000000001E-4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</row>
    <row r="1951" spans="1:20">
      <c r="A1951">
        <f t="shared" si="29"/>
        <v>1950</v>
      </c>
      <c r="B1951" t="s">
        <v>88</v>
      </c>
      <c r="C1951">
        <v>423.22</v>
      </c>
      <c r="D1951">
        <v>75.900000000000006</v>
      </c>
      <c r="E1951">
        <v>0</v>
      </c>
      <c r="I1951">
        <v>6.6E-4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</row>
    <row r="1952" spans="1:20">
      <c r="A1952">
        <f t="shared" si="29"/>
        <v>1951</v>
      </c>
      <c r="B1952" t="s">
        <v>88</v>
      </c>
      <c r="C1952">
        <v>423.22</v>
      </c>
      <c r="D1952">
        <v>103.69999999999999</v>
      </c>
      <c r="E1952">
        <v>0</v>
      </c>
      <c r="I1952">
        <v>9.3999999999999997E-4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</row>
    <row r="1953" spans="1:20">
      <c r="A1953">
        <f t="shared" si="29"/>
        <v>1952</v>
      </c>
      <c r="B1953" t="s">
        <v>88</v>
      </c>
      <c r="C1953">
        <v>423.22</v>
      </c>
      <c r="D1953">
        <v>126.4</v>
      </c>
      <c r="E1953">
        <v>0</v>
      </c>
      <c r="I1953">
        <v>1.16E-3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</row>
    <row r="1954" spans="1:20">
      <c r="A1954">
        <f t="shared" si="29"/>
        <v>1953</v>
      </c>
      <c r="B1954" t="s">
        <v>88</v>
      </c>
      <c r="C1954">
        <v>423.21</v>
      </c>
      <c r="D1954">
        <v>153</v>
      </c>
      <c r="E1954">
        <v>0</v>
      </c>
      <c r="I1954">
        <v>1.39E-3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</row>
    <row r="1955" spans="1:20">
      <c r="A1955">
        <f t="shared" si="29"/>
        <v>1954</v>
      </c>
      <c r="B1955" t="s">
        <v>88</v>
      </c>
      <c r="C1955">
        <v>423.22</v>
      </c>
      <c r="D1955">
        <v>175.7</v>
      </c>
      <c r="E1955">
        <v>0</v>
      </c>
      <c r="I1955">
        <v>1.5299999999999999E-3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</row>
    <row r="1956" spans="1:20">
      <c r="A1956">
        <f t="shared" si="29"/>
        <v>1955</v>
      </c>
      <c r="B1956" t="s">
        <v>88</v>
      </c>
      <c r="C1956">
        <v>423.22</v>
      </c>
      <c r="D1956">
        <v>205.9</v>
      </c>
      <c r="E1956">
        <v>0</v>
      </c>
      <c r="I1956">
        <v>1.8500000000000001E-3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</row>
    <row r="1957" spans="1:20">
      <c r="A1957">
        <f t="shared" si="29"/>
        <v>1956</v>
      </c>
      <c r="B1957" t="s">
        <v>88</v>
      </c>
      <c r="C1957">
        <v>323.22000000000003</v>
      </c>
      <c r="D1957">
        <v>12.1</v>
      </c>
      <c r="E1957">
        <v>0</v>
      </c>
      <c r="F1957">
        <v>1.238E-2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</row>
    <row r="1958" spans="1:20">
      <c r="A1958">
        <f t="shared" ref="A1958:A2021" si="30">A1957+1</f>
        <v>1957</v>
      </c>
      <c r="B1958" t="s">
        <v>88</v>
      </c>
      <c r="C1958">
        <v>323.2</v>
      </c>
      <c r="D1958">
        <v>20.299999999999997</v>
      </c>
      <c r="E1958">
        <v>0</v>
      </c>
      <c r="F1958">
        <v>7.4200000000000004E-3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</row>
    <row r="1959" spans="1:20">
      <c r="A1959">
        <f t="shared" si="30"/>
        <v>1958</v>
      </c>
      <c r="B1959" t="s">
        <v>88</v>
      </c>
      <c r="C1959">
        <v>323.20999999999998</v>
      </c>
      <c r="D1959">
        <v>50.4</v>
      </c>
      <c r="E1959">
        <v>0</v>
      </c>
      <c r="F1959">
        <v>2.9099999999999998E-3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</row>
    <row r="1960" spans="1:20">
      <c r="A1960">
        <f t="shared" si="30"/>
        <v>1959</v>
      </c>
      <c r="B1960" t="s">
        <v>88</v>
      </c>
      <c r="C1960">
        <v>323.20999999999998</v>
      </c>
      <c r="D1960">
        <v>62.199999999999996</v>
      </c>
      <c r="E1960">
        <v>0</v>
      </c>
      <c r="F1960">
        <v>2.4099999999999998E-3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</row>
    <row r="1961" spans="1:20">
      <c r="A1961">
        <f t="shared" si="30"/>
        <v>1960</v>
      </c>
      <c r="B1961" t="s">
        <v>88</v>
      </c>
      <c r="C1961">
        <v>323.20999999999998</v>
      </c>
      <c r="D1961">
        <v>79.400000000000006</v>
      </c>
      <c r="E1961">
        <v>0</v>
      </c>
      <c r="F1961">
        <v>1.83E-3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</row>
    <row r="1962" spans="1:20">
      <c r="A1962">
        <f t="shared" si="30"/>
        <v>1961</v>
      </c>
      <c r="B1962" t="s">
        <v>88</v>
      </c>
      <c r="C1962">
        <v>323.22000000000003</v>
      </c>
      <c r="D1962">
        <v>153.19999999999999</v>
      </c>
      <c r="E1962">
        <v>0</v>
      </c>
      <c r="F1962">
        <v>1.6100000000000001E-3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</row>
    <row r="1963" spans="1:20">
      <c r="A1963">
        <f t="shared" si="30"/>
        <v>1962</v>
      </c>
      <c r="B1963" t="s">
        <v>88</v>
      </c>
      <c r="C1963">
        <v>373.22</v>
      </c>
      <c r="D1963">
        <v>12.2</v>
      </c>
      <c r="E1963">
        <v>0</v>
      </c>
      <c r="F1963">
        <v>8.9560000000000001E-2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</row>
    <row r="1964" spans="1:20">
      <c r="A1964">
        <f t="shared" si="30"/>
        <v>1963</v>
      </c>
      <c r="B1964" t="s">
        <v>88</v>
      </c>
      <c r="C1964">
        <v>373.23</v>
      </c>
      <c r="D1964">
        <v>12.2</v>
      </c>
      <c r="E1964">
        <v>0</v>
      </c>
      <c r="F1964">
        <v>8.6790000000000006E-2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</row>
    <row r="1965" spans="1:20">
      <c r="A1965">
        <f t="shared" si="30"/>
        <v>1964</v>
      </c>
      <c r="B1965" t="s">
        <v>88</v>
      </c>
      <c r="C1965">
        <v>373.23</v>
      </c>
      <c r="D1965">
        <v>12.2</v>
      </c>
      <c r="E1965">
        <v>0</v>
      </c>
      <c r="F1965">
        <v>8.2030000000000006E-2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</row>
    <row r="1966" spans="1:20">
      <c r="A1966">
        <f t="shared" si="30"/>
        <v>1965</v>
      </c>
      <c r="B1966" t="s">
        <v>88</v>
      </c>
      <c r="C1966">
        <v>373.26</v>
      </c>
      <c r="D1966">
        <v>25.9</v>
      </c>
      <c r="E1966">
        <v>0</v>
      </c>
      <c r="F1966">
        <v>4.2470000000000001E-2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</row>
    <row r="1967" spans="1:20">
      <c r="A1967">
        <f t="shared" si="30"/>
        <v>1966</v>
      </c>
      <c r="B1967" t="s">
        <v>88</v>
      </c>
      <c r="C1967">
        <v>373.27</v>
      </c>
      <c r="D1967">
        <v>50</v>
      </c>
      <c r="E1967">
        <v>0</v>
      </c>
      <c r="F1967">
        <v>2.1870000000000001E-2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</row>
    <row r="1968" spans="1:20">
      <c r="A1968">
        <f t="shared" si="30"/>
        <v>1967</v>
      </c>
      <c r="B1968" t="s">
        <v>88</v>
      </c>
      <c r="C1968">
        <v>373.31</v>
      </c>
      <c r="D1968">
        <v>72.2</v>
      </c>
      <c r="E1968">
        <v>0</v>
      </c>
      <c r="F1968">
        <v>1.451E-2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</row>
    <row r="1969" spans="1:20">
      <c r="A1969">
        <f t="shared" si="30"/>
        <v>1968</v>
      </c>
      <c r="B1969" t="s">
        <v>88</v>
      </c>
      <c r="C1969">
        <v>373.27</v>
      </c>
      <c r="D1969">
        <v>76.900000000000006</v>
      </c>
      <c r="E1969">
        <v>0</v>
      </c>
      <c r="F1969">
        <v>1.35E-2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</row>
    <row r="1970" spans="1:20">
      <c r="A1970">
        <f t="shared" si="30"/>
        <v>1969</v>
      </c>
      <c r="B1970" t="s">
        <v>88</v>
      </c>
      <c r="C1970">
        <v>373.26</v>
      </c>
      <c r="D1970">
        <v>104.7</v>
      </c>
      <c r="E1970">
        <v>0</v>
      </c>
      <c r="F1970">
        <v>1.2840000000000001E-2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</row>
    <row r="1971" spans="1:20">
      <c r="A1971">
        <f t="shared" si="30"/>
        <v>1970</v>
      </c>
      <c r="B1971" t="s">
        <v>88</v>
      </c>
      <c r="C1971">
        <v>373.26</v>
      </c>
      <c r="D1971">
        <v>134.60000000000002</v>
      </c>
      <c r="E1971">
        <v>0</v>
      </c>
      <c r="F1971">
        <v>8.6099999999999996E-3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</row>
    <row r="1972" spans="1:20">
      <c r="A1972">
        <f t="shared" si="30"/>
        <v>1971</v>
      </c>
      <c r="B1972" t="s">
        <v>88</v>
      </c>
      <c r="C1972">
        <v>373.27</v>
      </c>
      <c r="D1972">
        <v>135.19999999999999</v>
      </c>
      <c r="E1972">
        <v>0</v>
      </c>
      <c r="F1972">
        <v>8.5500000000000003E-3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</row>
    <row r="1973" spans="1:20">
      <c r="A1973">
        <f t="shared" si="30"/>
        <v>1972</v>
      </c>
      <c r="B1973" t="s">
        <v>88</v>
      </c>
      <c r="C1973">
        <v>373.26</v>
      </c>
      <c r="D1973">
        <v>150.5</v>
      </c>
      <c r="E1973">
        <v>0</v>
      </c>
      <c r="F1973">
        <v>8.6400000000000001E-3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</row>
    <row r="1974" spans="1:20">
      <c r="A1974">
        <f t="shared" si="30"/>
        <v>1973</v>
      </c>
      <c r="B1974" t="s">
        <v>88</v>
      </c>
      <c r="C1974">
        <v>373.25</v>
      </c>
      <c r="D1974">
        <v>175.6</v>
      </c>
      <c r="E1974">
        <v>0</v>
      </c>
      <c r="F1974">
        <v>7.62E-3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</row>
    <row r="1975" spans="1:20">
      <c r="A1975">
        <f t="shared" si="30"/>
        <v>1974</v>
      </c>
      <c r="B1975" t="s">
        <v>88</v>
      </c>
      <c r="C1975">
        <v>373.27</v>
      </c>
      <c r="D1975">
        <v>202.89999999999998</v>
      </c>
      <c r="E1975">
        <v>0</v>
      </c>
      <c r="F1975">
        <v>6.7799999999999996E-3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</row>
    <row r="1976" spans="1:20">
      <c r="A1976">
        <f t="shared" si="30"/>
        <v>1975</v>
      </c>
      <c r="B1976" t="s">
        <v>88</v>
      </c>
      <c r="C1976">
        <v>423.01</v>
      </c>
      <c r="D1976">
        <v>15.5</v>
      </c>
      <c r="E1976">
        <v>0</v>
      </c>
      <c r="F1976">
        <v>0.27128999999999998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</row>
    <row r="1977" spans="1:20">
      <c r="A1977">
        <f t="shared" si="30"/>
        <v>1976</v>
      </c>
      <c r="B1977" t="s">
        <v>88</v>
      </c>
      <c r="C1977">
        <v>423.01</v>
      </c>
      <c r="D1977">
        <v>15.5</v>
      </c>
      <c r="E1977">
        <v>0</v>
      </c>
      <c r="F1977">
        <v>0.24612999999999999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</row>
    <row r="1978" spans="1:20">
      <c r="A1978">
        <f t="shared" si="30"/>
        <v>1977</v>
      </c>
      <c r="B1978" t="s">
        <v>88</v>
      </c>
      <c r="C1978">
        <v>423.39</v>
      </c>
      <c r="D1978">
        <v>25.099999999999998</v>
      </c>
      <c r="E1978">
        <v>0</v>
      </c>
      <c r="F1978">
        <v>0.15648000000000001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</row>
    <row r="1979" spans="1:20">
      <c r="A1979">
        <f t="shared" si="30"/>
        <v>1978</v>
      </c>
      <c r="B1979" t="s">
        <v>88</v>
      </c>
      <c r="C1979">
        <v>423.23</v>
      </c>
      <c r="D1979">
        <v>51.900000000000006</v>
      </c>
      <c r="E1979">
        <v>0</v>
      </c>
      <c r="F1979">
        <v>8.9069999999999996E-2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</row>
    <row r="1980" spans="1:20">
      <c r="A1980">
        <f t="shared" si="30"/>
        <v>1979</v>
      </c>
      <c r="B1980" t="s">
        <v>88</v>
      </c>
      <c r="C1980">
        <v>423.23</v>
      </c>
      <c r="D1980">
        <v>76.399999999999991</v>
      </c>
      <c r="E1980">
        <v>0</v>
      </c>
      <c r="F1980">
        <v>6.089E-2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</row>
    <row r="1981" spans="1:20">
      <c r="A1981">
        <f t="shared" si="30"/>
        <v>1980</v>
      </c>
      <c r="B1981" t="s">
        <v>88</v>
      </c>
      <c r="C1981">
        <v>423.25</v>
      </c>
      <c r="D1981">
        <v>99.7</v>
      </c>
      <c r="E1981">
        <v>0</v>
      </c>
      <c r="F1981">
        <v>5.7840000000000003E-2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</row>
    <row r="1982" spans="1:20">
      <c r="A1982">
        <f t="shared" si="30"/>
        <v>1981</v>
      </c>
      <c r="B1982" t="s">
        <v>88</v>
      </c>
      <c r="C1982">
        <v>423.26</v>
      </c>
      <c r="D1982">
        <v>127</v>
      </c>
      <c r="E1982">
        <v>0</v>
      </c>
      <c r="F1982">
        <v>4.4260000000000001E-2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</row>
    <row r="1983" spans="1:20">
      <c r="A1983">
        <f t="shared" si="30"/>
        <v>1982</v>
      </c>
      <c r="B1983" t="s">
        <v>88</v>
      </c>
      <c r="C1983">
        <v>423.26</v>
      </c>
      <c r="D1983">
        <v>151.80000000000001</v>
      </c>
      <c r="E1983">
        <v>0</v>
      </c>
      <c r="F1983">
        <v>3.5580000000000001E-2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</row>
    <row r="1984" spans="1:20">
      <c r="A1984">
        <f t="shared" si="30"/>
        <v>1983</v>
      </c>
      <c r="B1984" t="s">
        <v>88</v>
      </c>
      <c r="C1984">
        <v>423.26</v>
      </c>
      <c r="D1984">
        <v>175.6</v>
      </c>
      <c r="E1984">
        <v>0</v>
      </c>
      <c r="F1984">
        <v>2.8680000000000001E-2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</row>
    <row r="1985" spans="1:20">
      <c r="A1985">
        <f t="shared" si="30"/>
        <v>1984</v>
      </c>
      <c r="B1985" t="s">
        <v>88</v>
      </c>
      <c r="C1985">
        <v>423.26</v>
      </c>
      <c r="D1985">
        <v>203.5</v>
      </c>
      <c r="E1985">
        <v>0</v>
      </c>
      <c r="F1985">
        <v>2.606E-2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</row>
    <row r="1986" spans="1:20">
      <c r="A1986">
        <f t="shared" si="30"/>
        <v>1985</v>
      </c>
      <c r="B1986" t="s">
        <v>89</v>
      </c>
      <c r="C1986">
        <v>273.14999999999998</v>
      </c>
      <c r="D1986">
        <v>25</v>
      </c>
      <c r="E1986">
        <v>0</v>
      </c>
      <c r="F1986" t="s">
        <v>90</v>
      </c>
      <c r="J1986">
        <v>4.3E-3</v>
      </c>
      <c r="N1986">
        <v>0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</row>
    <row r="1987" spans="1:20">
      <c r="A1987">
        <f t="shared" si="30"/>
        <v>1986</v>
      </c>
      <c r="B1987" t="s">
        <v>89</v>
      </c>
      <c r="C1987">
        <v>273.14999999999998</v>
      </c>
      <c r="D1987">
        <v>51</v>
      </c>
      <c r="E1987">
        <v>0</v>
      </c>
      <c r="F1987" t="s">
        <v>90</v>
      </c>
      <c r="J1987">
        <v>8.6E-3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</row>
    <row r="1988" spans="1:20">
      <c r="A1988">
        <f t="shared" si="30"/>
        <v>1987</v>
      </c>
      <c r="B1988" t="s">
        <v>89</v>
      </c>
      <c r="C1988">
        <v>273.14999999999998</v>
      </c>
      <c r="D1988">
        <v>100.57</v>
      </c>
      <c r="E1988">
        <v>0</v>
      </c>
      <c r="F1988" t="s">
        <v>90</v>
      </c>
      <c r="J1988">
        <v>1.7100000000000001E-2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</row>
    <row r="1989" spans="1:20">
      <c r="A1989">
        <f t="shared" si="30"/>
        <v>1988</v>
      </c>
      <c r="B1989" t="s">
        <v>89</v>
      </c>
      <c r="C1989">
        <v>273.14999999999998</v>
      </c>
      <c r="D1989">
        <v>202.95</v>
      </c>
      <c r="E1989">
        <v>0</v>
      </c>
      <c r="F1989" t="s">
        <v>90</v>
      </c>
      <c r="J1989">
        <v>3.3500000000000002E-2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</row>
    <row r="1990" spans="1:20">
      <c r="A1990">
        <f t="shared" si="30"/>
        <v>1989</v>
      </c>
      <c r="B1990" t="s">
        <v>89</v>
      </c>
      <c r="C1990">
        <v>273.14999999999998</v>
      </c>
      <c r="D1990">
        <v>405.05</v>
      </c>
      <c r="E1990">
        <v>0</v>
      </c>
      <c r="F1990" t="s">
        <v>90</v>
      </c>
      <c r="J1990">
        <v>6.4000000000000001E-2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</row>
    <row r="1991" spans="1:20">
      <c r="A1991">
        <f t="shared" si="30"/>
        <v>1990</v>
      </c>
      <c r="B1991" t="s">
        <v>89</v>
      </c>
      <c r="C1991">
        <v>298.14999999999998</v>
      </c>
      <c r="D1991">
        <v>25</v>
      </c>
      <c r="E1991">
        <v>0</v>
      </c>
      <c r="F1991" t="s">
        <v>90</v>
      </c>
      <c r="J1991">
        <v>3.4999999999999996E-3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</row>
    <row r="1992" spans="1:20">
      <c r="A1992">
        <f t="shared" si="30"/>
        <v>1991</v>
      </c>
      <c r="B1992" t="s">
        <v>89</v>
      </c>
      <c r="C1992">
        <v>298.14999999999998</v>
      </c>
      <c r="D1992">
        <v>51</v>
      </c>
      <c r="E1992">
        <v>0</v>
      </c>
      <c r="F1992" t="s">
        <v>90</v>
      </c>
      <c r="J1992">
        <v>6.8999999999999999E-3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</row>
    <row r="1993" spans="1:20">
      <c r="A1993">
        <f t="shared" si="30"/>
        <v>1992</v>
      </c>
      <c r="B1993" t="s">
        <v>89</v>
      </c>
      <c r="C1993">
        <v>298.14999999999998</v>
      </c>
      <c r="D1993">
        <v>100.57</v>
      </c>
      <c r="E1993">
        <v>0</v>
      </c>
      <c r="F1993" t="s">
        <v>90</v>
      </c>
      <c r="J1993">
        <v>1.3899999999999999E-2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</row>
    <row r="1994" spans="1:20">
      <c r="A1994">
        <f t="shared" si="30"/>
        <v>1993</v>
      </c>
      <c r="B1994" t="s">
        <v>89</v>
      </c>
      <c r="C1994">
        <v>298.14999999999998</v>
      </c>
      <c r="D1994">
        <v>202.95</v>
      </c>
      <c r="E1994">
        <v>0</v>
      </c>
      <c r="F1994" t="s">
        <v>90</v>
      </c>
      <c r="J1994">
        <v>2.7099999999999999E-2</v>
      </c>
      <c r="N1994">
        <v>0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</row>
    <row r="1995" spans="1:20">
      <c r="A1995">
        <f t="shared" si="30"/>
        <v>1994</v>
      </c>
      <c r="B1995" t="s">
        <v>89</v>
      </c>
      <c r="C1995">
        <v>298.14999999999998</v>
      </c>
      <c r="D1995">
        <v>405.05</v>
      </c>
      <c r="E1995">
        <v>0</v>
      </c>
      <c r="F1995" t="s">
        <v>90</v>
      </c>
      <c r="J1995">
        <v>5.2400000000000002E-2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</row>
    <row r="1996" spans="1:20">
      <c r="A1996">
        <f t="shared" si="30"/>
        <v>1995</v>
      </c>
      <c r="B1996" t="s">
        <v>89</v>
      </c>
      <c r="C1996">
        <v>310.94</v>
      </c>
      <c r="D1996">
        <v>3.4</v>
      </c>
      <c r="E1996">
        <v>0</v>
      </c>
      <c r="F1996">
        <v>1.9599999999999999E-2</v>
      </c>
      <c r="J1996">
        <v>5.0000000000000001E-4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</row>
    <row r="1997" spans="1:20">
      <c r="A1997">
        <f t="shared" si="30"/>
        <v>1996</v>
      </c>
      <c r="B1997" t="s">
        <v>89</v>
      </c>
      <c r="C1997">
        <v>310.94</v>
      </c>
      <c r="D1997">
        <v>13.8</v>
      </c>
      <c r="E1997">
        <v>0</v>
      </c>
      <c r="F1997">
        <v>4.8999999999999998E-3</v>
      </c>
      <c r="J1997">
        <v>1.8E-3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</row>
    <row r="1998" spans="1:20">
      <c r="A1998">
        <f t="shared" si="30"/>
        <v>1997</v>
      </c>
      <c r="B1998" t="s">
        <v>89</v>
      </c>
      <c r="C1998">
        <v>310.94</v>
      </c>
      <c r="D1998">
        <v>31</v>
      </c>
      <c r="E1998">
        <v>0</v>
      </c>
      <c r="F1998">
        <v>2.2000000000000001E-3</v>
      </c>
      <c r="J1998">
        <v>4.0999999999999995E-3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</row>
    <row r="1999" spans="1:20">
      <c r="A1999">
        <f t="shared" si="30"/>
        <v>1998</v>
      </c>
      <c r="B1999" t="s">
        <v>89</v>
      </c>
      <c r="C1999">
        <v>310.94</v>
      </c>
      <c r="D1999">
        <v>65.5</v>
      </c>
      <c r="E1999">
        <v>0</v>
      </c>
      <c r="F1999">
        <v>1.1999999999999999E-3</v>
      </c>
      <c r="J1999">
        <v>8.6E-3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</row>
    <row r="2000" spans="1:20">
      <c r="A2000">
        <f t="shared" si="30"/>
        <v>1999</v>
      </c>
      <c r="B2000" t="s">
        <v>89</v>
      </c>
      <c r="C2000">
        <v>310.94</v>
      </c>
      <c r="D2000">
        <v>103.4</v>
      </c>
      <c r="E2000">
        <v>0</v>
      </c>
      <c r="F2000">
        <v>8.0000000000000004E-4</v>
      </c>
      <c r="J2000">
        <v>1.3300000000000001E-2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</row>
    <row r="2001" spans="1:20">
      <c r="A2001">
        <f t="shared" si="30"/>
        <v>2000</v>
      </c>
      <c r="B2001" t="s">
        <v>89</v>
      </c>
      <c r="C2001">
        <v>310.94</v>
      </c>
      <c r="D2001">
        <v>137.9</v>
      </c>
      <c r="E2001">
        <v>0</v>
      </c>
      <c r="F2001">
        <v>5.9999999999999995E-4</v>
      </c>
      <c r="J2001">
        <v>1.7600000000000001E-2</v>
      </c>
      <c r="N2001">
        <v>0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</row>
    <row r="2002" spans="1:20">
      <c r="A2002">
        <f t="shared" si="30"/>
        <v>2001</v>
      </c>
      <c r="B2002" t="s">
        <v>89</v>
      </c>
      <c r="C2002">
        <v>323.14999999999998</v>
      </c>
      <c r="D2002">
        <v>25</v>
      </c>
      <c r="E2002">
        <v>0</v>
      </c>
      <c r="F2002" t="s">
        <v>90</v>
      </c>
      <c r="J2002">
        <v>3.3E-3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</row>
    <row r="2003" spans="1:20">
      <c r="A2003">
        <f t="shared" si="30"/>
        <v>2002</v>
      </c>
      <c r="B2003" t="s">
        <v>89</v>
      </c>
      <c r="C2003">
        <v>323.14999999999998</v>
      </c>
      <c r="D2003">
        <v>31.8</v>
      </c>
      <c r="E2003">
        <v>0</v>
      </c>
      <c r="F2003" t="s">
        <v>90</v>
      </c>
      <c r="J2003">
        <v>4.0000000000000001E-3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</row>
    <row r="2004" spans="1:20">
      <c r="A2004">
        <f t="shared" si="30"/>
        <v>2003</v>
      </c>
      <c r="B2004" t="s">
        <v>89</v>
      </c>
      <c r="C2004">
        <v>323.14999999999998</v>
      </c>
      <c r="D2004">
        <v>50</v>
      </c>
      <c r="E2004">
        <v>0</v>
      </c>
      <c r="F2004">
        <v>2.7000000000000001E-3</v>
      </c>
      <c r="J2004" t="s">
        <v>90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</row>
    <row r="2005" spans="1:20">
      <c r="A2005">
        <f t="shared" si="30"/>
        <v>2004</v>
      </c>
      <c r="B2005" t="s">
        <v>89</v>
      </c>
      <c r="C2005">
        <v>323.14999999999998</v>
      </c>
      <c r="D2005">
        <v>51</v>
      </c>
      <c r="E2005">
        <v>0</v>
      </c>
      <c r="F2005" t="s">
        <v>90</v>
      </c>
      <c r="J2005">
        <v>6.5000000000000006E-3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</row>
    <row r="2006" spans="1:20">
      <c r="A2006">
        <f t="shared" si="30"/>
        <v>2005</v>
      </c>
      <c r="B2006" t="s">
        <v>89</v>
      </c>
      <c r="C2006">
        <v>323.14999999999998</v>
      </c>
      <c r="D2006">
        <v>60.15</v>
      </c>
      <c r="E2006">
        <v>0</v>
      </c>
      <c r="F2006" t="s">
        <v>90</v>
      </c>
      <c r="J2006">
        <v>7.6E-3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</row>
    <row r="2007" spans="1:20">
      <c r="A2007">
        <f t="shared" si="30"/>
        <v>2006</v>
      </c>
      <c r="B2007" t="s">
        <v>89</v>
      </c>
      <c r="C2007">
        <v>323.14999999999998</v>
      </c>
      <c r="D2007">
        <v>100.57</v>
      </c>
      <c r="E2007">
        <v>0</v>
      </c>
      <c r="F2007">
        <v>1.4000000000000002E-3</v>
      </c>
      <c r="J2007">
        <v>1.29E-2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</row>
    <row r="2008" spans="1:20">
      <c r="A2008">
        <f t="shared" si="30"/>
        <v>2007</v>
      </c>
      <c r="B2008" t="s">
        <v>89</v>
      </c>
      <c r="C2008">
        <v>323.14999999999998</v>
      </c>
      <c r="D2008">
        <v>119.3</v>
      </c>
      <c r="E2008">
        <v>0</v>
      </c>
      <c r="F2008" t="s">
        <v>90</v>
      </c>
      <c r="J2008">
        <v>1.5100000000000001E-2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</row>
    <row r="2009" spans="1:20">
      <c r="A2009">
        <f t="shared" si="30"/>
        <v>2008</v>
      </c>
      <c r="B2009" t="s">
        <v>89</v>
      </c>
      <c r="C2009">
        <v>323.14999999999998</v>
      </c>
      <c r="D2009">
        <v>150</v>
      </c>
      <c r="E2009">
        <v>0</v>
      </c>
      <c r="F2009">
        <v>1.1000000000000001E-3</v>
      </c>
      <c r="J2009" t="s">
        <v>90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</row>
    <row r="2010" spans="1:20">
      <c r="A2010">
        <f t="shared" si="30"/>
        <v>2009</v>
      </c>
      <c r="B2010" t="s">
        <v>89</v>
      </c>
      <c r="C2010">
        <v>323.14999999999998</v>
      </c>
      <c r="D2010">
        <v>200</v>
      </c>
      <c r="E2010">
        <v>0</v>
      </c>
      <c r="F2010">
        <v>8.9999999999999998E-4</v>
      </c>
      <c r="J2010" t="s">
        <v>90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</row>
    <row r="2011" spans="1:20">
      <c r="A2011">
        <f t="shared" si="30"/>
        <v>2010</v>
      </c>
      <c r="B2011" t="s">
        <v>89</v>
      </c>
      <c r="C2011">
        <v>323.14999999999998</v>
      </c>
      <c r="D2011">
        <v>202.95</v>
      </c>
      <c r="E2011">
        <v>0</v>
      </c>
      <c r="F2011">
        <v>8.0000000000000004E-4</v>
      </c>
      <c r="J2011">
        <v>2.5399999999999999E-2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</row>
    <row r="2012" spans="1:20">
      <c r="A2012">
        <f t="shared" si="30"/>
        <v>2011</v>
      </c>
      <c r="B2012" t="s">
        <v>89</v>
      </c>
      <c r="C2012">
        <v>323.14999999999998</v>
      </c>
      <c r="D2012">
        <v>250</v>
      </c>
      <c r="E2012">
        <v>0</v>
      </c>
      <c r="F2012">
        <v>8.0000000000000004E-4</v>
      </c>
      <c r="J2012" t="s">
        <v>90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</row>
    <row r="2013" spans="1:20">
      <c r="A2013">
        <f t="shared" si="30"/>
        <v>2012</v>
      </c>
      <c r="B2013" t="s">
        <v>89</v>
      </c>
      <c r="C2013">
        <v>323.14999999999998</v>
      </c>
      <c r="D2013">
        <v>300</v>
      </c>
      <c r="E2013">
        <v>0</v>
      </c>
      <c r="F2013">
        <v>7.000000000000001E-4</v>
      </c>
      <c r="J2013" t="s">
        <v>90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</row>
    <row r="2014" spans="1:20">
      <c r="A2014">
        <f t="shared" si="30"/>
        <v>2013</v>
      </c>
      <c r="B2014" t="s">
        <v>89</v>
      </c>
      <c r="C2014">
        <v>323.14999999999998</v>
      </c>
      <c r="D2014">
        <v>405.05</v>
      </c>
      <c r="E2014">
        <v>0</v>
      </c>
      <c r="F2014">
        <v>5.0000000000000001E-4</v>
      </c>
      <c r="J2014">
        <v>4.9200000000000001E-2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</row>
    <row r="2015" spans="1:20">
      <c r="A2015">
        <f t="shared" si="30"/>
        <v>2014</v>
      </c>
      <c r="B2015" t="s">
        <v>89</v>
      </c>
      <c r="C2015">
        <v>343.15</v>
      </c>
      <c r="D2015">
        <v>50</v>
      </c>
      <c r="E2015">
        <v>0</v>
      </c>
      <c r="F2015">
        <v>6.6E-3</v>
      </c>
      <c r="J2015" t="s">
        <v>90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</row>
    <row r="2016" spans="1:20">
      <c r="A2016">
        <f t="shared" si="30"/>
        <v>2015</v>
      </c>
      <c r="B2016" t="s">
        <v>89</v>
      </c>
      <c r="C2016">
        <v>343.15</v>
      </c>
      <c r="D2016">
        <v>100.57</v>
      </c>
      <c r="E2016">
        <v>0</v>
      </c>
      <c r="F2016">
        <v>3.5999999999999999E-3</v>
      </c>
      <c r="J2016" t="s">
        <v>90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</row>
    <row r="2017" spans="1:20">
      <c r="A2017">
        <f t="shared" si="30"/>
        <v>2016</v>
      </c>
      <c r="B2017" t="s">
        <v>89</v>
      </c>
      <c r="C2017">
        <v>343.15</v>
      </c>
      <c r="D2017">
        <v>150</v>
      </c>
      <c r="E2017">
        <v>0</v>
      </c>
      <c r="F2017">
        <v>2.5999999999999999E-3</v>
      </c>
      <c r="J2017" t="s">
        <v>90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</row>
    <row r="2018" spans="1:20">
      <c r="A2018">
        <f t="shared" si="30"/>
        <v>2017</v>
      </c>
      <c r="B2018" t="s">
        <v>89</v>
      </c>
      <c r="C2018">
        <v>343.15</v>
      </c>
      <c r="D2018">
        <v>200</v>
      </c>
      <c r="E2018">
        <v>0</v>
      </c>
      <c r="F2018">
        <v>2.0999999999999999E-3</v>
      </c>
      <c r="J2018" t="s">
        <v>90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</row>
    <row r="2019" spans="1:20">
      <c r="A2019">
        <f t="shared" si="30"/>
        <v>2018</v>
      </c>
      <c r="B2019" t="s">
        <v>89</v>
      </c>
      <c r="C2019">
        <v>343.15</v>
      </c>
      <c r="D2019">
        <v>250</v>
      </c>
      <c r="E2019">
        <v>0</v>
      </c>
      <c r="F2019">
        <v>1.8E-3</v>
      </c>
      <c r="J2019" t="s">
        <v>90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</row>
    <row r="2020" spans="1:20">
      <c r="A2020">
        <f t="shared" si="30"/>
        <v>2019</v>
      </c>
      <c r="B2020" t="s">
        <v>89</v>
      </c>
      <c r="C2020">
        <v>343.15</v>
      </c>
      <c r="D2020">
        <v>300</v>
      </c>
      <c r="E2020">
        <v>0</v>
      </c>
      <c r="F2020">
        <v>1.6000000000000001E-3</v>
      </c>
      <c r="J2020" t="s">
        <v>90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</row>
    <row r="2021" spans="1:20">
      <c r="A2021">
        <f t="shared" si="30"/>
        <v>2020</v>
      </c>
      <c r="B2021" t="s">
        <v>89</v>
      </c>
      <c r="C2021">
        <v>348.15</v>
      </c>
      <c r="D2021">
        <v>25</v>
      </c>
      <c r="E2021">
        <v>0</v>
      </c>
      <c r="F2021" t="s">
        <v>90</v>
      </c>
      <c r="J2021">
        <v>3.3E-3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</row>
    <row r="2022" spans="1:20">
      <c r="A2022">
        <f t="shared" ref="A2022:A2085" si="31">A2021+1</f>
        <v>2021</v>
      </c>
      <c r="B2022" t="s">
        <v>89</v>
      </c>
      <c r="C2022">
        <v>348.15</v>
      </c>
      <c r="D2022">
        <v>51</v>
      </c>
      <c r="E2022">
        <v>0</v>
      </c>
      <c r="F2022" t="s">
        <v>90</v>
      </c>
      <c r="J2022">
        <v>6.6E-3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</row>
    <row r="2023" spans="1:20">
      <c r="A2023">
        <f t="shared" si="31"/>
        <v>2022</v>
      </c>
      <c r="B2023" t="s">
        <v>89</v>
      </c>
      <c r="C2023">
        <v>348.15</v>
      </c>
      <c r="D2023">
        <v>100.57</v>
      </c>
      <c r="E2023">
        <v>0</v>
      </c>
      <c r="F2023" t="s">
        <v>90</v>
      </c>
      <c r="J2023">
        <v>1.32E-2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</row>
    <row r="2024" spans="1:20">
      <c r="A2024">
        <f t="shared" si="31"/>
        <v>2023</v>
      </c>
      <c r="B2024" t="s">
        <v>89</v>
      </c>
      <c r="C2024">
        <v>348.15</v>
      </c>
      <c r="D2024">
        <v>202.95</v>
      </c>
      <c r="E2024">
        <v>0</v>
      </c>
      <c r="F2024" t="s">
        <v>90</v>
      </c>
      <c r="J2024">
        <v>2.6000000000000002E-2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</row>
    <row r="2025" spans="1:20">
      <c r="A2025">
        <f t="shared" si="31"/>
        <v>2024</v>
      </c>
      <c r="B2025" t="s">
        <v>89</v>
      </c>
      <c r="C2025">
        <v>348.15</v>
      </c>
      <c r="D2025">
        <v>405.05</v>
      </c>
      <c r="E2025">
        <v>0</v>
      </c>
      <c r="F2025" t="s">
        <v>90</v>
      </c>
      <c r="J2025">
        <v>5.04E-2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</row>
    <row r="2026" spans="1:20">
      <c r="A2026">
        <f t="shared" si="31"/>
        <v>2025</v>
      </c>
      <c r="B2026" t="s">
        <v>89</v>
      </c>
      <c r="C2026">
        <v>366.48</v>
      </c>
      <c r="D2026">
        <v>3.4</v>
      </c>
      <c r="E2026">
        <v>0</v>
      </c>
      <c r="F2026">
        <v>0.247</v>
      </c>
      <c r="J2026">
        <v>4.0000000000000002E-4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</row>
    <row r="2027" spans="1:20">
      <c r="A2027">
        <f t="shared" si="31"/>
        <v>2026</v>
      </c>
      <c r="B2027" t="s">
        <v>89</v>
      </c>
      <c r="C2027">
        <v>366.48</v>
      </c>
      <c r="D2027">
        <v>13.8</v>
      </c>
      <c r="E2027">
        <v>0</v>
      </c>
      <c r="F2027">
        <v>5.7000000000000002E-2</v>
      </c>
      <c r="J2027">
        <v>1.9E-3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</row>
    <row r="2028" spans="1:20">
      <c r="A2028">
        <f t="shared" si="31"/>
        <v>2027</v>
      </c>
      <c r="B2028" t="s">
        <v>89</v>
      </c>
      <c r="C2028">
        <v>366.48</v>
      </c>
      <c r="D2028">
        <v>27.6</v>
      </c>
      <c r="E2028">
        <v>0</v>
      </c>
      <c r="F2028">
        <v>3.0800000000000001E-2</v>
      </c>
      <c r="J2028">
        <v>3.7000000000000002E-3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</row>
    <row r="2029" spans="1:20">
      <c r="A2029">
        <f t="shared" si="31"/>
        <v>2028</v>
      </c>
      <c r="B2029" t="s">
        <v>89</v>
      </c>
      <c r="C2029">
        <v>366.48</v>
      </c>
      <c r="D2029">
        <v>31</v>
      </c>
      <c r="E2029">
        <v>0</v>
      </c>
      <c r="F2029">
        <v>2.64E-2</v>
      </c>
      <c r="J2029">
        <v>4.3E-3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</row>
    <row r="2030" spans="1:20">
      <c r="A2030">
        <f t="shared" si="31"/>
        <v>2029</v>
      </c>
      <c r="B2030" t="s">
        <v>89</v>
      </c>
      <c r="C2030">
        <v>366.48</v>
      </c>
      <c r="D2030">
        <v>55.13</v>
      </c>
      <c r="E2030">
        <v>0</v>
      </c>
      <c r="F2030">
        <v>1.6299999999999999E-2</v>
      </c>
      <c r="J2030">
        <v>7.4999999999999997E-3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</row>
    <row r="2031" spans="1:20">
      <c r="A2031">
        <f t="shared" si="31"/>
        <v>2030</v>
      </c>
      <c r="B2031" t="s">
        <v>89</v>
      </c>
      <c r="C2031">
        <v>366.48</v>
      </c>
      <c r="D2031">
        <v>65.5</v>
      </c>
      <c r="E2031">
        <v>0</v>
      </c>
      <c r="F2031">
        <v>1.32E-2</v>
      </c>
      <c r="J2031">
        <v>8.8999999999999999E-3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</row>
    <row r="2032" spans="1:20">
      <c r="A2032">
        <f t="shared" si="31"/>
        <v>2031</v>
      </c>
      <c r="B2032" t="s">
        <v>89</v>
      </c>
      <c r="C2032">
        <v>366.48</v>
      </c>
      <c r="D2032">
        <v>110.3</v>
      </c>
      <c r="E2032">
        <v>0</v>
      </c>
      <c r="F2032">
        <v>6.5000000000000006E-3</v>
      </c>
      <c r="J2032">
        <v>1.4999999999999999E-2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</row>
    <row r="2033" spans="1:20">
      <c r="A2033">
        <f t="shared" si="31"/>
        <v>2032</v>
      </c>
      <c r="B2033" t="s">
        <v>89</v>
      </c>
      <c r="C2033">
        <v>366.48</v>
      </c>
      <c r="D2033">
        <v>137.9</v>
      </c>
      <c r="E2033">
        <v>0</v>
      </c>
      <c r="F2033">
        <v>6.7000000000000002E-3</v>
      </c>
      <c r="J2033">
        <v>1.84E-2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</row>
    <row r="2034" spans="1:20">
      <c r="A2034">
        <f t="shared" si="31"/>
        <v>2033</v>
      </c>
      <c r="B2034" t="s">
        <v>89</v>
      </c>
      <c r="C2034">
        <v>373.15</v>
      </c>
      <c r="D2034">
        <v>21</v>
      </c>
      <c r="E2034">
        <v>0</v>
      </c>
      <c r="F2034" t="s">
        <v>90</v>
      </c>
      <c r="J2034">
        <v>3.0000000000000001E-3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</row>
    <row r="2035" spans="1:20">
      <c r="A2035">
        <f t="shared" si="31"/>
        <v>2034</v>
      </c>
      <c r="B2035" t="s">
        <v>89</v>
      </c>
      <c r="C2035">
        <v>373.15</v>
      </c>
      <c r="D2035">
        <v>25</v>
      </c>
      <c r="E2035">
        <v>0</v>
      </c>
      <c r="F2035" t="s">
        <v>90</v>
      </c>
      <c r="J2035">
        <v>3.7000000000000002E-3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</row>
    <row r="2036" spans="1:20">
      <c r="A2036">
        <f t="shared" si="31"/>
        <v>2035</v>
      </c>
      <c r="B2036" t="s">
        <v>89</v>
      </c>
      <c r="C2036">
        <v>373.15</v>
      </c>
      <c r="D2036">
        <v>31</v>
      </c>
      <c r="E2036">
        <v>0</v>
      </c>
      <c r="F2036" t="s">
        <v>90</v>
      </c>
      <c r="J2036">
        <v>4.5000000000000005E-3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</row>
    <row r="2037" spans="1:20">
      <c r="A2037">
        <f t="shared" si="31"/>
        <v>2036</v>
      </c>
      <c r="B2037" t="s">
        <v>89</v>
      </c>
      <c r="C2037">
        <v>373.15</v>
      </c>
      <c r="D2037">
        <v>42</v>
      </c>
      <c r="E2037">
        <v>0</v>
      </c>
      <c r="F2037" t="s">
        <v>90</v>
      </c>
      <c r="J2037">
        <v>5.6000000000000008E-3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</row>
    <row r="2038" spans="1:20">
      <c r="A2038">
        <f t="shared" si="31"/>
        <v>2037</v>
      </c>
      <c r="B2038" t="s">
        <v>89</v>
      </c>
      <c r="C2038">
        <v>373.15</v>
      </c>
      <c r="D2038">
        <v>51</v>
      </c>
      <c r="E2038">
        <v>0</v>
      </c>
      <c r="F2038" t="s">
        <v>90</v>
      </c>
      <c r="J2038">
        <v>7.3000000000000001E-3</v>
      </c>
      <c r="N2038">
        <v>0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</row>
    <row r="2039" spans="1:20">
      <c r="A2039">
        <f t="shared" si="31"/>
        <v>2038</v>
      </c>
      <c r="B2039" t="s">
        <v>89</v>
      </c>
      <c r="C2039">
        <v>373.15</v>
      </c>
      <c r="D2039">
        <v>57</v>
      </c>
      <c r="E2039">
        <v>0</v>
      </c>
      <c r="F2039" t="s">
        <v>90</v>
      </c>
      <c r="J2039">
        <v>8.199999999999999E-3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</row>
    <row r="2040" spans="1:20">
      <c r="A2040">
        <f t="shared" si="31"/>
        <v>2039</v>
      </c>
      <c r="B2040" t="s">
        <v>89</v>
      </c>
      <c r="C2040">
        <v>373.15</v>
      </c>
      <c r="D2040">
        <v>62</v>
      </c>
      <c r="E2040">
        <v>0</v>
      </c>
      <c r="F2040" t="s">
        <v>90</v>
      </c>
      <c r="J2040">
        <v>8.199999999999999E-3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</row>
    <row r="2041" spans="1:20">
      <c r="A2041">
        <f t="shared" si="31"/>
        <v>2040</v>
      </c>
      <c r="B2041" t="s">
        <v>89</v>
      </c>
      <c r="C2041">
        <v>373.15</v>
      </c>
      <c r="D2041">
        <v>82</v>
      </c>
      <c r="E2041">
        <v>0</v>
      </c>
      <c r="F2041" t="s">
        <v>90</v>
      </c>
      <c r="J2041">
        <v>1.0800000000000001E-2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</row>
    <row r="2042" spans="1:20">
      <c r="A2042">
        <f t="shared" si="31"/>
        <v>2041</v>
      </c>
      <c r="B2042" t="s">
        <v>89</v>
      </c>
      <c r="C2042">
        <v>373.15</v>
      </c>
      <c r="D2042">
        <v>100.57</v>
      </c>
      <c r="E2042">
        <v>0</v>
      </c>
      <c r="F2042" t="s">
        <v>90</v>
      </c>
      <c r="J2042">
        <v>1.4499999999999999E-2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</row>
    <row r="2043" spans="1:20">
      <c r="A2043">
        <f t="shared" si="31"/>
        <v>2042</v>
      </c>
      <c r="B2043" t="s">
        <v>89</v>
      </c>
      <c r="C2043">
        <v>373.15</v>
      </c>
      <c r="D2043">
        <v>102</v>
      </c>
      <c r="E2043">
        <v>0</v>
      </c>
      <c r="F2043" t="s">
        <v>90</v>
      </c>
      <c r="J2043">
        <v>1.32E-2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</row>
    <row r="2044" spans="1:20">
      <c r="A2044">
        <f t="shared" si="31"/>
        <v>2043</v>
      </c>
      <c r="B2044" t="s">
        <v>89</v>
      </c>
      <c r="C2044">
        <v>373.15</v>
      </c>
      <c r="D2044">
        <v>120.9</v>
      </c>
      <c r="E2044">
        <v>0</v>
      </c>
      <c r="F2044" t="s">
        <v>90</v>
      </c>
      <c r="J2044">
        <v>1.7500000000000002E-2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</row>
    <row r="2045" spans="1:20">
      <c r="A2045">
        <f t="shared" si="31"/>
        <v>2044</v>
      </c>
      <c r="B2045" t="s">
        <v>89</v>
      </c>
      <c r="C2045">
        <v>373.15</v>
      </c>
      <c r="D2045">
        <v>153.69999999999999</v>
      </c>
      <c r="E2045">
        <v>0</v>
      </c>
      <c r="F2045" t="s">
        <v>90</v>
      </c>
      <c r="J2045">
        <v>2.23E-2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</row>
    <row r="2046" spans="1:20">
      <c r="A2046">
        <f t="shared" si="31"/>
        <v>2045</v>
      </c>
      <c r="B2046" t="s">
        <v>89</v>
      </c>
      <c r="C2046">
        <v>373.15</v>
      </c>
      <c r="D2046">
        <v>202.95</v>
      </c>
      <c r="E2046">
        <v>0</v>
      </c>
      <c r="F2046" t="s">
        <v>90</v>
      </c>
      <c r="J2046">
        <v>2.8500000000000001E-2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</row>
    <row r="2047" spans="1:20">
      <c r="A2047">
        <f t="shared" si="31"/>
        <v>2046</v>
      </c>
      <c r="B2047" t="s">
        <v>89</v>
      </c>
      <c r="C2047">
        <v>373.15</v>
      </c>
      <c r="D2047">
        <v>405.05</v>
      </c>
      <c r="E2047">
        <v>0</v>
      </c>
      <c r="F2047" t="s">
        <v>90</v>
      </c>
      <c r="J2047">
        <v>5.4600000000000003E-2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</row>
    <row r="2048" spans="1:20">
      <c r="A2048">
        <f t="shared" si="31"/>
        <v>2047</v>
      </c>
      <c r="B2048" t="s">
        <v>89</v>
      </c>
      <c r="C2048">
        <v>398.15</v>
      </c>
      <c r="D2048">
        <v>23</v>
      </c>
      <c r="E2048">
        <v>0</v>
      </c>
      <c r="F2048" t="s">
        <v>90</v>
      </c>
      <c r="J2048">
        <v>3.4000000000000002E-3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</row>
    <row r="2049" spans="1:20">
      <c r="A2049">
        <f t="shared" si="31"/>
        <v>2048</v>
      </c>
      <c r="B2049" t="s">
        <v>89</v>
      </c>
      <c r="C2049">
        <v>398.15</v>
      </c>
      <c r="D2049">
        <v>33</v>
      </c>
      <c r="E2049">
        <v>0</v>
      </c>
      <c r="F2049" t="s">
        <v>90</v>
      </c>
      <c r="J2049">
        <v>5.0000000000000001E-3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</row>
    <row r="2050" spans="1:20">
      <c r="A2050">
        <f t="shared" si="31"/>
        <v>2049</v>
      </c>
      <c r="B2050" t="s">
        <v>89</v>
      </c>
      <c r="C2050">
        <v>398.15</v>
      </c>
      <c r="D2050">
        <v>43</v>
      </c>
      <c r="E2050">
        <v>0</v>
      </c>
      <c r="F2050" t="s">
        <v>90</v>
      </c>
      <c r="J2050">
        <v>6.5000000000000006E-3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</row>
    <row r="2051" spans="1:20">
      <c r="A2051">
        <f t="shared" si="31"/>
        <v>2050</v>
      </c>
      <c r="B2051" t="s">
        <v>89</v>
      </c>
      <c r="C2051">
        <v>398.15</v>
      </c>
      <c r="D2051">
        <v>51.96</v>
      </c>
      <c r="E2051">
        <v>0</v>
      </c>
      <c r="F2051" t="s">
        <v>90</v>
      </c>
      <c r="J2051">
        <v>7.1999999999999998E-3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</row>
    <row r="2052" spans="1:20">
      <c r="A2052">
        <f t="shared" si="31"/>
        <v>2051</v>
      </c>
      <c r="B2052" t="s">
        <v>89</v>
      </c>
      <c r="C2052">
        <v>398.15</v>
      </c>
      <c r="D2052">
        <v>63</v>
      </c>
      <c r="E2052">
        <v>0</v>
      </c>
      <c r="F2052" t="s">
        <v>90</v>
      </c>
      <c r="J2052">
        <v>9.300000000000001E-3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</row>
    <row r="2053" spans="1:20">
      <c r="A2053">
        <f t="shared" si="31"/>
        <v>2052</v>
      </c>
      <c r="B2053" t="s">
        <v>89</v>
      </c>
      <c r="C2053">
        <v>398.15</v>
      </c>
      <c r="D2053">
        <v>82</v>
      </c>
      <c r="E2053">
        <v>0</v>
      </c>
      <c r="F2053" t="s">
        <v>90</v>
      </c>
      <c r="J2053">
        <v>1.1299999999999999E-2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</row>
    <row r="2054" spans="1:20">
      <c r="A2054">
        <f t="shared" si="31"/>
        <v>2053</v>
      </c>
      <c r="B2054" t="s">
        <v>89</v>
      </c>
      <c r="C2054">
        <v>398.15</v>
      </c>
      <c r="D2054">
        <v>83</v>
      </c>
      <c r="E2054">
        <v>0</v>
      </c>
      <c r="F2054" t="s">
        <v>90</v>
      </c>
      <c r="J2054">
        <v>1.21E-2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</row>
    <row r="2055" spans="1:20">
      <c r="A2055">
        <f t="shared" si="31"/>
        <v>2054</v>
      </c>
      <c r="B2055" t="s">
        <v>89</v>
      </c>
      <c r="C2055">
        <v>398.15</v>
      </c>
      <c r="D2055">
        <v>87.05</v>
      </c>
      <c r="E2055">
        <v>0</v>
      </c>
      <c r="F2055" t="s">
        <v>90</v>
      </c>
      <c r="J2055">
        <v>1.21E-2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</row>
    <row r="2056" spans="1:20">
      <c r="A2056">
        <f t="shared" si="31"/>
        <v>2055</v>
      </c>
      <c r="B2056" t="s">
        <v>89</v>
      </c>
      <c r="C2056">
        <v>398.15</v>
      </c>
      <c r="D2056">
        <v>102</v>
      </c>
      <c r="E2056">
        <v>0</v>
      </c>
      <c r="F2056" t="s">
        <v>90</v>
      </c>
      <c r="J2056">
        <v>1.43E-2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</row>
    <row r="2057" spans="1:20">
      <c r="A2057">
        <f t="shared" si="31"/>
        <v>2056</v>
      </c>
      <c r="B2057" t="s">
        <v>89</v>
      </c>
      <c r="C2057">
        <v>422.89</v>
      </c>
      <c r="D2057">
        <v>21</v>
      </c>
      <c r="E2057">
        <v>0</v>
      </c>
      <c r="F2057" t="s">
        <v>90</v>
      </c>
      <c r="J2057">
        <v>3.3E-3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</row>
    <row r="2058" spans="1:20">
      <c r="A2058">
        <f t="shared" si="31"/>
        <v>2057</v>
      </c>
      <c r="B2058" t="s">
        <v>89</v>
      </c>
      <c r="C2058">
        <v>422.89</v>
      </c>
      <c r="D2058">
        <v>30</v>
      </c>
      <c r="E2058">
        <v>0</v>
      </c>
      <c r="F2058" t="s">
        <v>90</v>
      </c>
      <c r="J2058">
        <v>5.0000000000000001E-3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</row>
    <row r="2059" spans="1:20">
      <c r="A2059">
        <f t="shared" si="31"/>
        <v>2058</v>
      </c>
      <c r="B2059" t="s">
        <v>89</v>
      </c>
      <c r="C2059">
        <v>422.89</v>
      </c>
      <c r="D2059">
        <v>31</v>
      </c>
      <c r="E2059">
        <v>0</v>
      </c>
      <c r="F2059">
        <v>0.157</v>
      </c>
      <c r="J2059">
        <v>4.6999999999999993E-3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</row>
    <row r="2060" spans="1:20">
      <c r="A2060">
        <f t="shared" si="31"/>
        <v>2059</v>
      </c>
      <c r="B2060" t="s">
        <v>89</v>
      </c>
      <c r="C2060">
        <v>422.89</v>
      </c>
      <c r="D2060">
        <v>40</v>
      </c>
      <c r="E2060">
        <v>0</v>
      </c>
      <c r="F2060" t="s">
        <v>90</v>
      </c>
      <c r="J2060">
        <v>6.6E-3</v>
      </c>
      <c r="N2060">
        <v>0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</row>
    <row r="2061" spans="1:20">
      <c r="A2061">
        <f t="shared" si="31"/>
        <v>2060</v>
      </c>
      <c r="B2061" t="s">
        <v>89</v>
      </c>
      <c r="C2061">
        <v>422.89</v>
      </c>
      <c r="D2061">
        <v>42</v>
      </c>
      <c r="E2061">
        <v>0</v>
      </c>
      <c r="F2061" t="s">
        <v>90</v>
      </c>
      <c r="J2061">
        <v>6.0000000000000001E-3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</row>
    <row r="2062" spans="1:20">
      <c r="A2062">
        <f t="shared" si="31"/>
        <v>2061</v>
      </c>
      <c r="B2062" t="s">
        <v>89</v>
      </c>
      <c r="C2062">
        <v>422.89</v>
      </c>
      <c r="D2062">
        <v>50</v>
      </c>
      <c r="E2062">
        <v>0</v>
      </c>
      <c r="F2062">
        <v>0.106</v>
      </c>
      <c r="J2062" t="s">
        <v>90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</row>
    <row r="2063" spans="1:20">
      <c r="A2063">
        <f t="shared" si="31"/>
        <v>2062</v>
      </c>
      <c r="B2063" t="s">
        <v>89</v>
      </c>
      <c r="C2063">
        <v>422.89</v>
      </c>
      <c r="D2063">
        <v>51.96</v>
      </c>
      <c r="E2063">
        <v>0</v>
      </c>
      <c r="F2063" t="s">
        <v>90</v>
      </c>
      <c r="J2063">
        <v>8.3999999999999995E-3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</row>
    <row r="2064" spans="1:20">
      <c r="A2064">
        <f t="shared" si="31"/>
        <v>2063</v>
      </c>
      <c r="B2064" t="s">
        <v>89</v>
      </c>
      <c r="C2064">
        <v>422.89</v>
      </c>
      <c r="D2064">
        <v>54.3</v>
      </c>
      <c r="E2064">
        <v>0</v>
      </c>
      <c r="F2064" t="s">
        <v>90</v>
      </c>
      <c r="J2064">
        <v>9.7999999999999997E-3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</row>
    <row r="2065" spans="1:20">
      <c r="A2065">
        <f t="shared" si="31"/>
        <v>2064</v>
      </c>
      <c r="B2065" t="s">
        <v>89</v>
      </c>
      <c r="C2065">
        <v>422.89</v>
      </c>
      <c r="D2065">
        <v>55.13</v>
      </c>
      <c r="E2065">
        <v>0</v>
      </c>
      <c r="F2065" t="s">
        <v>90</v>
      </c>
      <c r="J2065">
        <v>8.8000000000000005E-3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</row>
    <row r="2066" spans="1:20">
      <c r="A2066">
        <f t="shared" si="31"/>
        <v>2065</v>
      </c>
      <c r="B2066" t="s">
        <v>89</v>
      </c>
      <c r="C2066">
        <v>422.89</v>
      </c>
      <c r="D2066">
        <v>62</v>
      </c>
      <c r="E2066">
        <v>0</v>
      </c>
      <c r="F2066" t="s">
        <v>90</v>
      </c>
      <c r="J2066">
        <v>9.3999999999999986E-3</v>
      </c>
      <c r="N2066">
        <v>0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</row>
    <row r="2067" spans="1:20">
      <c r="A2067">
        <f t="shared" si="31"/>
        <v>2066</v>
      </c>
      <c r="B2067" t="s">
        <v>89</v>
      </c>
      <c r="C2067">
        <v>422.89</v>
      </c>
      <c r="D2067">
        <v>65.5</v>
      </c>
      <c r="E2067">
        <v>0</v>
      </c>
      <c r="F2067">
        <v>7.5300000000000006E-2</v>
      </c>
      <c r="J2067">
        <v>1.1599999999999999E-2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</row>
    <row r="2068" spans="1:20">
      <c r="A2068">
        <f t="shared" si="31"/>
        <v>2067</v>
      </c>
      <c r="B2068" t="s">
        <v>89</v>
      </c>
      <c r="C2068">
        <v>422.89</v>
      </c>
      <c r="D2068">
        <v>75.97</v>
      </c>
      <c r="E2068">
        <v>0</v>
      </c>
      <c r="F2068" t="s">
        <v>90</v>
      </c>
      <c r="J2068">
        <v>1.2500000000000001E-2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</row>
    <row r="2069" spans="1:20">
      <c r="A2069">
        <f t="shared" si="31"/>
        <v>2068</v>
      </c>
      <c r="B2069" t="s">
        <v>89</v>
      </c>
      <c r="C2069">
        <v>422.89</v>
      </c>
      <c r="D2069">
        <v>82</v>
      </c>
      <c r="E2069">
        <v>0</v>
      </c>
      <c r="F2069" t="s">
        <v>90</v>
      </c>
      <c r="J2069">
        <v>1.34E-2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</row>
    <row r="2070" spans="1:20">
      <c r="A2070">
        <f t="shared" si="31"/>
        <v>2069</v>
      </c>
      <c r="B2070" t="s">
        <v>89</v>
      </c>
      <c r="C2070">
        <v>422.89</v>
      </c>
      <c r="D2070">
        <v>87.05</v>
      </c>
      <c r="E2070">
        <v>0</v>
      </c>
      <c r="F2070" t="s">
        <v>90</v>
      </c>
      <c r="J2070">
        <v>1.6E-2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</row>
    <row r="2071" spans="1:20">
      <c r="A2071">
        <f t="shared" si="31"/>
        <v>2070</v>
      </c>
      <c r="B2071" t="s">
        <v>89</v>
      </c>
      <c r="C2071">
        <v>422.89</v>
      </c>
      <c r="D2071">
        <v>100.57</v>
      </c>
      <c r="E2071">
        <v>0</v>
      </c>
      <c r="F2071">
        <v>0.06</v>
      </c>
      <c r="J2071" t="s">
        <v>90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</row>
    <row r="2072" spans="1:20">
      <c r="A2072">
        <f t="shared" si="31"/>
        <v>2071</v>
      </c>
      <c r="B2072" t="s">
        <v>89</v>
      </c>
      <c r="C2072">
        <v>422.89</v>
      </c>
      <c r="D2072">
        <v>103.4</v>
      </c>
      <c r="E2072">
        <v>0</v>
      </c>
      <c r="F2072">
        <v>5.1299999999999998E-2</v>
      </c>
      <c r="J2072">
        <v>1.8799999999999997E-2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</row>
    <row r="2073" spans="1:20">
      <c r="A2073">
        <f t="shared" si="31"/>
        <v>2072</v>
      </c>
      <c r="B2073" t="s">
        <v>89</v>
      </c>
      <c r="C2073">
        <v>422.89</v>
      </c>
      <c r="D2073">
        <v>150</v>
      </c>
      <c r="E2073">
        <v>0</v>
      </c>
      <c r="F2073">
        <v>4.4000000000000004E-2</v>
      </c>
      <c r="J2073" t="s">
        <v>90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</row>
    <row r="2074" spans="1:20">
      <c r="A2074">
        <f t="shared" si="31"/>
        <v>2073</v>
      </c>
      <c r="B2074" t="s">
        <v>89</v>
      </c>
      <c r="C2074">
        <v>422.89</v>
      </c>
      <c r="D2074">
        <v>200</v>
      </c>
      <c r="E2074">
        <v>0</v>
      </c>
      <c r="F2074">
        <v>3.6000000000000004E-2</v>
      </c>
      <c r="J2074" t="s">
        <v>90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</row>
    <row r="2075" spans="1:20">
      <c r="A2075">
        <f t="shared" si="31"/>
        <v>2074</v>
      </c>
      <c r="B2075" t="s">
        <v>89</v>
      </c>
      <c r="C2075">
        <v>422.89</v>
      </c>
      <c r="D2075">
        <v>250</v>
      </c>
      <c r="F2075">
        <v>3.1200000000000002E-2</v>
      </c>
      <c r="J2075" t="s">
        <v>90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</row>
    <row r="2076" spans="1:20">
      <c r="A2076">
        <f t="shared" si="31"/>
        <v>2075</v>
      </c>
      <c r="B2076" t="s">
        <v>89</v>
      </c>
      <c r="C2076">
        <v>422.89</v>
      </c>
      <c r="D2076">
        <v>300</v>
      </c>
      <c r="F2076">
        <v>2.8300000000000002E-2</v>
      </c>
      <c r="J2076" t="s">
        <v>90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</row>
    <row r="2077" spans="1:20">
      <c r="A2077">
        <f t="shared" si="31"/>
        <v>2076</v>
      </c>
      <c r="B2077" t="s">
        <v>89</v>
      </c>
      <c r="C2077">
        <v>448.15</v>
      </c>
      <c r="D2077">
        <v>22</v>
      </c>
      <c r="F2077" t="s">
        <v>90</v>
      </c>
      <c r="J2077">
        <v>3.3E-3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</row>
    <row r="2078" spans="1:20">
      <c r="A2078">
        <f t="shared" si="31"/>
        <v>2077</v>
      </c>
      <c r="B2078" t="s">
        <v>89</v>
      </c>
      <c r="C2078">
        <v>448.15</v>
      </c>
      <c r="D2078">
        <v>29</v>
      </c>
      <c r="F2078" t="s">
        <v>90</v>
      </c>
      <c r="J2078">
        <v>4.7999999999999996E-3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</row>
    <row r="2079" spans="1:20">
      <c r="A2079">
        <f t="shared" si="31"/>
        <v>2078</v>
      </c>
      <c r="B2079" t="s">
        <v>89</v>
      </c>
      <c r="C2079">
        <v>448.15</v>
      </c>
      <c r="D2079">
        <v>39</v>
      </c>
      <c r="F2079" t="s">
        <v>90</v>
      </c>
      <c r="J2079">
        <v>6.6E-3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</row>
    <row r="2080" spans="1:20">
      <c r="A2080">
        <f t="shared" si="31"/>
        <v>2079</v>
      </c>
      <c r="B2080" t="s">
        <v>89</v>
      </c>
      <c r="C2080">
        <v>448.15</v>
      </c>
      <c r="D2080">
        <v>50</v>
      </c>
      <c r="F2080">
        <v>0.20600000000000002</v>
      </c>
      <c r="J2080" t="s">
        <v>90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</row>
    <row r="2081" spans="1:20">
      <c r="A2081">
        <f t="shared" si="31"/>
        <v>2080</v>
      </c>
      <c r="B2081" t="s">
        <v>89</v>
      </c>
      <c r="C2081">
        <v>448.15</v>
      </c>
      <c r="D2081">
        <v>51.96</v>
      </c>
      <c r="F2081" t="s">
        <v>90</v>
      </c>
      <c r="J2081">
        <v>7.4999999999999997E-3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</row>
    <row r="2082" spans="1:20">
      <c r="A2082">
        <f t="shared" si="31"/>
        <v>2081</v>
      </c>
      <c r="B2082" t="s">
        <v>89</v>
      </c>
      <c r="C2082">
        <v>448.15</v>
      </c>
      <c r="D2082">
        <v>60.15</v>
      </c>
      <c r="F2082" t="s">
        <v>90</v>
      </c>
      <c r="J2082">
        <v>9.5999999999999992E-3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</row>
    <row r="2083" spans="1:20">
      <c r="A2083">
        <f t="shared" si="31"/>
        <v>2082</v>
      </c>
      <c r="B2083" t="s">
        <v>89</v>
      </c>
      <c r="C2083">
        <v>448.15</v>
      </c>
      <c r="D2083">
        <v>62</v>
      </c>
      <c r="F2083" t="s">
        <v>90</v>
      </c>
      <c r="J2083">
        <v>9.3999999999999986E-3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</row>
    <row r="2084" spans="1:20">
      <c r="A2084">
        <f t="shared" si="31"/>
        <v>2083</v>
      </c>
      <c r="B2084" t="s">
        <v>89</v>
      </c>
      <c r="C2084">
        <v>448.15</v>
      </c>
      <c r="D2084">
        <v>80</v>
      </c>
      <c r="F2084" t="s">
        <v>90</v>
      </c>
      <c r="J2084">
        <v>1.24E-2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</row>
    <row r="2085" spans="1:20">
      <c r="A2085">
        <f t="shared" si="31"/>
        <v>2084</v>
      </c>
      <c r="B2085" t="s">
        <v>89</v>
      </c>
      <c r="C2085">
        <v>448.15</v>
      </c>
      <c r="D2085">
        <v>100.57</v>
      </c>
      <c r="F2085">
        <v>0.121</v>
      </c>
      <c r="J2085" t="s">
        <v>90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</row>
    <row r="2086" spans="1:20">
      <c r="A2086">
        <f t="shared" ref="A2086:A2149" si="32">A2085+1</f>
        <v>2085</v>
      </c>
      <c r="B2086" t="s">
        <v>89</v>
      </c>
      <c r="C2086">
        <v>448.15</v>
      </c>
      <c r="D2086">
        <v>150</v>
      </c>
      <c r="F2086">
        <v>9.2699999999999991E-2</v>
      </c>
      <c r="J2086" t="s">
        <v>90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</row>
    <row r="2087" spans="1:20">
      <c r="A2087">
        <f t="shared" si="32"/>
        <v>2086</v>
      </c>
      <c r="B2087" t="s">
        <v>89</v>
      </c>
      <c r="C2087">
        <v>448.15</v>
      </c>
      <c r="D2087">
        <v>200</v>
      </c>
      <c r="F2087">
        <v>7.8E-2</v>
      </c>
      <c r="J2087" t="s">
        <v>90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</row>
    <row r="2088" spans="1:20">
      <c r="A2088">
        <f t="shared" si="32"/>
        <v>2087</v>
      </c>
      <c r="B2088" t="s">
        <v>89</v>
      </c>
      <c r="C2088">
        <v>448.15</v>
      </c>
      <c r="D2088">
        <v>250</v>
      </c>
      <c r="F2088">
        <v>6.88E-2</v>
      </c>
      <c r="J2088" t="s">
        <v>90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</row>
    <row r="2089" spans="1:20">
      <c r="A2089">
        <f t="shared" si="32"/>
        <v>2088</v>
      </c>
      <c r="B2089" t="s">
        <v>89</v>
      </c>
      <c r="C2089">
        <v>448.15</v>
      </c>
      <c r="D2089">
        <v>300</v>
      </c>
      <c r="F2089">
        <v>6.2300000000000001E-2</v>
      </c>
      <c r="J2089" t="s">
        <v>90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</row>
    <row r="2090" spans="1:20">
      <c r="A2090">
        <f t="shared" si="32"/>
        <v>2089</v>
      </c>
      <c r="B2090" t="s">
        <v>89</v>
      </c>
      <c r="C2090">
        <v>473.15</v>
      </c>
      <c r="D2090">
        <v>36</v>
      </c>
      <c r="F2090" t="s">
        <v>90</v>
      </c>
      <c r="J2090">
        <v>5.6999999999999993E-3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</row>
    <row r="2091" spans="1:20">
      <c r="A2091">
        <f t="shared" si="32"/>
        <v>2090</v>
      </c>
      <c r="B2091" t="s">
        <v>89</v>
      </c>
      <c r="C2091">
        <v>473.15</v>
      </c>
      <c r="D2091">
        <v>42</v>
      </c>
      <c r="F2091" t="s">
        <v>90</v>
      </c>
      <c r="J2091">
        <v>5.5000000000000005E-3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</row>
    <row r="2092" spans="1:20">
      <c r="A2092">
        <f t="shared" si="32"/>
        <v>2091</v>
      </c>
      <c r="B2092" t="s">
        <v>89</v>
      </c>
      <c r="C2092">
        <v>473.15</v>
      </c>
      <c r="D2092">
        <v>46</v>
      </c>
      <c r="F2092" t="s">
        <v>90</v>
      </c>
      <c r="J2092">
        <v>8.3999999999999995E-3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</row>
    <row r="2093" spans="1:20">
      <c r="A2093">
        <f t="shared" si="32"/>
        <v>2092</v>
      </c>
      <c r="B2093" t="s">
        <v>89</v>
      </c>
      <c r="C2093">
        <v>473.15</v>
      </c>
      <c r="D2093">
        <v>50</v>
      </c>
      <c r="F2093">
        <v>0.26600000000000001</v>
      </c>
      <c r="J2093" t="s">
        <v>90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</row>
    <row r="2094" spans="1:20">
      <c r="A2094">
        <f t="shared" si="32"/>
        <v>2093</v>
      </c>
      <c r="B2094" t="s">
        <v>89</v>
      </c>
      <c r="C2094">
        <v>473.15</v>
      </c>
      <c r="D2094">
        <v>51.96</v>
      </c>
      <c r="F2094" t="s">
        <v>90</v>
      </c>
      <c r="J2094">
        <v>7.4999999999999997E-3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</row>
    <row r="2095" spans="1:20">
      <c r="A2095">
        <f t="shared" si="32"/>
        <v>2094</v>
      </c>
      <c r="B2095" t="s">
        <v>89</v>
      </c>
      <c r="C2095">
        <v>473.15</v>
      </c>
      <c r="D2095">
        <v>75.97</v>
      </c>
      <c r="F2095" t="s">
        <v>90</v>
      </c>
      <c r="J2095">
        <v>1.2199999999999999E-2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</row>
    <row r="2096" spans="1:20">
      <c r="A2096">
        <f t="shared" si="32"/>
        <v>2095</v>
      </c>
      <c r="B2096" t="s">
        <v>89</v>
      </c>
      <c r="C2096">
        <v>473.15</v>
      </c>
      <c r="D2096">
        <v>82</v>
      </c>
      <c r="F2096" t="s">
        <v>90</v>
      </c>
      <c r="J2096">
        <v>1.24E-2</v>
      </c>
      <c r="N2096">
        <v>0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</row>
    <row r="2097" spans="1:20">
      <c r="A2097">
        <f t="shared" si="32"/>
        <v>2096</v>
      </c>
      <c r="B2097" t="s">
        <v>89</v>
      </c>
      <c r="C2097">
        <v>473.15</v>
      </c>
      <c r="D2097">
        <v>100.57</v>
      </c>
      <c r="F2097">
        <v>0.14800000000000002</v>
      </c>
      <c r="J2097" t="s">
        <v>90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</row>
    <row r="2098" spans="1:20">
      <c r="A2098">
        <f t="shared" si="32"/>
        <v>2097</v>
      </c>
      <c r="B2098" t="s">
        <v>89</v>
      </c>
      <c r="C2098">
        <v>473.15</v>
      </c>
      <c r="D2098">
        <v>102</v>
      </c>
      <c r="F2098" t="s">
        <v>90</v>
      </c>
      <c r="J2098">
        <v>1.3999999999999999E-2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</row>
    <row r="2099" spans="1:20">
      <c r="A2099">
        <f t="shared" si="32"/>
        <v>2098</v>
      </c>
      <c r="B2099" t="s">
        <v>89</v>
      </c>
      <c r="C2099">
        <v>473.15</v>
      </c>
      <c r="D2099">
        <v>118</v>
      </c>
      <c r="F2099" t="s">
        <v>90</v>
      </c>
      <c r="J2099">
        <v>1.6200000000000003E-2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</row>
    <row r="2100" spans="1:20">
      <c r="A2100">
        <f t="shared" si="32"/>
        <v>2099</v>
      </c>
      <c r="B2100" t="s">
        <v>89</v>
      </c>
      <c r="C2100">
        <v>473.15</v>
      </c>
      <c r="D2100">
        <v>150</v>
      </c>
      <c r="F2100">
        <v>0.10800000000000001</v>
      </c>
      <c r="J2100" t="s">
        <v>90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</row>
    <row r="2101" spans="1:20">
      <c r="A2101">
        <f t="shared" si="32"/>
        <v>2100</v>
      </c>
      <c r="B2101" t="s">
        <v>89</v>
      </c>
      <c r="C2101">
        <v>473.15</v>
      </c>
      <c r="D2101">
        <v>200</v>
      </c>
      <c r="F2101">
        <v>8.8000000000000009E-2</v>
      </c>
      <c r="J2101" t="s">
        <v>90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</row>
    <row r="2102" spans="1:20">
      <c r="A2102">
        <f t="shared" si="32"/>
        <v>2101</v>
      </c>
      <c r="B2102" t="s">
        <v>89</v>
      </c>
      <c r="C2102">
        <v>473.15</v>
      </c>
      <c r="D2102">
        <v>250</v>
      </c>
      <c r="F2102">
        <v>7.5999999999999998E-2</v>
      </c>
      <c r="J2102" t="s">
        <v>90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</row>
    <row r="2103" spans="1:20">
      <c r="A2103">
        <f t="shared" si="32"/>
        <v>2102</v>
      </c>
      <c r="B2103" t="s">
        <v>89</v>
      </c>
      <c r="C2103">
        <v>473.15</v>
      </c>
      <c r="D2103">
        <v>300</v>
      </c>
      <c r="F2103">
        <v>6.9000000000000006E-2</v>
      </c>
      <c r="J2103" t="s">
        <v>90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</row>
    <row r="2104" spans="1:20">
      <c r="A2104">
        <f t="shared" si="32"/>
        <v>2103</v>
      </c>
      <c r="B2104" t="s">
        <v>92</v>
      </c>
      <c r="C2104">
        <v>323.14999999999998</v>
      </c>
      <c r="D2104">
        <v>158</v>
      </c>
      <c r="E2104">
        <v>0</v>
      </c>
      <c r="F2104">
        <v>1E-3</v>
      </c>
      <c r="J2104">
        <v>2.016E-3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</row>
    <row r="2105" spans="1:20">
      <c r="A2105">
        <f t="shared" si="32"/>
        <v>2104</v>
      </c>
      <c r="B2105" t="str">
        <f>B2104</f>
        <v>Torín-Ollarves 2021</v>
      </c>
      <c r="C2105">
        <v>323.14999999999998</v>
      </c>
      <c r="D2105">
        <v>329.7</v>
      </c>
      <c r="E2105">
        <v>0</v>
      </c>
      <c r="F2105">
        <v>5.9999999999999995E-4</v>
      </c>
      <c r="J2105">
        <v>4.0620000000000005E-3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</row>
    <row r="2106" spans="1:20">
      <c r="A2106">
        <f t="shared" si="32"/>
        <v>2105</v>
      </c>
      <c r="B2106" t="str">
        <f t="shared" ref="B2106:B2118" si="33">B2105</f>
        <v>Torín-Ollarves 2021</v>
      </c>
      <c r="C2106">
        <v>423.15</v>
      </c>
      <c r="D2106">
        <v>112.4</v>
      </c>
      <c r="E2106">
        <v>0</v>
      </c>
      <c r="F2106">
        <v>4.7699999999999999E-2</v>
      </c>
      <c r="J2106">
        <v>2.0470000000000002E-3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</row>
    <row r="2107" spans="1:20">
      <c r="A2107">
        <f t="shared" si="32"/>
        <v>2106</v>
      </c>
      <c r="B2107" t="str">
        <f t="shared" si="33"/>
        <v>Torín-Ollarves 2021</v>
      </c>
      <c r="C2107">
        <v>423.15</v>
      </c>
      <c r="D2107">
        <v>192.3</v>
      </c>
      <c r="E2107">
        <v>0</v>
      </c>
      <c r="F2107">
        <v>2.5499999999999998E-2</v>
      </c>
      <c r="J2107">
        <v>3.5249999999999999E-3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</row>
    <row r="2108" spans="1:20">
      <c r="A2108">
        <f t="shared" si="32"/>
        <v>2107</v>
      </c>
      <c r="B2108" t="str">
        <f t="shared" si="33"/>
        <v>Torín-Ollarves 2021</v>
      </c>
      <c r="C2108">
        <v>423.15</v>
      </c>
      <c r="D2108">
        <v>248.79999999999998</v>
      </c>
      <c r="E2108">
        <v>0</v>
      </c>
      <c r="F2108">
        <v>2.41E-2</v>
      </c>
      <c r="J2108">
        <v>4.529E-3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</row>
    <row r="2109" spans="1:20">
      <c r="A2109">
        <f t="shared" si="32"/>
        <v>2108</v>
      </c>
      <c r="B2109" t="str">
        <f t="shared" si="33"/>
        <v>Torín-Ollarves 2021</v>
      </c>
      <c r="C2109">
        <v>323.14999999999998</v>
      </c>
      <c r="D2109">
        <v>120.1</v>
      </c>
      <c r="E2109">
        <v>2.5</v>
      </c>
      <c r="F2109">
        <v>1.1999999999999999E-3</v>
      </c>
      <c r="J2109">
        <v>1.0989999999999999E-3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</row>
    <row r="2110" spans="1:20">
      <c r="A2110">
        <f t="shared" si="32"/>
        <v>2109</v>
      </c>
      <c r="B2110" t="str">
        <f t="shared" si="33"/>
        <v>Torín-Ollarves 2021</v>
      </c>
      <c r="C2110">
        <v>323.14999999999998</v>
      </c>
      <c r="D2110">
        <v>262.3</v>
      </c>
      <c r="E2110">
        <v>2.5</v>
      </c>
      <c r="F2110">
        <v>6.9999999999999999E-4</v>
      </c>
      <c r="J2110">
        <v>2.212E-3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</row>
    <row r="2111" spans="1:20">
      <c r="A2111">
        <f t="shared" si="32"/>
        <v>2110</v>
      </c>
      <c r="B2111" t="str">
        <f t="shared" si="33"/>
        <v>Torín-Ollarves 2021</v>
      </c>
      <c r="C2111">
        <v>323.14999999999998</v>
      </c>
      <c r="D2111">
        <v>394.7</v>
      </c>
      <c r="E2111">
        <v>2.5</v>
      </c>
      <c r="F2111">
        <v>5.0000000000000001E-4</v>
      </c>
      <c r="J2111">
        <v>3.4100000000000003E-3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</row>
    <row r="2112" spans="1:20">
      <c r="A2112">
        <f t="shared" si="32"/>
        <v>2111</v>
      </c>
      <c r="B2112" t="str">
        <f t="shared" si="33"/>
        <v>Torín-Ollarves 2021</v>
      </c>
      <c r="C2112">
        <v>373.15</v>
      </c>
      <c r="D2112">
        <v>116.4</v>
      </c>
      <c r="E2112">
        <v>2.5</v>
      </c>
      <c r="F2112">
        <v>9.9000000000000008E-3</v>
      </c>
      <c r="J2112">
        <v>1.1479999999999999E-3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</row>
    <row r="2113" spans="1:20">
      <c r="A2113">
        <f t="shared" si="32"/>
        <v>2112</v>
      </c>
      <c r="B2113" t="str">
        <f t="shared" si="33"/>
        <v>Torín-Ollarves 2021</v>
      </c>
      <c r="C2113">
        <v>373.15</v>
      </c>
      <c r="D2113">
        <v>191.8</v>
      </c>
      <c r="E2113">
        <v>2.5</v>
      </c>
      <c r="F2113">
        <v>6.4000000000000003E-3</v>
      </c>
      <c r="J2113">
        <v>1.8500000000000001E-3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</row>
    <row r="2114" spans="1:20">
      <c r="A2114">
        <f t="shared" si="32"/>
        <v>2113</v>
      </c>
      <c r="B2114" t="str">
        <f t="shared" si="33"/>
        <v>Torín-Ollarves 2021</v>
      </c>
      <c r="C2114">
        <v>373.15</v>
      </c>
      <c r="D2114">
        <v>229.4</v>
      </c>
      <c r="E2114">
        <v>2.5</v>
      </c>
      <c r="F2114">
        <v>5.4999999999999997E-3</v>
      </c>
      <c r="J2114">
        <v>2.3470000000000001E-3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</row>
    <row r="2115" spans="1:20">
      <c r="A2115">
        <f t="shared" si="32"/>
        <v>2114</v>
      </c>
      <c r="B2115" t="str">
        <f t="shared" si="33"/>
        <v>Torín-Ollarves 2021</v>
      </c>
      <c r="C2115">
        <v>373.15</v>
      </c>
      <c r="D2115">
        <v>277.60000000000002</v>
      </c>
      <c r="E2115">
        <v>2.5</v>
      </c>
      <c r="F2115">
        <v>4.8999999999999998E-3</v>
      </c>
      <c r="J2115">
        <v>2.8730000000000001E-3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</row>
    <row r="2116" spans="1:20">
      <c r="A2116">
        <f t="shared" si="32"/>
        <v>2115</v>
      </c>
      <c r="B2116" t="str">
        <f t="shared" si="33"/>
        <v>Torín-Ollarves 2021</v>
      </c>
      <c r="C2116">
        <v>373.15</v>
      </c>
      <c r="D2116">
        <v>458.1</v>
      </c>
      <c r="E2116">
        <v>2.5</v>
      </c>
      <c r="F2116">
        <v>3.5000000000000001E-3</v>
      </c>
      <c r="J2116">
        <v>4.2420000000000001E-3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</row>
    <row r="2117" spans="1:20">
      <c r="A2117">
        <f t="shared" si="32"/>
        <v>2116</v>
      </c>
      <c r="B2117" t="str">
        <f t="shared" si="33"/>
        <v>Torín-Ollarves 2021</v>
      </c>
      <c r="C2117">
        <v>423.15</v>
      </c>
      <c r="D2117">
        <v>149.4</v>
      </c>
      <c r="E2117">
        <v>2.5</v>
      </c>
      <c r="F2117">
        <v>3.7499999999999999E-2</v>
      </c>
      <c r="J2117">
        <v>1.7240000000000001E-3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</row>
    <row r="2118" spans="1:20">
      <c r="A2118">
        <f t="shared" si="32"/>
        <v>2117</v>
      </c>
      <c r="B2118" t="str">
        <f t="shared" si="33"/>
        <v>Torín-Ollarves 2021</v>
      </c>
      <c r="C2118">
        <v>423.15</v>
      </c>
      <c r="D2118">
        <v>387.29999999999995</v>
      </c>
      <c r="E2118">
        <v>2.5</v>
      </c>
      <c r="F2118">
        <v>1.7000000000000001E-2</v>
      </c>
      <c r="J2118">
        <v>4.5570000000000003E-3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</row>
    <row r="2119" spans="1:20">
      <c r="A2119">
        <f t="shared" si="32"/>
        <v>2118</v>
      </c>
      <c r="B2119" t="s">
        <v>93</v>
      </c>
      <c r="C2119">
        <v>298.2</v>
      </c>
      <c r="D2119">
        <v>100.01</v>
      </c>
      <c r="E2119">
        <v>0</v>
      </c>
      <c r="J2119">
        <v>1.35994E-3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</row>
    <row r="2120" spans="1:20">
      <c r="A2120">
        <f t="shared" si="32"/>
        <v>2119</v>
      </c>
      <c r="B2120" t="str">
        <f>B2119</f>
        <v>Chahab 2023</v>
      </c>
      <c r="C2120">
        <v>298.05</v>
      </c>
      <c r="D2120">
        <v>150.01</v>
      </c>
      <c r="E2120">
        <v>0</v>
      </c>
      <c r="J2120">
        <v>1.99679E-3</v>
      </c>
      <c r="N2120">
        <v>0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</row>
    <row r="2121" spans="1:20">
      <c r="A2121">
        <f t="shared" si="32"/>
        <v>2120</v>
      </c>
      <c r="B2121" t="str">
        <f t="shared" ref="B2121:B2155" si="34">B2120</f>
        <v>Chahab 2023</v>
      </c>
      <c r="C2121">
        <v>298.14999999999998</v>
      </c>
      <c r="D2121">
        <v>200.01</v>
      </c>
      <c r="E2121">
        <v>0</v>
      </c>
      <c r="J2121">
        <v>2.6439699999999998E-3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</row>
    <row r="2122" spans="1:20">
      <c r="A2122">
        <f t="shared" si="32"/>
        <v>2121</v>
      </c>
      <c r="B2122" t="str">
        <f t="shared" si="34"/>
        <v>Chahab 2023</v>
      </c>
      <c r="C2122">
        <v>298.14999999999998</v>
      </c>
      <c r="D2122">
        <v>200.01</v>
      </c>
      <c r="E2122">
        <v>0</v>
      </c>
      <c r="J2122">
        <v>2.6332E-3</v>
      </c>
      <c r="N2122">
        <v>0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</row>
    <row r="2123" spans="1:20">
      <c r="A2123">
        <f t="shared" si="32"/>
        <v>2122</v>
      </c>
      <c r="B2123" t="str">
        <f t="shared" si="34"/>
        <v>Chahab 2023</v>
      </c>
      <c r="C2123">
        <v>323.55</v>
      </c>
      <c r="D2123">
        <v>101.11</v>
      </c>
      <c r="E2123">
        <v>0</v>
      </c>
      <c r="J2123">
        <v>1.25091E-3</v>
      </c>
      <c r="N2123">
        <v>0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</row>
    <row r="2124" spans="1:20">
      <c r="A2124">
        <f t="shared" si="32"/>
        <v>2123</v>
      </c>
      <c r="B2124" t="str">
        <f t="shared" si="34"/>
        <v>Chahab 2023</v>
      </c>
      <c r="C2124">
        <v>323.5</v>
      </c>
      <c r="D2124">
        <v>101.31</v>
      </c>
      <c r="E2124">
        <v>0</v>
      </c>
      <c r="J2124">
        <v>1.2392499999999999E-3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</row>
    <row r="2125" spans="1:20">
      <c r="A2125">
        <f t="shared" si="32"/>
        <v>2124</v>
      </c>
      <c r="B2125" t="str">
        <f t="shared" si="34"/>
        <v>Chahab 2023</v>
      </c>
      <c r="C2125">
        <v>323.85000000000002</v>
      </c>
      <c r="D2125">
        <v>130.01</v>
      </c>
      <c r="E2125">
        <v>0</v>
      </c>
      <c r="J2125">
        <v>1.59253E-3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</row>
    <row r="2126" spans="1:20">
      <c r="A2126">
        <f t="shared" si="32"/>
        <v>2125</v>
      </c>
      <c r="B2126" t="str">
        <f t="shared" si="34"/>
        <v>Chahab 2023</v>
      </c>
      <c r="C2126">
        <v>323.55</v>
      </c>
      <c r="D2126">
        <v>165.01</v>
      </c>
      <c r="E2126">
        <v>0</v>
      </c>
      <c r="J2126">
        <v>2.0111700000000001E-3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</row>
    <row r="2127" spans="1:20">
      <c r="A2127">
        <f t="shared" si="32"/>
        <v>2126</v>
      </c>
      <c r="B2127" t="str">
        <f t="shared" si="34"/>
        <v>Chahab 2023</v>
      </c>
      <c r="C2127">
        <v>323.3</v>
      </c>
      <c r="D2127">
        <v>199.91</v>
      </c>
      <c r="E2127">
        <v>0</v>
      </c>
      <c r="J2127">
        <v>2.4418600000000001E-3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</row>
    <row r="2128" spans="1:20">
      <c r="A2128">
        <f t="shared" si="32"/>
        <v>2127</v>
      </c>
      <c r="B2128" t="str">
        <f t="shared" si="34"/>
        <v>Chahab 2023</v>
      </c>
      <c r="C2128">
        <v>323.35000000000002</v>
      </c>
      <c r="D2128">
        <v>200.11</v>
      </c>
      <c r="E2128">
        <v>0</v>
      </c>
      <c r="J2128">
        <v>2.4547900000000001E-3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</row>
    <row r="2129" spans="1:20">
      <c r="A2129">
        <f t="shared" si="32"/>
        <v>2128</v>
      </c>
      <c r="B2129" t="str">
        <f t="shared" si="34"/>
        <v>Chahab 2023</v>
      </c>
      <c r="C2129">
        <v>373.85</v>
      </c>
      <c r="D2129">
        <v>100.01</v>
      </c>
      <c r="E2129">
        <v>0</v>
      </c>
      <c r="J2129">
        <v>1.42471E-3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</row>
    <row r="2130" spans="1:20">
      <c r="A2130">
        <f t="shared" si="32"/>
        <v>2129</v>
      </c>
      <c r="B2130" t="str">
        <f t="shared" si="34"/>
        <v>Chahab 2023</v>
      </c>
      <c r="C2130">
        <v>373.8</v>
      </c>
      <c r="D2130">
        <v>100.01</v>
      </c>
      <c r="E2130">
        <v>0</v>
      </c>
      <c r="J2130">
        <v>1.40332E-3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</row>
    <row r="2131" spans="1:20">
      <c r="A2131">
        <f t="shared" si="32"/>
        <v>2130</v>
      </c>
      <c r="B2131" t="str">
        <f t="shared" si="34"/>
        <v>Chahab 2023</v>
      </c>
      <c r="C2131">
        <v>373.85</v>
      </c>
      <c r="D2131">
        <v>100.01</v>
      </c>
      <c r="E2131">
        <v>0</v>
      </c>
      <c r="J2131">
        <v>1.4089300000000001E-3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</row>
    <row r="2132" spans="1:20">
      <c r="A2132">
        <f t="shared" si="32"/>
        <v>2131</v>
      </c>
      <c r="B2132" t="str">
        <f t="shared" si="34"/>
        <v>Chahab 2023</v>
      </c>
      <c r="C2132">
        <v>373.65</v>
      </c>
      <c r="D2132">
        <v>175.11</v>
      </c>
      <c r="E2132">
        <v>0</v>
      </c>
      <c r="J2132">
        <v>2.4334700000000001E-3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</row>
    <row r="2133" spans="1:20">
      <c r="A2133">
        <f t="shared" si="32"/>
        <v>2132</v>
      </c>
      <c r="B2133" t="str">
        <f t="shared" si="34"/>
        <v>Chahab 2023</v>
      </c>
      <c r="C2133">
        <v>298.2</v>
      </c>
      <c r="D2133">
        <v>100.71</v>
      </c>
      <c r="E2133">
        <v>1</v>
      </c>
      <c r="J2133">
        <v>1.0701199999999999E-3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</row>
    <row r="2134" spans="1:20">
      <c r="A2134">
        <f t="shared" si="32"/>
        <v>2133</v>
      </c>
      <c r="B2134" t="str">
        <f t="shared" si="34"/>
        <v>Chahab 2023</v>
      </c>
      <c r="C2134">
        <v>298.3</v>
      </c>
      <c r="D2134">
        <v>150.01</v>
      </c>
      <c r="E2134">
        <v>1</v>
      </c>
      <c r="J2134">
        <v>1.5929799999999999E-3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</row>
    <row r="2135" spans="1:20">
      <c r="A2135">
        <f t="shared" si="32"/>
        <v>2134</v>
      </c>
      <c r="B2135" t="str">
        <f t="shared" si="34"/>
        <v>Chahab 2023</v>
      </c>
      <c r="C2135">
        <v>298.14999999999998</v>
      </c>
      <c r="D2135">
        <v>150.01</v>
      </c>
      <c r="E2135">
        <v>1</v>
      </c>
      <c r="J2135">
        <v>1.6124399999999999E-3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</row>
    <row r="2136" spans="1:20">
      <c r="A2136">
        <f t="shared" si="32"/>
        <v>2135</v>
      </c>
      <c r="B2136" t="str">
        <f t="shared" si="34"/>
        <v>Chahab 2023</v>
      </c>
      <c r="C2136">
        <v>298.3</v>
      </c>
      <c r="D2136">
        <v>200.01</v>
      </c>
      <c r="E2136">
        <v>1</v>
      </c>
      <c r="J2136">
        <v>2.1357500000000001E-3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</row>
    <row r="2137" spans="1:20">
      <c r="A2137">
        <f t="shared" si="32"/>
        <v>2136</v>
      </c>
      <c r="B2137" t="str">
        <f t="shared" si="34"/>
        <v>Chahab 2023</v>
      </c>
      <c r="C2137">
        <v>323.2</v>
      </c>
      <c r="D2137">
        <v>100.31</v>
      </c>
      <c r="E2137">
        <v>1</v>
      </c>
      <c r="J2137">
        <v>1.02099E-3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</row>
    <row r="2138" spans="1:20">
      <c r="A2138">
        <f t="shared" si="32"/>
        <v>2137</v>
      </c>
      <c r="B2138" t="str">
        <f t="shared" si="34"/>
        <v>Chahab 2023</v>
      </c>
      <c r="C2138">
        <v>323.39999999999998</v>
      </c>
      <c r="D2138">
        <v>100.61</v>
      </c>
      <c r="E2138">
        <v>1</v>
      </c>
      <c r="J2138">
        <v>1.02078E-3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</row>
    <row r="2139" spans="1:20">
      <c r="A2139">
        <f t="shared" si="32"/>
        <v>2138</v>
      </c>
      <c r="B2139" t="str">
        <f t="shared" si="34"/>
        <v>Chahab 2023</v>
      </c>
      <c r="C2139">
        <v>323.35000000000002</v>
      </c>
      <c r="D2139">
        <v>101.01</v>
      </c>
      <c r="E2139">
        <v>1</v>
      </c>
      <c r="J2139">
        <v>1.0242599999999999E-3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</row>
    <row r="2140" spans="1:20">
      <c r="A2140">
        <f t="shared" si="32"/>
        <v>2139</v>
      </c>
      <c r="B2140" t="str">
        <f t="shared" si="34"/>
        <v>Chahab 2023</v>
      </c>
      <c r="C2140">
        <v>323.2</v>
      </c>
      <c r="D2140">
        <v>150.06</v>
      </c>
      <c r="E2140">
        <v>1</v>
      </c>
      <c r="J2140">
        <v>1.51377E-3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</row>
    <row r="2141" spans="1:20">
      <c r="A2141">
        <f t="shared" si="32"/>
        <v>2140</v>
      </c>
      <c r="B2141" t="str">
        <f t="shared" si="34"/>
        <v>Chahab 2023</v>
      </c>
      <c r="C2141">
        <v>323.3</v>
      </c>
      <c r="D2141">
        <v>175.01</v>
      </c>
      <c r="E2141">
        <v>1</v>
      </c>
      <c r="J2141">
        <v>1.76728E-3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</row>
    <row r="2142" spans="1:20">
      <c r="A2142">
        <f t="shared" si="32"/>
        <v>2141</v>
      </c>
      <c r="B2142" t="str">
        <f t="shared" si="34"/>
        <v>Chahab 2023</v>
      </c>
      <c r="C2142">
        <v>323.3</v>
      </c>
      <c r="D2142">
        <v>199.91</v>
      </c>
      <c r="E2142">
        <v>1</v>
      </c>
      <c r="J2142">
        <v>2.0259000000000002E-3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</row>
    <row r="2143" spans="1:20">
      <c r="A2143">
        <f t="shared" si="32"/>
        <v>2142</v>
      </c>
      <c r="B2143" t="str">
        <f t="shared" si="34"/>
        <v>Chahab 2023</v>
      </c>
      <c r="C2143">
        <v>323.2</v>
      </c>
      <c r="D2143">
        <v>200.01</v>
      </c>
      <c r="E2143">
        <v>1</v>
      </c>
      <c r="J2143">
        <v>2.0448699999999998E-3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</row>
    <row r="2144" spans="1:20">
      <c r="A2144">
        <f t="shared" si="32"/>
        <v>2143</v>
      </c>
      <c r="B2144" t="str">
        <f t="shared" si="34"/>
        <v>Chahab 2023</v>
      </c>
      <c r="C2144">
        <v>373.25</v>
      </c>
      <c r="D2144">
        <v>100.11</v>
      </c>
      <c r="E2144">
        <v>1</v>
      </c>
      <c r="J2144">
        <v>1.1967099999999999E-3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</row>
    <row r="2145" spans="1:20">
      <c r="A2145">
        <f t="shared" si="32"/>
        <v>2144</v>
      </c>
      <c r="B2145" t="str">
        <f t="shared" si="34"/>
        <v>Chahab 2023</v>
      </c>
      <c r="C2145">
        <v>373.4</v>
      </c>
      <c r="D2145">
        <v>126.01</v>
      </c>
      <c r="E2145">
        <v>1</v>
      </c>
      <c r="J2145">
        <v>1.48492E-3</v>
      </c>
      <c r="N2145">
        <v>0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</row>
    <row r="2146" spans="1:20">
      <c r="A2146">
        <f t="shared" si="32"/>
        <v>2145</v>
      </c>
      <c r="B2146" t="str">
        <f t="shared" si="34"/>
        <v>Chahab 2023</v>
      </c>
      <c r="C2146">
        <v>373.1</v>
      </c>
      <c r="D2146">
        <v>150.36000000000001</v>
      </c>
      <c r="E2146">
        <v>1</v>
      </c>
      <c r="J2146">
        <v>1.75595E-3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</row>
    <row r="2147" spans="1:20">
      <c r="A2147">
        <f t="shared" si="32"/>
        <v>2146</v>
      </c>
      <c r="B2147" t="str">
        <f t="shared" si="34"/>
        <v>Chahab 2023</v>
      </c>
      <c r="C2147">
        <v>373.15</v>
      </c>
      <c r="D2147">
        <v>150.46</v>
      </c>
      <c r="E2147">
        <v>1</v>
      </c>
      <c r="J2147">
        <v>1.7957299999999999E-3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</row>
    <row r="2148" spans="1:20">
      <c r="A2148">
        <f t="shared" si="32"/>
        <v>2147</v>
      </c>
      <c r="B2148" t="str">
        <f t="shared" si="34"/>
        <v>Chahab 2023</v>
      </c>
      <c r="C2148">
        <v>373.45</v>
      </c>
      <c r="D2148">
        <v>150.71</v>
      </c>
      <c r="E2148">
        <v>1</v>
      </c>
      <c r="J2148">
        <v>1.7734999999999999E-3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</row>
    <row r="2149" spans="1:20">
      <c r="A2149">
        <f t="shared" si="32"/>
        <v>2148</v>
      </c>
      <c r="B2149" t="str">
        <f t="shared" si="34"/>
        <v>Chahab 2023</v>
      </c>
      <c r="C2149">
        <v>373.15</v>
      </c>
      <c r="D2149">
        <v>175.51</v>
      </c>
      <c r="E2149">
        <v>1</v>
      </c>
      <c r="J2149">
        <v>2.0400000000000001E-3</v>
      </c>
      <c r="N2149">
        <v>0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</row>
    <row r="2150" spans="1:20">
      <c r="A2150">
        <f t="shared" ref="A2150:A2186" si="35">A2149+1</f>
        <v>2149</v>
      </c>
      <c r="B2150" t="str">
        <f t="shared" si="34"/>
        <v>Chahab 2023</v>
      </c>
      <c r="C2150">
        <v>373</v>
      </c>
      <c r="D2150">
        <v>200.46</v>
      </c>
      <c r="E2150">
        <v>1</v>
      </c>
      <c r="J2150">
        <v>2.3460400000000002E-3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</row>
    <row r="2151" spans="1:20">
      <c r="A2151">
        <f t="shared" si="35"/>
        <v>2150</v>
      </c>
      <c r="B2151" t="str">
        <f t="shared" si="34"/>
        <v>Chahab 2023</v>
      </c>
      <c r="C2151">
        <v>298.14999999999998</v>
      </c>
      <c r="D2151">
        <v>100.01</v>
      </c>
      <c r="E2151">
        <v>2</v>
      </c>
      <c r="J2151">
        <v>8.8639999999999997E-4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</row>
    <row r="2152" spans="1:20">
      <c r="A2152">
        <f t="shared" si="35"/>
        <v>2151</v>
      </c>
      <c r="B2152" t="str">
        <f t="shared" si="34"/>
        <v>Chahab 2023</v>
      </c>
      <c r="C2152">
        <v>298.05</v>
      </c>
      <c r="D2152">
        <v>150.01</v>
      </c>
      <c r="E2152">
        <v>2</v>
      </c>
      <c r="J2152">
        <v>1.3223499999999999E-3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</row>
    <row r="2153" spans="1:20">
      <c r="A2153">
        <f t="shared" si="35"/>
        <v>2152</v>
      </c>
      <c r="B2153" t="str">
        <f t="shared" si="34"/>
        <v>Chahab 2023</v>
      </c>
      <c r="C2153">
        <v>298.05</v>
      </c>
      <c r="D2153">
        <v>200.01</v>
      </c>
      <c r="E2153">
        <v>2</v>
      </c>
      <c r="J2153">
        <v>1.7184800000000001E-3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</row>
    <row r="2154" spans="1:20">
      <c r="A2154">
        <f t="shared" si="35"/>
        <v>2153</v>
      </c>
      <c r="B2154" t="str">
        <f t="shared" si="34"/>
        <v>Chahab 2023</v>
      </c>
      <c r="C2154">
        <v>323.2</v>
      </c>
      <c r="D2154">
        <v>100.01</v>
      </c>
      <c r="E2154">
        <v>2</v>
      </c>
      <c r="J2154">
        <v>8.8259999999999999E-4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</row>
    <row r="2155" spans="1:20">
      <c r="A2155">
        <f t="shared" si="35"/>
        <v>2154</v>
      </c>
      <c r="B2155" t="str">
        <f t="shared" si="34"/>
        <v>Chahab 2023</v>
      </c>
      <c r="C2155">
        <v>323.39999999999998</v>
      </c>
      <c r="D2155">
        <v>150.01</v>
      </c>
      <c r="E2155">
        <v>2</v>
      </c>
      <c r="J2155">
        <v>1.3124199999999999E-3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</row>
    <row r="2156" spans="1:20">
      <c r="A2156">
        <f t="shared" si="35"/>
        <v>2155</v>
      </c>
      <c r="B2156" t="str">
        <f t="shared" ref="B2156:B2169" si="36">B2155</f>
        <v>Chahab 2023</v>
      </c>
      <c r="C2156">
        <v>323.35000000000002</v>
      </c>
      <c r="D2156">
        <v>150.01</v>
      </c>
      <c r="E2156">
        <v>2</v>
      </c>
      <c r="J2156">
        <v>1.2891199999999999E-3</v>
      </c>
      <c r="N2156">
        <v>0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</row>
    <row r="2157" spans="1:20">
      <c r="A2157">
        <f t="shared" si="35"/>
        <v>2156</v>
      </c>
      <c r="B2157" t="str">
        <f t="shared" si="36"/>
        <v>Chahab 2023</v>
      </c>
      <c r="C2157">
        <v>323.39999999999998</v>
      </c>
      <c r="D2157">
        <v>200.01</v>
      </c>
      <c r="E2157">
        <v>2</v>
      </c>
      <c r="J2157">
        <v>1.7240199999999999E-3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</row>
    <row r="2158" spans="1:20">
      <c r="A2158">
        <f t="shared" si="35"/>
        <v>2157</v>
      </c>
      <c r="B2158" t="str">
        <f t="shared" si="36"/>
        <v>Chahab 2023</v>
      </c>
      <c r="C2158">
        <v>373.05</v>
      </c>
      <c r="D2158">
        <v>100.01</v>
      </c>
      <c r="E2158">
        <v>2</v>
      </c>
      <c r="J2158">
        <v>9.9379000000000004E-4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</row>
    <row r="2159" spans="1:20">
      <c r="A2159">
        <f t="shared" si="35"/>
        <v>2158</v>
      </c>
      <c r="B2159" t="str">
        <f t="shared" si="36"/>
        <v>Chahab 2023</v>
      </c>
      <c r="C2159">
        <v>373.2</v>
      </c>
      <c r="D2159">
        <v>150.01</v>
      </c>
      <c r="E2159">
        <v>2</v>
      </c>
      <c r="J2159">
        <v>1.51866E-3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</row>
    <row r="2160" spans="1:20">
      <c r="A2160">
        <f t="shared" si="35"/>
        <v>2159</v>
      </c>
      <c r="B2160" t="str">
        <f t="shared" si="36"/>
        <v>Chahab 2023</v>
      </c>
      <c r="C2160">
        <v>373.4</v>
      </c>
      <c r="D2160">
        <v>200.51</v>
      </c>
      <c r="E2160">
        <v>2</v>
      </c>
      <c r="J2160">
        <v>2.0503100000000001E-3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</row>
    <row r="2161" spans="1:20">
      <c r="A2161">
        <f t="shared" si="35"/>
        <v>2160</v>
      </c>
      <c r="B2161" t="str">
        <f t="shared" si="36"/>
        <v>Chahab 2023</v>
      </c>
      <c r="C2161">
        <v>298.2</v>
      </c>
      <c r="D2161">
        <v>100.01</v>
      </c>
      <c r="E2161">
        <v>4</v>
      </c>
      <c r="J2161">
        <v>5.9422000000000001E-4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</row>
    <row r="2162" spans="1:20">
      <c r="A2162">
        <f t="shared" si="35"/>
        <v>2161</v>
      </c>
      <c r="B2162" t="str">
        <f t="shared" si="36"/>
        <v>Chahab 2023</v>
      </c>
      <c r="C2162">
        <v>298.2</v>
      </c>
      <c r="D2162">
        <v>150.01</v>
      </c>
      <c r="E2162">
        <v>4</v>
      </c>
      <c r="J2162">
        <v>9.3594999999999995E-4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</row>
    <row r="2163" spans="1:20">
      <c r="A2163">
        <f t="shared" si="35"/>
        <v>2162</v>
      </c>
      <c r="B2163" t="str">
        <f t="shared" si="36"/>
        <v>Chahab 2023</v>
      </c>
      <c r="C2163">
        <v>298.14999999999998</v>
      </c>
      <c r="D2163">
        <v>200.01</v>
      </c>
      <c r="E2163">
        <v>4</v>
      </c>
      <c r="J2163">
        <v>1.21838E-3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</row>
    <row r="2164" spans="1:20">
      <c r="A2164">
        <f t="shared" si="35"/>
        <v>2163</v>
      </c>
      <c r="B2164" t="str">
        <f t="shared" si="36"/>
        <v>Chahab 2023</v>
      </c>
      <c r="C2164">
        <v>323.3</v>
      </c>
      <c r="D2164">
        <v>100.01</v>
      </c>
      <c r="E2164">
        <v>4</v>
      </c>
      <c r="J2164">
        <v>6.1735999999999996E-4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</row>
    <row r="2165" spans="1:20">
      <c r="A2165">
        <f t="shared" si="35"/>
        <v>2164</v>
      </c>
      <c r="B2165" t="str">
        <f t="shared" si="36"/>
        <v>Chahab 2023</v>
      </c>
      <c r="C2165">
        <v>323.39999999999998</v>
      </c>
      <c r="D2165">
        <v>150.01</v>
      </c>
      <c r="E2165">
        <v>4</v>
      </c>
      <c r="J2165">
        <v>9.5752000000000001E-4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</row>
    <row r="2166" spans="1:20">
      <c r="A2166">
        <f t="shared" si="35"/>
        <v>2165</v>
      </c>
      <c r="B2166" t="str">
        <f t="shared" si="36"/>
        <v>Chahab 2023</v>
      </c>
      <c r="C2166">
        <v>323.39999999999998</v>
      </c>
      <c r="D2166">
        <v>200.01</v>
      </c>
      <c r="E2166">
        <v>4</v>
      </c>
      <c r="J2166">
        <v>1.2923699999999999E-3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</row>
    <row r="2167" spans="1:20">
      <c r="A2167">
        <f t="shared" si="35"/>
        <v>2166</v>
      </c>
      <c r="B2167" t="str">
        <f t="shared" si="36"/>
        <v>Chahab 2023</v>
      </c>
      <c r="C2167">
        <v>373.25</v>
      </c>
      <c r="D2167">
        <v>100.01</v>
      </c>
      <c r="E2167">
        <v>4</v>
      </c>
      <c r="J2167">
        <v>7.7990999999999998E-4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</row>
    <row r="2168" spans="1:20">
      <c r="A2168">
        <f t="shared" si="35"/>
        <v>2167</v>
      </c>
      <c r="B2168" t="str">
        <f t="shared" si="36"/>
        <v>Chahab 2023</v>
      </c>
      <c r="C2168">
        <v>373.35</v>
      </c>
      <c r="D2168">
        <v>150.01</v>
      </c>
      <c r="E2168">
        <v>4</v>
      </c>
      <c r="J2168">
        <v>1.1450900000000001E-3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</row>
    <row r="2169" spans="1:20">
      <c r="A2169">
        <f t="shared" si="35"/>
        <v>2168</v>
      </c>
      <c r="B2169" t="str">
        <f t="shared" si="36"/>
        <v>Chahab 2023</v>
      </c>
      <c r="C2169">
        <v>373.15</v>
      </c>
      <c r="D2169">
        <v>200.01</v>
      </c>
      <c r="E2169">
        <v>4</v>
      </c>
      <c r="J2169">
        <v>1.5746899999999999E-3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</row>
    <row r="2170" spans="1:20">
      <c r="A2170">
        <f t="shared" si="35"/>
        <v>2169</v>
      </c>
      <c r="B2170" t="s">
        <v>94</v>
      </c>
      <c r="C2170">
        <v>310.92777777777775</v>
      </c>
      <c r="D2170">
        <v>3.4473799999999999</v>
      </c>
      <c r="E2170">
        <v>0</v>
      </c>
      <c r="F2170">
        <v>1.9619999999999999E-2</v>
      </c>
      <c r="J2170">
        <v>4.49E-5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</row>
    <row r="2171" spans="1:20">
      <c r="A2171">
        <f t="shared" si="35"/>
        <v>2170</v>
      </c>
      <c r="B2171" t="str">
        <f>B2170</f>
        <v>Gillespie 1980</v>
      </c>
      <c r="C2171">
        <v>310.92777777777775</v>
      </c>
      <c r="D2171">
        <v>13.78952</v>
      </c>
      <c r="E2171">
        <f>E2170</f>
        <v>0</v>
      </c>
      <c r="F2171">
        <v>4.8799999999999998E-3</v>
      </c>
      <c r="J2171">
        <v>1.8099999999999998E-4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</row>
    <row r="2172" spans="1:20">
      <c r="A2172">
        <f t="shared" si="35"/>
        <v>2171</v>
      </c>
      <c r="B2172" t="str">
        <f t="shared" ref="B2172:B2186" si="37">B2171</f>
        <v>Gillespie 1980</v>
      </c>
      <c r="C2172">
        <v>310.92777777777775</v>
      </c>
      <c r="D2172">
        <v>31.026419999999998</v>
      </c>
      <c r="E2172">
        <f t="shared" ref="E2172:E2186" si="38">E2171</f>
        <v>0</v>
      </c>
      <c r="F2172">
        <v>2.2200000000000002E-3</v>
      </c>
      <c r="J2172">
        <v>4.0999999999999999E-4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</row>
    <row r="2173" spans="1:20">
      <c r="A2173">
        <f t="shared" si="35"/>
        <v>2172</v>
      </c>
      <c r="B2173" t="str">
        <f t="shared" si="37"/>
        <v>Gillespie 1980</v>
      </c>
      <c r="C2173">
        <v>310.92777777777775</v>
      </c>
      <c r="D2173">
        <v>65.500219999999999</v>
      </c>
      <c r="E2173">
        <f t="shared" si="38"/>
        <v>0</v>
      </c>
      <c r="F2173">
        <v>1.16E-3</v>
      </c>
      <c r="J2173">
        <v>8.6200000000000003E-4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</row>
    <row r="2174" spans="1:20">
      <c r="A2174">
        <f t="shared" si="35"/>
        <v>2173</v>
      </c>
      <c r="B2174" t="str">
        <f t="shared" si="37"/>
        <v>Gillespie 1980</v>
      </c>
      <c r="C2174">
        <v>310.92777777777775</v>
      </c>
      <c r="D2174">
        <v>103.42139999999999</v>
      </c>
      <c r="E2174">
        <f t="shared" si="38"/>
        <v>0</v>
      </c>
      <c r="J2174">
        <v>1.33E-3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</row>
    <row r="2175" spans="1:20">
      <c r="A2175">
        <f t="shared" si="35"/>
        <v>2174</v>
      </c>
      <c r="B2175" t="str">
        <f t="shared" si="37"/>
        <v>Gillespie 1980</v>
      </c>
      <c r="C2175">
        <v>310.92777777777775</v>
      </c>
      <c r="D2175">
        <v>137.89519999999999</v>
      </c>
      <c r="E2175">
        <f t="shared" si="38"/>
        <v>0</v>
      </c>
      <c r="F2175">
        <v>5.9999999999999995E-4</v>
      </c>
      <c r="J2175">
        <v>1.758E-3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</row>
    <row r="2176" spans="1:20">
      <c r="A2176">
        <f t="shared" si="35"/>
        <v>2175</v>
      </c>
      <c r="B2176" t="str">
        <f t="shared" si="37"/>
        <v>Gillespie 1980</v>
      </c>
      <c r="C2176">
        <v>366.48333333333329</v>
      </c>
      <c r="D2176">
        <v>3.4473799999999999</v>
      </c>
      <c r="E2176">
        <f t="shared" si="38"/>
        <v>0</v>
      </c>
      <c r="F2176">
        <v>0.24690000000000001</v>
      </c>
      <c r="J2176">
        <v>3.7400000000000001E-5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</row>
    <row r="2177" spans="1:20">
      <c r="A2177">
        <f t="shared" si="35"/>
        <v>2176</v>
      </c>
      <c r="B2177" t="str">
        <f t="shared" si="37"/>
        <v>Gillespie 1980</v>
      </c>
      <c r="C2177">
        <v>366.48333333333329</v>
      </c>
      <c r="D2177">
        <v>13.78952</v>
      </c>
      <c r="E2177">
        <f t="shared" si="38"/>
        <v>0</v>
      </c>
      <c r="F2177">
        <v>5.8600000000000006E-2</v>
      </c>
      <c r="J2177">
        <v>1.7999999999999998E-4</v>
      </c>
      <c r="N2177">
        <v>0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</row>
    <row r="2178" spans="1:20">
      <c r="A2178">
        <f t="shared" si="35"/>
        <v>2177</v>
      </c>
      <c r="B2178" t="str">
        <f t="shared" si="37"/>
        <v>Gillespie 1980</v>
      </c>
      <c r="C2178">
        <v>366.48333333333329</v>
      </c>
      <c r="D2178">
        <v>31.026419999999998</v>
      </c>
      <c r="E2178">
        <f t="shared" si="38"/>
        <v>0</v>
      </c>
      <c r="F2178">
        <v>2.64E-2</v>
      </c>
      <c r="J2178">
        <v>4.26E-4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</row>
    <row r="2179" spans="1:20">
      <c r="A2179">
        <f t="shared" si="35"/>
        <v>2178</v>
      </c>
      <c r="B2179" t="str">
        <f t="shared" si="37"/>
        <v>Gillespie 1980</v>
      </c>
      <c r="C2179">
        <v>366.48333333333329</v>
      </c>
      <c r="D2179">
        <v>65.500219999999999</v>
      </c>
      <c r="E2179">
        <f t="shared" si="38"/>
        <v>0</v>
      </c>
      <c r="F2179">
        <v>1.32E-2</v>
      </c>
      <c r="J2179">
        <v>8.9300000000000002E-4</v>
      </c>
      <c r="N2179">
        <v>0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</row>
    <row r="2180" spans="1:20">
      <c r="A2180">
        <f t="shared" si="35"/>
        <v>2179</v>
      </c>
      <c r="B2180" t="str">
        <f t="shared" si="37"/>
        <v>Gillespie 1980</v>
      </c>
      <c r="C2180">
        <v>366.48333333333329</v>
      </c>
      <c r="D2180">
        <v>137.89519999999999</v>
      </c>
      <c r="E2180">
        <f t="shared" si="38"/>
        <v>0</v>
      </c>
      <c r="F2180">
        <v>6.6800000000000002E-3</v>
      </c>
      <c r="J2180">
        <v>1.843E-3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</row>
    <row r="2181" spans="1:20">
      <c r="A2181">
        <f t="shared" si="35"/>
        <v>2180</v>
      </c>
      <c r="B2181" t="str">
        <f t="shared" si="37"/>
        <v>Gillespie 1980</v>
      </c>
      <c r="C2181">
        <v>422.03888888888889</v>
      </c>
      <c r="D2181">
        <v>31.026419999999998</v>
      </c>
      <c r="E2181">
        <f t="shared" si="38"/>
        <v>0</v>
      </c>
      <c r="F2181">
        <v>0.15659999999999999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</row>
    <row r="2182" spans="1:20">
      <c r="A2182">
        <f t="shared" si="35"/>
        <v>2181</v>
      </c>
      <c r="B2182" t="str">
        <f t="shared" si="37"/>
        <v>Gillespie 1980</v>
      </c>
      <c r="C2182">
        <v>422.03888888888889</v>
      </c>
      <c r="D2182">
        <v>65.500219999999999</v>
      </c>
      <c r="E2182">
        <f t="shared" si="38"/>
        <v>0</v>
      </c>
      <c r="F2182">
        <v>7.5300000000000006E-2</v>
      </c>
      <c r="J2182">
        <v>1.158E-3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</row>
    <row r="2183" spans="1:20">
      <c r="A2183">
        <f t="shared" si="35"/>
        <v>2182</v>
      </c>
      <c r="B2183" t="str">
        <f t="shared" si="37"/>
        <v>Gillespie 1980</v>
      </c>
      <c r="C2183">
        <v>422.03888888888889</v>
      </c>
      <c r="D2183">
        <v>103.42139999999999</v>
      </c>
      <c r="E2183">
        <f t="shared" si="38"/>
        <v>0</v>
      </c>
      <c r="F2183">
        <v>5.1299999999999998E-2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</row>
    <row r="2184" spans="1:20">
      <c r="A2184">
        <f t="shared" si="35"/>
        <v>2183</v>
      </c>
      <c r="B2184" t="str">
        <f t="shared" si="37"/>
        <v>Gillespie 1980</v>
      </c>
      <c r="C2184">
        <v>477.59444444444443</v>
      </c>
      <c r="D2184">
        <v>31.026419999999998</v>
      </c>
      <c r="E2184">
        <f t="shared" si="38"/>
        <v>0</v>
      </c>
      <c r="F2184">
        <v>0.55490000000000006</v>
      </c>
      <c r="J2184">
        <v>4.2900000000000002E-4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</row>
    <row r="2185" spans="1:20">
      <c r="A2185">
        <f t="shared" si="35"/>
        <v>2184</v>
      </c>
      <c r="B2185" t="str">
        <f t="shared" si="37"/>
        <v>Gillespie 1980</v>
      </c>
      <c r="C2185">
        <v>477.59444444444443</v>
      </c>
      <c r="D2185">
        <v>65.500219999999999</v>
      </c>
      <c r="E2185">
        <f t="shared" si="38"/>
        <v>0</v>
      </c>
      <c r="F2185">
        <v>0.2848</v>
      </c>
      <c r="J2185">
        <v>1.4630000000000001E-3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</row>
    <row r="2186" spans="1:20">
      <c r="A2186">
        <f t="shared" si="35"/>
        <v>2185</v>
      </c>
      <c r="B2186" t="str">
        <f t="shared" si="37"/>
        <v>Gillespie 1980</v>
      </c>
      <c r="C2186">
        <v>477.59444444444443</v>
      </c>
      <c r="D2186">
        <v>103.42139999999999</v>
      </c>
      <c r="E2186">
        <f t="shared" si="38"/>
        <v>0</v>
      </c>
      <c r="F2186">
        <v>0.18780000000000002</v>
      </c>
      <c r="J2186">
        <v>2.5699999999999998E-3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</row>
  </sheetData>
  <autoFilter ref="A1:T2186" xr:uid="{8FF74253-F011-4100-A1A5-51E34C8750D4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5651-7D92-4988-BEE9-2F7DB3843476}">
  <sheetPr filterMode="1"/>
  <dimension ref="A1:Y2295"/>
  <sheetViews>
    <sheetView workbookViewId="0">
      <pane xSplit="1" ySplit="1" topLeftCell="G406" activePane="bottomRight" state="frozen"/>
      <selection pane="topRight" activeCell="B1" sqref="B1"/>
      <selection pane="bottomLeft" activeCell="A2" sqref="A2"/>
      <selection pane="bottomRight" activeCell="H1215" sqref="H1215:H1232"/>
    </sheetView>
  </sheetViews>
  <sheetFormatPr defaultColWidth="19" defaultRowHeight="14.5"/>
  <sheetData>
    <row r="1" spans="1:25">
      <c r="A1" t="s">
        <v>1</v>
      </c>
      <c r="B1" t="s">
        <v>23</v>
      </c>
      <c r="C1" t="s">
        <v>21</v>
      </c>
      <c r="D1" t="s">
        <v>22</v>
      </c>
      <c r="E1" t="s">
        <v>25</v>
      </c>
      <c r="F1" t="s">
        <v>24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</row>
    <row r="2" spans="1:25" hidden="1">
      <c r="A2" t="s">
        <v>30</v>
      </c>
      <c r="H2">
        <v>310.44</v>
      </c>
      <c r="I2">
        <v>1.006</v>
      </c>
      <c r="J2" t="str">
        <f t="shared" ref="J2:J23" si="0">J1</f>
        <v>Sal_m</v>
      </c>
      <c r="L2">
        <v>4.5839999999999998E-4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hidden="1">
      <c r="A3" t="s">
        <v>30</v>
      </c>
      <c r="H3">
        <v>373.15</v>
      </c>
      <c r="I3">
        <v>1.871</v>
      </c>
      <c r="J3" t="str">
        <f t="shared" si="0"/>
        <v>Sal_m</v>
      </c>
      <c r="L3">
        <v>2.0579999999999999E-4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hidden="1">
      <c r="A4" t="s">
        <v>32</v>
      </c>
      <c r="H4">
        <v>273.25</v>
      </c>
      <c r="I4">
        <v>1.0189999999999999</v>
      </c>
      <c r="J4" t="str">
        <f t="shared" si="0"/>
        <v>Sal_m</v>
      </c>
      <c r="L4">
        <v>1.379E-3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hidden="1">
      <c r="A5" t="s">
        <v>32</v>
      </c>
      <c r="H5">
        <v>276.95</v>
      </c>
      <c r="I5">
        <v>1.0209999999999999</v>
      </c>
      <c r="J5" t="str">
        <f t="shared" si="0"/>
        <v>Sal_m</v>
      </c>
      <c r="L5">
        <v>1.206E-3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hidden="1">
      <c r="A6" t="s">
        <v>32</v>
      </c>
      <c r="H6">
        <v>279.95</v>
      </c>
      <c r="I6">
        <v>1.0229999999999999</v>
      </c>
      <c r="J6" t="str">
        <f t="shared" si="0"/>
        <v>Sal_m</v>
      </c>
      <c r="L6">
        <v>1.0839999999999999E-3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hidden="1">
      <c r="A7" t="s">
        <v>32</v>
      </c>
      <c r="H7">
        <v>285.95</v>
      </c>
      <c r="I7">
        <v>1.028</v>
      </c>
      <c r="J7" t="str">
        <f t="shared" si="0"/>
        <v>Sal_m</v>
      </c>
      <c r="L7">
        <v>8.8869999999999997E-4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hidden="1">
      <c r="A8" t="s">
        <v>32</v>
      </c>
      <c r="H8">
        <v>287.95</v>
      </c>
      <c r="I8">
        <v>1.03</v>
      </c>
      <c r="J8" t="str">
        <f t="shared" si="0"/>
        <v>Sal_m</v>
      </c>
      <c r="L8">
        <v>8.2810000000000002E-4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hidden="1">
      <c r="A9" t="s">
        <v>32</v>
      </c>
      <c r="H9">
        <v>292.05</v>
      </c>
      <c r="I9">
        <v>1.0349999999999999</v>
      </c>
      <c r="J9" t="str">
        <f t="shared" si="0"/>
        <v>Sal_m</v>
      </c>
      <c r="L9">
        <v>7.3930000000000003E-4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hidden="1">
      <c r="A10" t="s">
        <v>32</v>
      </c>
      <c r="H10">
        <v>294.35000000000002</v>
      </c>
      <c r="I10">
        <v>1.038</v>
      </c>
      <c r="J10" t="str">
        <f t="shared" si="0"/>
        <v>Sal_m</v>
      </c>
      <c r="L10">
        <v>6.8860000000000004E-4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hidden="1">
      <c r="A11" t="s">
        <v>32</v>
      </c>
      <c r="H11">
        <v>295.75</v>
      </c>
      <c r="I11">
        <v>1.0409999999999999</v>
      </c>
      <c r="J11" t="str">
        <f t="shared" si="0"/>
        <v>Sal_m</v>
      </c>
      <c r="L11">
        <v>6.5959999999999999E-4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hidden="1">
      <c r="A12" t="s">
        <v>32</v>
      </c>
      <c r="H12">
        <v>299.35000000000002</v>
      </c>
      <c r="I12">
        <v>1.0469999999999999</v>
      </c>
      <c r="J12" t="str">
        <f t="shared" si="0"/>
        <v>Sal_m</v>
      </c>
      <c r="L12">
        <v>5.9349999999999995E-4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hidden="1">
      <c r="A13" t="s">
        <v>32</v>
      </c>
      <c r="H13">
        <v>304.25</v>
      </c>
      <c r="I13">
        <v>1.0580000000000001</v>
      </c>
      <c r="J13" t="str">
        <f t="shared" si="0"/>
        <v>Sal_m</v>
      </c>
      <c r="L13">
        <v>5.2720000000000002E-4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hidden="1">
      <c r="A14" t="s">
        <v>32</v>
      </c>
      <c r="H14">
        <v>310.45</v>
      </c>
      <c r="I14">
        <v>1.077</v>
      </c>
      <c r="J14" t="str">
        <f t="shared" si="0"/>
        <v>Sal_m</v>
      </c>
      <c r="L14">
        <v>4.5839999999999998E-4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hidden="1">
      <c r="A15" t="s">
        <v>32</v>
      </c>
      <c r="H15">
        <v>313.55</v>
      </c>
      <c r="I15">
        <v>1.089</v>
      </c>
      <c r="J15" t="str">
        <f t="shared" si="0"/>
        <v>Sal_m</v>
      </c>
      <c r="L15">
        <v>4.325E-4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hidden="1">
      <c r="A16" t="s">
        <v>32</v>
      </c>
      <c r="H16">
        <v>317.05</v>
      </c>
      <c r="I16">
        <v>1.1040000000000001</v>
      </c>
      <c r="J16" t="str">
        <f t="shared" si="0"/>
        <v>Sal_m</v>
      </c>
      <c r="L16">
        <v>4.0049999999999998E-4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hidden="1">
      <c r="A17" t="s">
        <v>32</v>
      </c>
      <c r="H17">
        <v>322.95</v>
      </c>
      <c r="I17">
        <v>1.135</v>
      </c>
      <c r="J17" t="str">
        <f t="shared" si="0"/>
        <v>Sal_m</v>
      </c>
      <c r="L17">
        <v>3.5879999999999999E-4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idden="1">
      <c r="A18" t="s">
        <v>32</v>
      </c>
      <c r="H18">
        <v>334.55</v>
      </c>
      <c r="I18">
        <v>1.226</v>
      </c>
      <c r="J18" t="str">
        <f t="shared" si="0"/>
        <v>Sal_m</v>
      </c>
      <c r="L18">
        <v>2.8889999999999997E-4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hidden="1">
      <c r="A19" t="s">
        <v>27</v>
      </c>
      <c r="H19">
        <v>277.55</v>
      </c>
      <c r="I19">
        <v>1.022</v>
      </c>
      <c r="J19" t="str">
        <f t="shared" si="0"/>
        <v>Sal_m</v>
      </c>
      <c r="L19">
        <v>1.188E-3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hidden="1">
      <c r="A20" t="s">
        <v>27</v>
      </c>
      <c r="H20">
        <v>281.55</v>
      </c>
      <c r="I20">
        <v>1.024</v>
      </c>
      <c r="J20" t="str">
        <f t="shared" si="0"/>
        <v>Sal_m</v>
      </c>
      <c r="L20">
        <v>1.005E-3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hidden="1">
      <c r="A21" t="s">
        <v>27</v>
      </c>
      <c r="H21">
        <v>286.95</v>
      </c>
      <c r="I21">
        <v>1.0289999999999999</v>
      </c>
      <c r="J21" t="str">
        <f t="shared" si="0"/>
        <v>Sal_m</v>
      </c>
      <c r="L21">
        <v>8.6210000000000008E-4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hidden="1">
      <c r="A22" t="s">
        <v>27</v>
      </c>
      <c r="H22">
        <v>289.25</v>
      </c>
      <c r="I22">
        <v>1.032</v>
      </c>
      <c r="J22" t="str">
        <f t="shared" si="0"/>
        <v>Sal_m</v>
      </c>
      <c r="L22">
        <v>7.8459999999999999E-4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hidden="1">
      <c r="A23" t="s">
        <v>27</v>
      </c>
      <c r="H23">
        <v>292.25</v>
      </c>
      <c r="I23">
        <v>1.0349999999999999</v>
      </c>
      <c r="J23" t="str">
        <f t="shared" si="0"/>
        <v>Sal_m</v>
      </c>
      <c r="L23">
        <v>7.2599999999999997E-4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hidden="1">
      <c r="A24" t="s">
        <v>68</v>
      </c>
      <c r="H24">
        <v>306.14999999999998</v>
      </c>
      <c r="I24">
        <v>8</v>
      </c>
      <c r="J24">
        <v>0</v>
      </c>
      <c r="L24" s="3">
        <v>3.7600000000000003E-3</v>
      </c>
      <c r="M24" s="3"/>
      <c r="S24">
        <f t="shared" ref="S24:Y30" si="1">S23</f>
        <v>1</v>
      </c>
      <c r="T24">
        <f t="shared" si="1"/>
        <v>0</v>
      </c>
      <c r="U24">
        <f t="shared" si="1"/>
        <v>0</v>
      </c>
      <c r="V24">
        <f t="shared" si="1"/>
        <v>0</v>
      </c>
      <c r="W24">
        <f t="shared" si="1"/>
        <v>0</v>
      </c>
      <c r="X24">
        <f t="shared" si="1"/>
        <v>0</v>
      </c>
      <c r="Y24">
        <f t="shared" si="1"/>
        <v>0</v>
      </c>
    </row>
    <row r="25" spans="1:25" hidden="1">
      <c r="A25" t="str">
        <f t="shared" ref="A25:A30" si="2">A24</f>
        <v>Cramer 1982</v>
      </c>
      <c r="H25">
        <v>399.45</v>
      </c>
      <c r="I25">
        <v>20</v>
      </c>
      <c r="J25">
        <v>0</v>
      </c>
      <c r="L25" s="3">
        <v>2.8649999999999999E-3</v>
      </c>
      <c r="M25" s="3"/>
      <c r="S25">
        <f t="shared" si="1"/>
        <v>1</v>
      </c>
      <c r="T25">
        <f t="shared" si="1"/>
        <v>0</v>
      </c>
      <c r="U25">
        <f t="shared" si="1"/>
        <v>0</v>
      </c>
      <c r="V25">
        <f t="shared" si="1"/>
        <v>0</v>
      </c>
      <c r="W25">
        <f t="shared" si="1"/>
        <v>0</v>
      </c>
      <c r="X25">
        <f t="shared" si="1"/>
        <v>0</v>
      </c>
      <c r="Y25">
        <f t="shared" si="1"/>
        <v>0</v>
      </c>
    </row>
    <row r="26" spans="1:25" hidden="1">
      <c r="A26" t="str">
        <f t="shared" si="2"/>
        <v>Cramer 1982</v>
      </c>
      <c r="H26">
        <v>405.65</v>
      </c>
      <c r="I26">
        <v>20</v>
      </c>
      <c r="J26">
        <v>0</v>
      </c>
      <c r="L26" s="3">
        <v>2.7160000000000001E-3</v>
      </c>
      <c r="M26" s="3"/>
      <c r="S26">
        <f t="shared" si="1"/>
        <v>1</v>
      </c>
      <c r="T26">
        <f t="shared" si="1"/>
        <v>0</v>
      </c>
      <c r="U26">
        <f t="shared" si="1"/>
        <v>0</v>
      </c>
      <c r="V26">
        <f t="shared" si="1"/>
        <v>0</v>
      </c>
      <c r="W26">
        <f t="shared" si="1"/>
        <v>0</v>
      </c>
      <c r="X26">
        <f t="shared" si="1"/>
        <v>0</v>
      </c>
      <c r="Y26">
        <f t="shared" si="1"/>
        <v>0</v>
      </c>
    </row>
    <row r="27" spans="1:25" hidden="1">
      <c r="A27" t="str">
        <f t="shared" si="2"/>
        <v>Cramer 1982</v>
      </c>
      <c r="H27">
        <v>419.15</v>
      </c>
      <c r="I27">
        <v>28</v>
      </c>
      <c r="J27">
        <v>0</v>
      </c>
      <c r="L27" s="3">
        <v>4.1580000000000002E-3</v>
      </c>
      <c r="M27" s="3"/>
      <c r="S27">
        <f t="shared" si="1"/>
        <v>1</v>
      </c>
      <c r="T27">
        <f t="shared" si="1"/>
        <v>0</v>
      </c>
      <c r="U27">
        <f t="shared" si="1"/>
        <v>0</v>
      </c>
      <c r="V27">
        <f t="shared" si="1"/>
        <v>0</v>
      </c>
      <c r="W27">
        <f t="shared" si="1"/>
        <v>0</v>
      </c>
      <c r="X27">
        <f t="shared" si="1"/>
        <v>0</v>
      </c>
      <c r="Y27">
        <f t="shared" si="1"/>
        <v>0</v>
      </c>
    </row>
    <row r="28" spans="1:25" hidden="1">
      <c r="A28" t="str">
        <f t="shared" si="2"/>
        <v>Cramer 1982</v>
      </c>
      <c r="H28">
        <v>426.65</v>
      </c>
      <c r="I28">
        <v>31</v>
      </c>
      <c r="J28">
        <v>0</v>
      </c>
      <c r="L28" s="3">
        <v>4.3560000000000005E-3</v>
      </c>
      <c r="M28" s="3"/>
      <c r="S28">
        <f t="shared" si="1"/>
        <v>1</v>
      </c>
      <c r="T28">
        <f t="shared" si="1"/>
        <v>0</v>
      </c>
      <c r="U28">
        <f t="shared" si="1"/>
        <v>0</v>
      </c>
      <c r="V28">
        <f t="shared" si="1"/>
        <v>0</v>
      </c>
      <c r="W28">
        <f t="shared" si="1"/>
        <v>0</v>
      </c>
      <c r="X28">
        <f t="shared" si="1"/>
        <v>0</v>
      </c>
      <c r="Y28">
        <f t="shared" si="1"/>
        <v>0</v>
      </c>
    </row>
    <row r="29" spans="1:25" hidden="1">
      <c r="A29" t="str">
        <f t="shared" si="2"/>
        <v>Cramer 1982</v>
      </c>
      <c r="H29">
        <v>471.25</v>
      </c>
      <c r="I29">
        <v>41</v>
      </c>
      <c r="J29">
        <v>0</v>
      </c>
      <c r="L29" s="3">
        <v>4.7580000000000001E-3</v>
      </c>
      <c r="M29" s="3"/>
      <c r="S29">
        <f t="shared" si="1"/>
        <v>1</v>
      </c>
      <c r="T29">
        <f t="shared" si="1"/>
        <v>0</v>
      </c>
      <c r="U29">
        <f t="shared" si="1"/>
        <v>0</v>
      </c>
      <c r="V29">
        <f t="shared" si="1"/>
        <v>0</v>
      </c>
      <c r="W29">
        <f t="shared" si="1"/>
        <v>0</v>
      </c>
      <c r="X29">
        <f t="shared" si="1"/>
        <v>0</v>
      </c>
      <c r="Y29">
        <f t="shared" si="1"/>
        <v>0</v>
      </c>
    </row>
    <row r="30" spans="1:25" hidden="1">
      <c r="A30" t="str">
        <f t="shared" si="2"/>
        <v>Cramer 1982</v>
      </c>
      <c r="H30">
        <v>486.25</v>
      </c>
      <c r="I30">
        <v>58</v>
      </c>
      <c r="J30">
        <v>0</v>
      </c>
      <c r="L30" s="3">
        <v>7.1720000000000004E-3</v>
      </c>
      <c r="M30" s="3"/>
      <c r="S30">
        <f t="shared" si="1"/>
        <v>1</v>
      </c>
      <c r="T30">
        <f t="shared" si="1"/>
        <v>0</v>
      </c>
      <c r="U30">
        <f t="shared" si="1"/>
        <v>0</v>
      </c>
      <c r="V30">
        <f t="shared" si="1"/>
        <v>0</v>
      </c>
      <c r="W30">
        <f t="shared" si="1"/>
        <v>0</v>
      </c>
      <c r="X30">
        <f t="shared" si="1"/>
        <v>0</v>
      </c>
      <c r="Y30">
        <f t="shared" si="1"/>
        <v>0</v>
      </c>
    </row>
    <row r="31" spans="1:25" hidden="1">
      <c r="A31" t="s">
        <v>71</v>
      </c>
      <c r="B31">
        <v>77</v>
      </c>
      <c r="C31">
        <v>341</v>
      </c>
      <c r="E31">
        <v>4.9700000000000005E-4</v>
      </c>
      <c r="H31">
        <f t="shared" ref="H31:H62" si="3">ROUND((B31- 32) * 5/9 + 273.15,2)</f>
        <v>298.14999999999998</v>
      </c>
      <c r="I31">
        <f t="shared" ref="I31:I62" si="4">ROUND(C31/14.504,2)</f>
        <v>23.51</v>
      </c>
      <c r="J31">
        <v>0</v>
      </c>
      <c r="P31">
        <f t="shared" ref="P31:P62" si="5">E31</f>
        <v>4.9700000000000005E-4</v>
      </c>
      <c r="S31">
        <v>0</v>
      </c>
      <c r="T31">
        <f t="shared" ref="T31:T62" si="6">T30</f>
        <v>0</v>
      </c>
      <c r="U31">
        <f t="shared" ref="U31:U62" si="7">U30</f>
        <v>0</v>
      </c>
      <c r="V31">
        <f t="shared" ref="V31:V62" si="8">V30</f>
        <v>0</v>
      </c>
      <c r="W31">
        <v>1</v>
      </c>
      <c r="X31">
        <f t="shared" ref="X31:X62" si="9">X30</f>
        <v>0</v>
      </c>
      <c r="Y31">
        <f t="shared" ref="Y31:Y62" si="10">Y30</f>
        <v>0</v>
      </c>
    </row>
    <row r="32" spans="1:25" hidden="1">
      <c r="A32" t="str">
        <f t="shared" ref="A32:A42" si="11">A31</f>
        <v>Culberson 1951</v>
      </c>
      <c r="B32">
        <f t="shared" ref="B32:B42" si="12">B31</f>
        <v>77</v>
      </c>
      <c r="C32">
        <v>459</v>
      </c>
      <c r="E32">
        <v>7.1699999999999997E-4</v>
      </c>
      <c r="H32">
        <f t="shared" si="3"/>
        <v>298.14999999999998</v>
      </c>
      <c r="I32">
        <f t="shared" si="4"/>
        <v>31.65</v>
      </c>
      <c r="J32">
        <v>0</v>
      </c>
      <c r="P32">
        <f t="shared" si="5"/>
        <v>7.1699999999999997E-4</v>
      </c>
      <c r="S32">
        <v>0</v>
      </c>
      <c r="T32">
        <f t="shared" si="6"/>
        <v>0</v>
      </c>
      <c r="U32">
        <f t="shared" si="7"/>
        <v>0</v>
      </c>
      <c r="V32">
        <f t="shared" si="8"/>
        <v>0</v>
      </c>
      <c r="W32">
        <v>1</v>
      </c>
      <c r="X32">
        <f t="shared" si="9"/>
        <v>0</v>
      </c>
      <c r="Y32">
        <f t="shared" si="10"/>
        <v>0</v>
      </c>
    </row>
    <row r="33" spans="1:25" hidden="1">
      <c r="A33" t="str">
        <f t="shared" si="11"/>
        <v>Culberson 1951</v>
      </c>
      <c r="B33">
        <f t="shared" si="12"/>
        <v>77</v>
      </c>
      <c r="C33">
        <v>659</v>
      </c>
      <c r="E33">
        <v>1E-3</v>
      </c>
      <c r="H33">
        <f t="shared" si="3"/>
        <v>298.14999999999998</v>
      </c>
      <c r="I33">
        <f t="shared" si="4"/>
        <v>45.44</v>
      </c>
      <c r="J33">
        <v>0</v>
      </c>
      <c r="P33">
        <f t="shared" si="5"/>
        <v>1E-3</v>
      </c>
      <c r="S33">
        <v>0</v>
      </c>
      <c r="T33">
        <f t="shared" si="6"/>
        <v>0</v>
      </c>
      <c r="U33">
        <f t="shared" si="7"/>
        <v>0</v>
      </c>
      <c r="V33">
        <f t="shared" si="8"/>
        <v>0</v>
      </c>
      <c r="W33">
        <v>1</v>
      </c>
      <c r="X33">
        <f t="shared" si="9"/>
        <v>0</v>
      </c>
      <c r="Y33">
        <f t="shared" si="10"/>
        <v>0</v>
      </c>
    </row>
    <row r="34" spans="1:25" hidden="1">
      <c r="A34" t="str">
        <f t="shared" si="11"/>
        <v>Culberson 1951</v>
      </c>
      <c r="B34">
        <f t="shared" si="12"/>
        <v>77</v>
      </c>
      <c r="C34">
        <v>934</v>
      </c>
      <c r="E34">
        <v>1.317E-3</v>
      </c>
      <c r="H34">
        <f t="shared" si="3"/>
        <v>298.14999999999998</v>
      </c>
      <c r="I34">
        <f t="shared" si="4"/>
        <v>64.400000000000006</v>
      </c>
      <c r="J34">
        <v>0</v>
      </c>
      <c r="P34">
        <f t="shared" si="5"/>
        <v>1.317E-3</v>
      </c>
      <c r="S34">
        <v>0</v>
      </c>
      <c r="T34">
        <f t="shared" si="6"/>
        <v>0</v>
      </c>
      <c r="U34">
        <f t="shared" si="7"/>
        <v>0</v>
      </c>
      <c r="V34">
        <f t="shared" si="8"/>
        <v>0</v>
      </c>
      <c r="W34">
        <v>1</v>
      </c>
      <c r="X34">
        <f t="shared" si="9"/>
        <v>0</v>
      </c>
      <c r="Y34">
        <f t="shared" si="10"/>
        <v>0</v>
      </c>
    </row>
    <row r="35" spans="1:25" hidden="1">
      <c r="A35" t="str">
        <f t="shared" si="11"/>
        <v>Culberson 1951</v>
      </c>
      <c r="B35">
        <f t="shared" si="12"/>
        <v>77</v>
      </c>
      <c r="C35">
        <v>1290</v>
      </c>
      <c r="E35">
        <v>1.678E-3</v>
      </c>
      <c r="H35">
        <f t="shared" si="3"/>
        <v>298.14999999999998</v>
      </c>
      <c r="I35">
        <f t="shared" si="4"/>
        <v>88.94</v>
      </c>
      <c r="J35">
        <v>0</v>
      </c>
      <c r="P35">
        <f t="shared" si="5"/>
        <v>1.678E-3</v>
      </c>
      <c r="S35">
        <v>0</v>
      </c>
      <c r="T35">
        <f t="shared" si="6"/>
        <v>0</v>
      </c>
      <c r="U35">
        <f t="shared" si="7"/>
        <v>0</v>
      </c>
      <c r="V35">
        <f t="shared" si="8"/>
        <v>0</v>
      </c>
      <c r="W35">
        <v>1</v>
      </c>
      <c r="X35">
        <f t="shared" si="9"/>
        <v>0</v>
      </c>
      <c r="Y35">
        <f t="shared" si="10"/>
        <v>0</v>
      </c>
    </row>
    <row r="36" spans="1:25" hidden="1">
      <c r="A36" t="str">
        <f t="shared" si="11"/>
        <v>Culberson 1951</v>
      </c>
      <c r="B36">
        <f t="shared" si="12"/>
        <v>77</v>
      </c>
      <c r="C36">
        <v>1930</v>
      </c>
      <c r="E36">
        <v>2.235E-3</v>
      </c>
      <c r="H36">
        <f t="shared" si="3"/>
        <v>298.14999999999998</v>
      </c>
      <c r="I36">
        <f t="shared" si="4"/>
        <v>133.07</v>
      </c>
      <c r="J36">
        <v>0</v>
      </c>
      <c r="P36">
        <f t="shared" si="5"/>
        <v>2.235E-3</v>
      </c>
      <c r="S36">
        <v>0</v>
      </c>
      <c r="T36">
        <f t="shared" si="6"/>
        <v>0</v>
      </c>
      <c r="U36">
        <f t="shared" si="7"/>
        <v>0</v>
      </c>
      <c r="V36">
        <f t="shared" si="8"/>
        <v>0</v>
      </c>
      <c r="W36">
        <v>1</v>
      </c>
      <c r="X36">
        <f t="shared" si="9"/>
        <v>0</v>
      </c>
      <c r="Y36">
        <f t="shared" si="10"/>
        <v>0</v>
      </c>
    </row>
    <row r="37" spans="1:25" hidden="1">
      <c r="A37" t="str">
        <f t="shared" si="11"/>
        <v>Culberson 1951</v>
      </c>
      <c r="B37">
        <f t="shared" si="12"/>
        <v>77</v>
      </c>
      <c r="C37">
        <v>2495</v>
      </c>
      <c r="E37">
        <v>2.5850000000000001E-3</v>
      </c>
      <c r="H37">
        <f t="shared" si="3"/>
        <v>298.14999999999998</v>
      </c>
      <c r="I37">
        <f t="shared" si="4"/>
        <v>172.02</v>
      </c>
      <c r="J37">
        <v>0</v>
      </c>
      <c r="P37">
        <f t="shared" si="5"/>
        <v>2.5850000000000001E-3</v>
      </c>
      <c r="S37">
        <v>0</v>
      </c>
      <c r="T37">
        <f t="shared" si="6"/>
        <v>0</v>
      </c>
      <c r="U37">
        <f t="shared" si="7"/>
        <v>0</v>
      </c>
      <c r="V37">
        <f t="shared" si="8"/>
        <v>0</v>
      </c>
      <c r="W37">
        <v>1</v>
      </c>
      <c r="X37">
        <f t="shared" si="9"/>
        <v>0</v>
      </c>
      <c r="Y37">
        <f t="shared" si="10"/>
        <v>0</v>
      </c>
    </row>
    <row r="38" spans="1:25" hidden="1">
      <c r="A38" t="str">
        <f t="shared" si="11"/>
        <v>Culberson 1951</v>
      </c>
      <c r="B38">
        <f t="shared" si="12"/>
        <v>77</v>
      </c>
      <c r="C38">
        <v>3515</v>
      </c>
      <c r="E38">
        <v>3.1099999999999999E-3</v>
      </c>
      <c r="H38">
        <f t="shared" si="3"/>
        <v>298.14999999999998</v>
      </c>
      <c r="I38">
        <f t="shared" si="4"/>
        <v>242.35</v>
      </c>
      <c r="J38">
        <v>0</v>
      </c>
      <c r="P38">
        <f t="shared" si="5"/>
        <v>3.1099999999999999E-3</v>
      </c>
      <c r="S38">
        <v>0</v>
      </c>
      <c r="T38">
        <f t="shared" si="6"/>
        <v>0</v>
      </c>
      <c r="U38">
        <f t="shared" si="7"/>
        <v>0</v>
      </c>
      <c r="V38">
        <f t="shared" si="8"/>
        <v>0</v>
      </c>
      <c r="W38">
        <v>1</v>
      </c>
      <c r="X38">
        <f t="shared" si="9"/>
        <v>0</v>
      </c>
      <c r="Y38">
        <f t="shared" si="10"/>
        <v>0</v>
      </c>
    </row>
    <row r="39" spans="1:25" hidden="1">
      <c r="A39" t="str">
        <f t="shared" si="11"/>
        <v>Culberson 1951</v>
      </c>
      <c r="B39">
        <f t="shared" si="12"/>
        <v>77</v>
      </c>
      <c r="C39">
        <v>4810</v>
      </c>
      <c r="E39">
        <v>3.6600000000000001E-3</v>
      </c>
      <c r="H39">
        <f t="shared" si="3"/>
        <v>298.14999999999998</v>
      </c>
      <c r="I39">
        <f t="shared" si="4"/>
        <v>331.63</v>
      </c>
      <c r="J39">
        <v>0</v>
      </c>
      <c r="P39">
        <f t="shared" si="5"/>
        <v>3.6600000000000001E-3</v>
      </c>
      <c r="S39">
        <v>0</v>
      </c>
      <c r="T39">
        <f t="shared" si="6"/>
        <v>0</v>
      </c>
      <c r="U39">
        <f t="shared" si="7"/>
        <v>0</v>
      </c>
      <c r="V39">
        <f t="shared" si="8"/>
        <v>0</v>
      </c>
      <c r="W39">
        <v>1</v>
      </c>
      <c r="X39">
        <f t="shared" si="9"/>
        <v>0</v>
      </c>
      <c r="Y39">
        <f t="shared" si="10"/>
        <v>0</v>
      </c>
    </row>
    <row r="40" spans="1:25" hidden="1">
      <c r="A40" t="str">
        <f t="shared" si="11"/>
        <v>Culberson 1951</v>
      </c>
      <c r="B40">
        <f t="shared" si="12"/>
        <v>77</v>
      </c>
      <c r="C40">
        <v>6440</v>
      </c>
      <c r="E40">
        <v>4.1700000000000001E-3</v>
      </c>
      <c r="H40">
        <f t="shared" si="3"/>
        <v>298.14999999999998</v>
      </c>
      <c r="I40">
        <f t="shared" si="4"/>
        <v>444.02</v>
      </c>
      <c r="J40">
        <v>0</v>
      </c>
      <c r="P40">
        <f t="shared" si="5"/>
        <v>4.1700000000000001E-3</v>
      </c>
      <c r="S40">
        <v>0</v>
      </c>
      <c r="T40">
        <f t="shared" si="6"/>
        <v>0</v>
      </c>
      <c r="U40">
        <f t="shared" si="7"/>
        <v>0</v>
      </c>
      <c r="V40">
        <f t="shared" si="8"/>
        <v>0</v>
      </c>
      <c r="W40">
        <v>1</v>
      </c>
      <c r="X40">
        <f t="shared" si="9"/>
        <v>0</v>
      </c>
      <c r="Y40">
        <f t="shared" si="10"/>
        <v>0</v>
      </c>
    </row>
    <row r="41" spans="1:25" hidden="1">
      <c r="A41" t="str">
        <f t="shared" si="11"/>
        <v>Culberson 1951</v>
      </c>
      <c r="B41">
        <f t="shared" si="12"/>
        <v>77</v>
      </c>
      <c r="C41">
        <v>7795</v>
      </c>
      <c r="E41">
        <v>4.3699999999999998E-3</v>
      </c>
      <c r="H41">
        <f t="shared" si="3"/>
        <v>298.14999999999998</v>
      </c>
      <c r="I41">
        <f t="shared" si="4"/>
        <v>537.44000000000005</v>
      </c>
      <c r="J41">
        <v>0</v>
      </c>
      <c r="P41">
        <f t="shared" si="5"/>
        <v>4.3699999999999998E-3</v>
      </c>
      <c r="S41">
        <v>0</v>
      </c>
      <c r="T41">
        <f t="shared" si="6"/>
        <v>0</v>
      </c>
      <c r="U41">
        <f t="shared" si="7"/>
        <v>0</v>
      </c>
      <c r="V41">
        <f t="shared" si="8"/>
        <v>0</v>
      </c>
      <c r="W41">
        <v>1</v>
      </c>
      <c r="X41">
        <f t="shared" si="9"/>
        <v>0</v>
      </c>
      <c r="Y41">
        <f t="shared" si="10"/>
        <v>0</v>
      </c>
    </row>
    <row r="42" spans="1:25" hidden="1">
      <c r="A42" t="str">
        <f t="shared" si="11"/>
        <v>Culberson 1951</v>
      </c>
      <c r="B42">
        <f t="shared" si="12"/>
        <v>77</v>
      </c>
      <c r="C42">
        <v>9300</v>
      </c>
      <c r="E42">
        <v>4.45E-3</v>
      </c>
      <c r="H42">
        <f t="shared" si="3"/>
        <v>298.14999999999998</v>
      </c>
      <c r="I42">
        <f t="shared" si="4"/>
        <v>641.20000000000005</v>
      </c>
      <c r="J42">
        <v>0</v>
      </c>
      <c r="P42">
        <f t="shared" si="5"/>
        <v>4.45E-3</v>
      </c>
      <c r="S42">
        <v>0</v>
      </c>
      <c r="T42">
        <f t="shared" si="6"/>
        <v>0</v>
      </c>
      <c r="U42">
        <f t="shared" si="7"/>
        <v>0</v>
      </c>
      <c r="V42">
        <f t="shared" si="8"/>
        <v>0</v>
      </c>
      <c r="W42">
        <v>1</v>
      </c>
      <c r="X42">
        <f t="shared" si="9"/>
        <v>0</v>
      </c>
      <c r="Y42">
        <f t="shared" si="10"/>
        <v>0</v>
      </c>
    </row>
    <row r="43" spans="1:25" hidden="1">
      <c r="A43" t="str">
        <f t="shared" ref="A43:A74" si="13">A42</f>
        <v>Culberson 1951</v>
      </c>
      <c r="B43">
        <v>100</v>
      </c>
      <c r="C43">
        <v>330</v>
      </c>
      <c r="E43">
        <v>4.4000000000000002E-4</v>
      </c>
      <c r="H43">
        <f t="shared" si="3"/>
        <v>310.93</v>
      </c>
      <c r="I43">
        <f t="shared" si="4"/>
        <v>22.75</v>
      </c>
      <c r="J43">
        <v>0</v>
      </c>
      <c r="P43">
        <f t="shared" si="5"/>
        <v>4.4000000000000002E-4</v>
      </c>
      <c r="S43">
        <v>0</v>
      </c>
      <c r="T43">
        <f t="shared" si="6"/>
        <v>0</v>
      </c>
      <c r="U43">
        <f t="shared" si="7"/>
        <v>0</v>
      </c>
      <c r="V43">
        <f t="shared" si="8"/>
        <v>0</v>
      </c>
      <c r="W43">
        <v>1</v>
      </c>
      <c r="X43">
        <f t="shared" si="9"/>
        <v>0</v>
      </c>
      <c r="Y43">
        <f t="shared" si="10"/>
        <v>0</v>
      </c>
    </row>
    <row r="44" spans="1:25" hidden="1">
      <c r="A44" t="str">
        <f t="shared" si="13"/>
        <v>Culberson 1951</v>
      </c>
      <c r="B44">
        <f t="shared" ref="B44:B54" si="14">B43</f>
        <v>100</v>
      </c>
      <c r="C44">
        <v>477</v>
      </c>
      <c r="E44">
        <v>6.1899999999999998E-4</v>
      </c>
      <c r="H44">
        <f t="shared" si="3"/>
        <v>310.93</v>
      </c>
      <c r="I44">
        <f t="shared" si="4"/>
        <v>32.89</v>
      </c>
      <c r="J44">
        <v>0</v>
      </c>
      <c r="P44">
        <f t="shared" si="5"/>
        <v>6.1899999999999998E-4</v>
      </c>
      <c r="S44">
        <v>0</v>
      </c>
      <c r="T44">
        <f t="shared" si="6"/>
        <v>0</v>
      </c>
      <c r="U44">
        <f t="shared" si="7"/>
        <v>0</v>
      </c>
      <c r="V44">
        <f t="shared" si="8"/>
        <v>0</v>
      </c>
      <c r="W44">
        <v>1</v>
      </c>
      <c r="X44">
        <f t="shared" si="9"/>
        <v>0</v>
      </c>
      <c r="Y44">
        <f t="shared" si="10"/>
        <v>0</v>
      </c>
    </row>
    <row r="45" spans="1:25" hidden="1">
      <c r="A45" t="str">
        <f t="shared" si="13"/>
        <v>Culberson 1951</v>
      </c>
      <c r="B45">
        <f t="shared" si="14"/>
        <v>100</v>
      </c>
      <c r="C45">
        <v>664</v>
      </c>
      <c r="E45">
        <v>8.3900000000000001E-4</v>
      </c>
      <c r="H45">
        <f t="shared" si="3"/>
        <v>310.93</v>
      </c>
      <c r="I45">
        <f t="shared" si="4"/>
        <v>45.78</v>
      </c>
      <c r="J45">
        <v>0</v>
      </c>
      <c r="P45">
        <f t="shared" si="5"/>
        <v>8.3900000000000001E-4</v>
      </c>
      <c r="S45">
        <v>0</v>
      </c>
      <c r="T45">
        <f t="shared" si="6"/>
        <v>0</v>
      </c>
      <c r="U45">
        <f t="shared" si="7"/>
        <v>0</v>
      </c>
      <c r="V45">
        <f t="shared" si="8"/>
        <v>0</v>
      </c>
      <c r="W45">
        <v>1</v>
      </c>
      <c r="X45">
        <f t="shared" si="9"/>
        <v>0</v>
      </c>
      <c r="Y45">
        <f t="shared" si="10"/>
        <v>0</v>
      </c>
    </row>
    <row r="46" spans="1:25" hidden="1">
      <c r="A46" t="str">
        <f t="shared" si="13"/>
        <v>Culberson 1951</v>
      </c>
      <c r="B46">
        <f t="shared" si="14"/>
        <v>100</v>
      </c>
      <c r="C46">
        <v>950</v>
      </c>
      <c r="E46">
        <v>1.1230000000000001E-3</v>
      </c>
      <c r="H46">
        <f t="shared" si="3"/>
        <v>310.93</v>
      </c>
      <c r="I46">
        <f t="shared" si="4"/>
        <v>65.5</v>
      </c>
      <c r="J46">
        <v>0</v>
      </c>
      <c r="P46">
        <f t="shared" si="5"/>
        <v>1.1230000000000001E-3</v>
      </c>
      <c r="S46">
        <v>0</v>
      </c>
      <c r="T46">
        <f t="shared" si="6"/>
        <v>0</v>
      </c>
      <c r="U46">
        <f t="shared" si="7"/>
        <v>0</v>
      </c>
      <c r="V46">
        <f t="shared" si="8"/>
        <v>0</v>
      </c>
      <c r="W46">
        <v>1</v>
      </c>
      <c r="X46">
        <f t="shared" si="9"/>
        <v>0</v>
      </c>
      <c r="Y46">
        <f t="shared" si="10"/>
        <v>0</v>
      </c>
    </row>
    <row r="47" spans="1:25" hidden="1">
      <c r="A47" t="str">
        <f t="shared" si="13"/>
        <v>Culberson 1951</v>
      </c>
      <c r="B47">
        <f t="shared" si="14"/>
        <v>100</v>
      </c>
      <c r="C47">
        <v>1270</v>
      </c>
      <c r="E47">
        <v>1.4400000000000001E-3</v>
      </c>
      <c r="H47">
        <f t="shared" si="3"/>
        <v>310.93</v>
      </c>
      <c r="I47">
        <f t="shared" si="4"/>
        <v>87.56</v>
      </c>
      <c r="J47">
        <v>0</v>
      </c>
      <c r="P47">
        <f t="shared" si="5"/>
        <v>1.4400000000000001E-3</v>
      </c>
      <c r="S47">
        <v>0</v>
      </c>
      <c r="T47">
        <f t="shared" si="6"/>
        <v>0</v>
      </c>
      <c r="U47">
        <f t="shared" si="7"/>
        <v>0</v>
      </c>
      <c r="V47">
        <f t="shared" si="8"/>
        <v>0</v>
      </c>
      <c r="W47">
        <v>1</v>
      </c>
      <c r="X47">
        <f t="shared" si="9"/>
        <v>0</v>
      </c>
      <c r="Y47">
        <f t="shared" si="10"/>
        <v>0</v>
      </c>
    </row>
    <row r="48" spans="1:25" hidden="1">
      <c r="A48" t="str">
        <f t="shared" si="13"/>
        <v>Culberson 1951</v>
      </c>
      <c r="B48">
        <f t="shared" si="14"/>
        <v>100</v>
      </c>
      <c r="C48">
        <v>1900</v>
      </c>
      <c r="E48">
        <v>1.89E-3</v>
      </c>
      <c r="H48">
        <f t="shared" si="3"/>
        <v>310.93</v>
      </c>
      <c r="I48">
        <f t="shared" si="4"/>
        <v>131</v>
      </c>
      <c r="J48">
        <v>0</v>
      </c>
      <c r="P48">
        <f t="shared" si="5"/>
        <v>1.89E-3</v>
      </c>
      <c r="S48">
        <v>0</v>
      </c>
      <c r="T48">
        <f t="shared" si="6"/>
        <v>0</v>
      </c>
      <c r="U48">
        <f t="shared" si="7"/>
        <v>0</v>
      </c>
      <c r="V48">
        <f t="shared" si="8"/>
        <v>0</v>
      </c>
      <c r="W48">
        <v>1</v>
      </c>
      <c r="X48">
        <f t="shared" si="9"/>
        <v>0</v>
      </c>
      <c r="Y48">
        <f t="shared" si="10"/>
        <v>0</v>
      </c>
    </row>
    <row r="49" spans="1:25" hidden="1">
      <c r="A49" t="str">
        <f t="shared" si="13"/>
        <v>Culberson 1951</v>
      </c>
      <c r="B49">
        <f t="shared" si="14"/>
        <v>100</v>
      </c>
      <c r="C49">
        <v>2575</v>
      </c>
      <c r="E49">
        <v>2.2899999999999999E-3</v>
      </c>
      <c r="H49">
        <f t="shared" si="3"/>
        <v>310.93</v>
      </c>
      <c r="I49">
        <f t="shared" si="4"/>
        <v>177.54</v>
      </c>
      <c r="J49">
        <v>0</v>
      </c>
      <c r="P49">
        <f t="shared" si="5"/>
        <v>2.2899999999999999E-3</v>
      </c>
      <c r="S49">
        <v>0</v>
      </c>
      <c r="T49">
        <f t="shared" si="6"/>
        <v>0</v>
      </c>
      <c r="U49">
        <f t="shared" si="7"/>
        <v>0</v>
      </c>
      <c r="V49">
        <f t="shared" si="8"/>
        <v>0</v>
      </c>
      <c r="W49">
        <v>1</v>
      </c>
      <c r="X49">
        <f t="shared" si="9"/>
        <v>0</v>
      </c>
      <c r="Y49">
        <f t="shared" si="10"/>
        <v>0</v>
      </c>
    </row>
    <row r="50" spans="1:25" hidden="1">
      <c r="A50" t="str">
        <f t="shared" si="13"/>
        <v>Culberson 1951</v>
      </c>
      <c r="B50">
        <f t="shared" si="14"/>
        <v>100</v>
      </c>
      <c r="C50">
        <v>3535</v>
      </c>
      <c r="E50">
        <v>2.7599999999999999E-3</v>
      </c>
      <c r="H50">
        <f t="shared" si="3"/>
        <v>310.93</v>
      </c>
      <c r="I50">
        <f t="shared" si="4"/>
        <v>243.73</v>
      </c>
      <c r="J50">
        <v>0</v>
      </c>
      <c r="P50">
        <f t="shared" si="5"/>
        <v>2.7599999999999999E-3</v>
      </c>
      <c r="S50">
        <v>0</v>
      </c>
      <c r="T50">
        <f t="shared" si="6"/>
        <v>0</v>
      </c>
      <c r="U50">
        <f t="shared" si="7"/>
        <v>0</v>
      </c>
      <c r="V50">
        <f t="shared" si="8"/>
        <v>0</v>
      </c>
      <c r="W50">
        <v>1</v>
      </c>
      <c r="X50">
        <f t="shared" si="9"/>
        <v>0</v>
      </c>
      <c r="Y50">
        <f t="shared" si="10"/>
        <v>0</v>
      </c>
    </row>
    <row r="51" spans="1:25" hidden="1">
      <c r="A51" t="str">
        <f t="shared" si="13"/>
        <v>Culberson 1951</v>
      </c>
      <c r="B51">
        <f t="shared" si="14"/>
        <v>100</v>
      </c>
      <c r="C51">
        <v>4910</v>
      </c>
      <c r="E51">
        <v>3.3300000000000001E-3</v>
      </c>
      <c r="H51">
        <f t="shared" si="3"/>
        <v>310.93</v>
      </c>
      <c r="I51">
        <f t="shared" si="4"/>
        <v>338.53</v>
      </c>
      <c r="J51">
        <v>0</v>
      </c>
      <c r="P51">
        <f t="shared" si="5"/>
        <v>3.3300000000000001E-3</v>
      </c>
      <c r="S51">
        <v>0</v>
      </c>
      <c r="T51">
        <f t="shared" si="6"/>
        <v>0</v>
      </c>
      <c r="U51">
        <f t="shared" si="7"/>
        <v>0</v>
      </c>
      <c r="V51">
        <f t="shared" si="8"/>
        <v>0</v>
      </c>
      <c r="W51">
        <v>1</v>
      </c>
      <c r="X51">
        <f t="shared" si="9"/>
        <v>0</v>
      </c>
      <c r="Y51">
        <f t="shared" si="10"/>
        <v>0</v>
      </c>
    </row>
    <row r="52" spans="1:25" hidden="1">
      <c r="A52" t="str">
        <f t="shared" si="13"/>
        <v>Culberson 1951</v>
      </c>
      <c r="B52">
        <f t="shared" si="14"/>
        <v>100</v>
      </c>
      <c r="C52">
        <v>6525</v>
      </c>
      <c r="E52">
        <v>3.9100000000000003E-3</v>
      </c>
      <c r="H52">
        <f t="shared" si="3"/>
        <v>310.93</v>
      </c>
      <c r="I52">
        <f t="shared" si="4"/>
        <v>449.88</v>
      </c>
      <c r="J52">
        <v>0</v>
      </c>
      <c r="P52">
        <f t="shared" si="5"/>
        <v>3.9100000000000003E-3</v>
      </c>
      <c r="S52">
        <v>0</v>
      </c>
      <c r="T52">
        <f t="shared" si="6"/>
        <v>0</v>
      </c>
      <c r="U52">
        <f t="shared" si="7"/>
        <v>0</v>
      </c>
      <c r="V52">
        <f t="shared" si="8"/>
        <v>0</v>
      </c>
      <c r="W52">
        <v>1</v>
      </c>
      <c r="X52">
        <f t="shared" si="9"/>
        <v>0</v>
      </c>
      <c r="Y52">
        <f t="shared" si="10"/>
        <v>0</v>
      </c>
    </row>
    <row r="53" spans="1:25" hidden="1">
      <c r="A53" t="str">
        <f t="shared" si="13"/>
        <v>Culberson 1951</v>
      </c>
      <c r="B53">
        <f t="shared" si="14"/>
        <v>100</v>
      </c>
      <c r="C53">
        <v>7870</v>
      </c>
      <c r="E53">
        <v>4.1700000000000001E-3</v>
      </c>
      <c r="H53">
        <f t="shared" si="3"/>
        <v>310.93</v>
      </c>
      <c r="I53">
        <f t="shared" si="4"/>
        <v>542.61</v>
      </c>
      <c r="J53">
        <v>0</v>
      </c>
      <c r="P53">
        <f t="shared" si="5"/>
        <v>4.1700000000000001E-3</v>
      </c>
      <c r="S53">
        <v>0</v>
      </c>
      <c r="T53">
        <f t="shared" si="6"/>
        <v>0</v>
      </c>
      <c r="U53">
        <f t="shared" si="7"/>
        <v>0</v>
      </c>
      <c r="V53">
        <f t="shared" si="8"/>
        <v>0</v>
      </c>
      <c r="W53">
        <v>1</v>
      </c>
      <c r="X53">
        <f t="shared" si="9"/>
        <v>0</v>
      </c>
      <c r="Y53">
        <f t="shared" si="10"/>
        <v>0</v>
      </c>
    </row>
    <row r="54" spans="1:25" hidden="1">
      <c r="A54" t="str">
        <f t="shared" si="13"/>
        <v>Culberson 1951</v>
      </c>
      <c r="B54">
        <f t="shared" si="14"/>
        <v>100</v>
      </c>
      <c r="C54">
        <v>9895</v>
      </c>
      <c r="E54">
        <v>4.6499999999999996E-3</v>
      </c>
      <c r="H54">
        <f t="shared" si="3"/>
        <v>310.93</v>
      </c>
      <c r="I54">
        <f t="shared" si="4"/>
        <v>682.23</v>
      </c>
      <c r="J54">
        <v>0</v>
      </c>
      <c r="P54">
        <f t="shared" si="5"/>
        <v>4.6499999999999996E-3</v>
      </c>
      <c r="S54">
        <v>0</v>
      </c>
      <c r="T54">
        <f t="shared" si="6"/>
        <v>0</v>
      </c>
      <c r="U54">
        <f t="shared" si="7"/>
        <v>0</v>
      </c>
      <c r="V54">
        <f t="shared" si="8"/>
        <v>0</v>
      </c>
      <c r="W54">
        <v>1</v>
      </c>
      <c r="X54">
        <f t="shared" si="9"/>
        <v>0</v>
      </c>
      <c r="Y54">
        <f t="shared" si="10"/>
        <v>0</v>
      </c>
    </row>
    <row r="55" spans="1:25" hidden="1">
      <c r="A55" t="str">
        <f t="shared" si="13"/>
        <v>Culberson 1951</v>
      </c>
      <c r="B55">
        <v>160</v>
      </c>
      <c r="C55">
        <v>331</v>
      </c>
      <c r="E55">
        <v>3.4000000000000002E-4</v>
      </c>
      <c r="H55">
        <f t="shared" si="3"/>
        <v>344.26</v>
      </c>
      <c r="I55">
        <f t="shared" si="4"/>
        <v>22.82</v>
      </c>
      <c r="J55">
        <v>0</v>
      </c>
      <c r="P55">
        <f t="shared" si="5"/>
        <v>3.4000000000000002E-4</v>
      </c>
      <c r="S55">
        <v>0</v>
      </c>
      <c r="T55">
        <f t="shared" si="6"/>
        <v>0</v>
      </c>
      <c r="U55">
        <f t="shared" si="7"/>
        <v>0</v>
      </c>
      <c r="V55">
        <f t="shared" si="8"/>
        <v>0</v>
      </c>
      <c r="W55">
        <v>1</v>
      </c>
      <c r="X55">
        <f t="shared" si="9"/>
        <v>0</v>
      </c>
      <c r="Y55">
        <f t="shared" si="10"/>
        <v>0</v>
      </c>
    </row>
    <row r="56" spans="1:25" hidden="1">
      <c r="A56" t="str">
        <f t="shared" si="13"/>
        <v>Culberson 1951</v>
      </c>
      <c r="B56">
        <f t="shared" ref="B56:B66" si="15">B55</f>
        <v>160</v>
      </c>
      <c r="C56">
        <v>467</v>
      </c>
      <c r="E56">
        <v>4.6999999999999999E-4</v>
      </c>
      <c r="H56">
        <f t="shared" si="3"/>
        <v>344.26</v>
      </c>
      <c r="I56">
        <f t="shared" si="4"/>
        <v>32.200000000000003</v>
      </c>
      <c r="J56">
        <v>0</v>
      </c>
      <c r="P56">
        <f t="shared" si="5"/>
        <v>4.6999999999999999E-4</v>
      </c>
      <c r="S56">
        <v>0</v>
      </c>
      <c r="T56">
        <f t="shared" si="6"/>
        <v>0</v>
      </c>
      <c r="U56">
        <f t="shared" si="7"/>
        <v>0</v>
      </c>
      <c r="V56">
        <f t="shared" si="8"/>
        <v>0</v>
      </c>
      <c r="W56">
        <v>1</v>
      </c>
      <c r="X56">
        <f t="shared" si="9"/>
        <v>0</v>
      </c>
      <c r="Y56">
        <f t="shared" si="10"/>
        <v>0</v>
      </c>
    </row>
    <row r="57" spans="1:25" hidden="1">
      <c r="A57" t="str">
        <f t="shared" si="13"/>
        <v>Culberson 1951</v>
      </c>
      <c r="B57">
        <f t="shared" si="15"/>
        <v>160</v>
      </c>
      <c r="C57">
        <v>659</v>
      </c>
      <c r="E57">
        <v>6.3199999999999997E-4</v>
      </c>
      <c r="H57">
        <f t="shared" si="3"/>
        <v>344.26</v>
      </c>
      <c r="I57">
        <f t="shared" si="4"/>
        <v>45.44</v>
      </c>
      <c r="J57">
        <v>0</v>
      </c>
      <c r="P57">
        <f t="shared" si="5"/>
        <v>6.3199999999999997E-4</v>
      </c>
      <c r="S57">
        <v>0</v>
      </c>
      <c r="T57">
        <f t="shared" si="6"/>
        <v>0</v>
      </c>
      <c r="U57">
        <f t="shared" si="7"/>
        <v>0</v>
      </c>
      <c r="V57">
        <f t="shared" si="8"/>
        <v>0</v>
      </c>
      <c r="W57">
        <v>1</v>
      </c>
      <c r="X57">
        <f t="shared" si="9"/>
        <v>0</v>
      </c>
      <c r="Y57">
        <f t="shared" si="10"/>
        <v>0</v>
      </c>
    </row>
    <row r="58" spans="1:25" hidden="1">
      <c r="A58" t="str">
        <f t="shared" si="13"/>
        <v>Culberson 1951</v>
      </c>
      <c r="B58">
        <f t="shared" si="15"/>
        <v>160</v>
      </c>
      <c r="C58">
        <v>943</v>
      </c>
      <c r="E58">
        <v>9.0899999999999998E-4</v>
      </c>
      <c r="H58">
        <f t="shared" si="3"/>
        <v>344.26</v>
      </c>
      <c r="I58">
        <f t="shared" si="4"/>
        <v>65.02</v>
      </c>
      <c r="J58">
        <v>0</v>
      </c>
      <c r="P58">
        <f t="shared" si="5"/>
        <v>9.0899999999999998E-4</v>
      </c>
      <c r="S58">
        <v>0</v>
      </c>
      <c r="T58">
        <f t="shared" si="6"/>
        <v>0</v>
      </c>
      <c r="U58">
        <f t="shared" si="7"/>
        <v>0</v>
      </c>
      <c r="V58">
        <f t="shared" si="8"/>
        <v>0</v>
      </c>
      <c r="W58">
        <v>1</v>
      </c>
      <c r="X58">
        <f t="shared" si="9"/>
        <v>0</v>
      </c>
      <c r="Y58">
        <f t="shared" si="10"/>
        <v>0</v>
      </c>
    </row>
    <row r="59" spans="1:25" hidden="1">
      <c r="A59" t="str">
        <f t="shared" si="13"/>
        <v>Culberson 1951</v>
      </c>
      <c r="B59">
        <f t="shared" si="15"/>
        <v>160</v>
      </c>
      <c r="C59">
        <v>1320</v>
      </c>
      <c r="E59">
        <v>1.183E-3</v>
      </c>
      <c r="H59">
        <f t="shared" si="3"/>
        <v>344.26</v>
      </c>
      <c r="I59">
        <f t="shared" si="4"/>
        <v>91.01</v>
      </c>
      <c r="J59">
        <v>0</v>
      </c>
      <c r="P59">
        <f t="shared" si="5"/>
        <v>1.183E-3</v>
      </c>
      <c r="S59">
        <v>0</v>
      </c>
      <c r="T59">
        <f t="shared" si="6"/>
        <v>0</v>
      </c>
      <c r="U59">
        <f t="shared" si="7"/>
        <v>0</v>
      </c>
      <c r="V59">
        <f t="shared" si="8"/>
        <v>0</v>
      </c>
      <c r="W59">
        <v>1</v>
      </c>
      <c r="X59">
        <f t="shared" si="9"/>
        <v>0</v>
      </c>
      <c r="Y59">
        <f t="shared" si="10"/>
        <v>0</v>
      </c>
    </row>
    <row r="60" spans="1:25" hidden="1">
      <c r="A60" t="str">
        <f t="shared" si="13"/>
        <v>Culberson 1951</v>
      </c>
      <c r="B60">
        <f t="shared" si="15"/>
        <v>160</v>
      </c>
      <c r="C60">
        <v>1880</v>
      </c>
      <c r="E60">
        <v>1.5E-3</v>
      </c>
      <c r="H60">
        <f t="shared" si="3"/>
        <v>344.26</v>
      </c>
      <c r="I60">
        <f t="shared" si="4"/>
        <v>129.62</v>
      </c>
      <c r="J60">
        <v>0</v>
      </c>
      <c r="P60">
        <f t="shared" si="5"/>
        <v>1.5E-3</v>
      </c>
      <c r="S60">
        <v>0</v>
      </c>
      <c r="T60">
        <f t="shared" si="6"/>
        <v>0</v>
      </c>
      <c r="U60">
        <f t="shared" si="7"/>
        <v>0</v>
      </c>
      <c r="V60">
        <f t="shared" si="8"/>
        <v>0</v>
      </c>
      <c r="W60">
        <v>1</v>
      </c>
      <c r="X60">
        <f t="shared" si="9"/>
        <v>0</v>
      </c>
      <c r="Y60">
        <f t="shared" si="10"/>
        <v>0</v>
      </c>
    </row>
    <row r="61" spans="1:25" hidden="1">
      <c r="A61" t="str">
        <f t="shared" si="13"/>
        <v>Culberson 1951</v>
      </c>
      <c r="B61">
        <f t="shared" si="15"/>
        <v>160</v>
      </c>
      <c r="C61">
        <v>2555</v>
      </c>
      <c r="E61">
        <v>1.9239999999999999E-3</v>
      </c>
      <c r="H61">
        <f t="shared" si="3"/>
        <v>344.26</v>
      </c>
      <c r="I61">
        <f t="shared" si="4"/>
        <v>176.16</v>
      </c>
      <c r="J61">
        <v>0</v>
      </c>
      <c r="P61">
        <f t="shared" si="5"/>
        <v>1.9239999999999999E-3</v>
      </c>
      <c r="S61">
        <v>0</v>
      </c>
      <c r="T61">
        <f t="shared" si="6"/>
        <v>0</v>
      </c>
      <c r="U61">
        <f t="shared" si="7"/>
        <v>0</v>
      </c>
      <c r="V61">
        <f t="shared" si="8"/>
        <v>0</v>
      </c>
      <c r="W61">
        <v>1</v>
      </c>
      <c r="X61">
        <f t="shared" si="9"/>
        <v>0</v>
      </c>
      <c r="Y61">
        <f t="shared" si="10"/>
        <v>0</v>
      </c>
    </row>
    <row r="62" spans="1:25" hidden="1">
      <c r="A62" t="str">
        <f t="shared" si="13"/>
        <v>Culberson 1951</v>
      </c>
      <c r="B62">
        <f t="shared" si="15"/>
        <v>160</v>
      </c>
      <c r="C62">
        <v>3535</v>
      </c>
      <c r="E62">
        <v>2.385E-3</v>
      </c>
      <c r="H62">
        <f t="shared" si="3"/>
        <v>344.26</v>
      </c>
      <c r="I62">
        <f t="shared" si="4"/>
        <v>243.73</v>
      </c>
      <c r="J62">
        <v>0</v>
      </c>
      <c r="P62">
        <f t="shared" si="5"/>
        <v>2.385E-3</v>
      </c>
      <c r="S62">
        <v>0</v>
      </c>
      <c r="T62">
        <f t="shared" si="6"/>
        <v>0</v>
      </c>
      <c r="U62">
        <f t="shared" si="7"/>
        <v>0</v>
      </c>
      <c r="V62">
        <f t="shared" si="8"/>
        <v>0</v>
      </c>
      <c r="W62">
        <v>1</v>
      </c>
      <c r="X62">
        <f t="shared" si="9"/>
        <v>0</v>
      </c>
      <c r="Y62">
        <f t="shared" si="10"/>
        <v>0</v>
      </c>
    </row>
    <row r="63" spans="1:25" hidden="1">
      <c r="A63" t="str">
        <f t="shared" si="13"/>
        <v>Culberson 1951</v>
      </c>
      <c r="B63">
        <f t="shared" si="15"/>
        <v>160</v>
      </c>
      <c r="C63">
        <v>4925</v>
      </c>
      <c r="E63">
        <v>2.7699999999999999E-3</v>
      </c>
      <c r="H63">
        <f t="shared" ref="H63:H94" si="16">ROUND((B63- 32) * 5/9 + 273.15,2)</f>
        <v>344.26</v>
      </c>
      <c r="I63">
        <f t="shared" ref="I63:I94" si="17">ROUND(C63/14.504,2)</f>
        <v>339.56</v>
      </c>
      <c r="J63">
        <v>0</v>
      </c>
      <c r="P63">
        <f t="shared" ref="P63:P94" si="18">E63</f>
        <v>2.7699999999999999E-3</v>
      </c>
      <c r="S63">
        <v>0</v>
      </c>
      <c r="T63">
        <f t="shared" ref="T63:T94" si="19">T62</f>
        <v>0</v>
      </c>
      <c r="U63">
        <f t="shared" ref="U63:U94" si="20">U62</f>
        <v>0</v>
      </c>
      <c r="V63">
        <f t="shared" ref="V63:V94" si="21">V62</f>
        <v>0</v>
      </c>
      <c r="W63">
        <v>1</v>
      </c>
      <c r="X63">
        <f t="shared" ref="X63:X94" si="22">X62</f>
        <v>0</v>
      </c>
      <c r="Y63">
        <f t="shared" ref="Y63:Y94" si="23">Y62</f>
        <v>0</v>
      </c>
    </row>
    <row r="64" spans="1:25" hidden="1">
      <c r="A64" t="str">
        <f t="shared" si="13"/>
        <v>Culberson 1951</v>
      </c>
      <c r="B64">
        <f t="shared" si="15"/>
        <v>160</v>
      </c>
      <c r="C64">
        <v>6525</v>
      </c>
      <c r="E64">
        <v>3.4199999999999999E-3</v>
      </c>
      <c r="H64">
        <f t="shared" si="16"/>
        <v>344.26</v>
      </c>
      <c r="I64">
        <f t="shared" si="17"/>
        <v>449.88</v>
      </c>
      <c r="J64">
        <v>0</v>
      </c>
      <c r="P64">
        <f t="shared" si="18"/>
        <v>3.4199999999999999E-3</v>
      </c>
      <c r="S64">
        <v>0</v>
      </c>
      <c r="T64">
        <f t="shared" si="19"/>
        <v>0</v>
      </c>
      <c r="U64">
        <f t="shared" si="20"/>
        <v>0</v>
      </c>
      <c r="V64">
        <f t="shared" si="21"/>
        <v>0</v>
      </c>
      <c r="W64">
        <v>1</v>
      </c>
      <c r="X64">
        <f t="shared" si="22"/>
        <v>0</v>
      </c>
      <c r="Y64">
        <f t="shared" si="23"/>
        <v>0</v>
      </c>
    </row>
    <row r="65" spans="1:25" hidden="1">
      <c r="A65" t="str">
        <f t="shared" si="13"/>
        <v>Culberson 1951</v>
      </c>
      <c r="B65">
        <f t="shared" si="15"/>
        <v>160</v>
      </c>
      <c r="C65">
        <v>8220</v>
      </c>
      <c r="E65">
        <v>3.7499999999999999E-3</v>
      </c>
      <c r="H65">
        <f t="shared" si="16"/>
        <v>344.26</v>
      </c>
      <c r="I65">
        <f t="shared" si="17"/>
        <v>566.74</v>
      </c>
      <c r="J65">
        <v>0</v>
      </c>
      <c r="P65">
        <f t="shared" si="18"/>
        <v>3.7499999999999999E-3</v>
      </c>
      <c r="S65">
        <v>0</v>
      </c>
      <c r="T65">
        <f t="shared" si="19"/>
        <v>0</v>
      </c>
      <c r="U65">
        <f t="shared" si="20"/>
        <v>0</v>
      </c>
      <c r="V65">
        <f t="shared" si="21"/>
        <v>0</v>
      </c>
      <c r="W65">
        <v>1</v>
      </c>
      <c r="X65">
        <f t="shared" si="22"/>
        <v>0</v>
      </c>
      <c r="Y65">
        <f t="shared" si="23"/>
        <v>0</v>
      </c>
    </row>
    <row r="66" spans="1:25" hidden="1">
      <c r="A66" t="str">
        <f t="shared" si="13"/>
        <v>Culberson 1951</v>
      </c>
      <c r="B66">
        <f t="shared" si="15"/>
        <v>160</v>
      </c>
      <c r="C66">
        <v>9865</v>
      </c>
      <c r="E66">
        <v>4.2399999999999998E-3</v>
      </c>
      <c r="H66">
        <f t="shared" si="16"/>
        <v>344.26</v>
      </c>
      <c r="I66">
        <f t="shared" si="17"/>
        <v>680.16</v>
      </c>
      <c r="J66">
        <v>0</v>
      </c>
      <c r="P66">
        <f t="shared" si="18"/>
        <v>4.2399999999999998E-3</v>
      </c>
      <c r="S66">
        <v>0</v>
      </c>
      <c r="T66">
        <f t="shared" si="19"/>
        <v>0</v>
      </c>
      <c r="U66">
        <f t="shared" si="20"/>
        <v>0</v>
      </c>
      <c r="V66">
        <f t="shared" si="21"/>
        <v>0</v>
      </c>
      <c r="W66">
        <v>1</v>
      </c>
      <c r="X66">
        <f t="shared" si="22"/>
        <v>0</v>
      </c>
      <c r="Y66">
        <f t="shared" si="23"/>
        <v>0</v>
      </c>
    </row>
    <row r="67" spans="1:25" hidden="1">
      <c r="A67" t="str">
        <f t="shared" si="13"/>
        <v>Culberson 1951</v>
      </c>
      <c r="B67">
        <v>220</v>
      </c>
      <c r="C67">
        <v>333</v>
      </c>
      <c r="E67">
        <v>3.2299999999999999E-4</v>
      </c>
      <c r="H67">
        <f t="shared" si="16"/>
        <v>377.59</v>
      </c>
      <c r="I67">
        <f t="shared" si="17"/>
        <v>22.96</v>
      </c>
      <c r="J67">
        <v>0</v>
      </c>
      <c r="P67">
        <f t="shared" si="18"/>
        <v>3.2299999999999999E-4</v>
      </c>
      <c r="S67">
        <v>0</v>
      </c>
      <c r="T67">
        <f t="shared" si="19"/>
        <v>0</v>
      </c>
      <c r="U67">
        <f t="shared" si="20"/>
        <v>0</v>
      </c>
      <c r="V67">
        <f t="shared" si="21"/>
        <v>0</v>
      </c>
      <c r="W67">
        <v>1</v>
      </c>
      <c r="X67">
        <f t="shared" si="22"/>
        <v>0</v>
      </c>
      <c r="Y67">
        <f t="shared" si="23"/>
        <v>0</v>
      </c>
    </row>
    <row r="68" spans="1:25" hidden="1">
      <c r="A68" t="str">
        <f t="shared" si="13"/>
        <v>Culberson 1951</v>
      </c>
      <c r="B68">
        <f t="shared" ref="B68:B79" si="24">B67</f>
        <v>220</v>
      </c>
      <c r="C68">
        <v>466</v>
      </c>
      <c r="E68">
        <v>4.3199999999999998E-4</v>
      </c>
      <c r="H68">
        <f t="shared" si="16"/>
        <v>377.59</v>
      </c>
      <c r="I68">
        <f t="shared" si="17"/>
        <v>32.130000000000003</v>
      </c>
      <c r="J68">
        <v>0</v>
      </c>
      <c r="P68">
        <f t="shared" si="18"/>
        <v>4.3199999999999998E-4</v>
      </c>
      <c r="S68">
        <v>0</v>
      </c>
      <c r="T68">
        <f t="shared" si="19"/>
        <v>0</v>
      </c>
      <c r="U68">
        <f t="shared" si="20"/>
        <v>0</v>
      </c>
      <c r="V68">
        <f t="shared" si="21"/>
        <v>0</v>
      </c>
      <c r="W68">
        <v>1</v>
      </c>
      <c r="X68">
        <f t="shared" si="22"/>
        <v>0</v>
      </c>
      <c r="Y68">
        <f t="shared" si="23"/>
        <v>0</v>
      </c>
    </row>
    <row r="69" spans="1:25" hidden="1">
      <c r="A69" t="str">
        <f t="shared" si="13"/>
        <v>Culberson 1951</v>
      </c>
      <c r="B69">
        <f t="shared" si="24"/>
        <v>220</v>
      </c>
      <c r="C69">
        <v>468</v>
      </c>
      <c r="E69">
        <v>4.7199999999999998E-4</v>
      </c>
      <c r="H69">
        <f t="shared" si="16"/>
        <v>377.59</v>
      </c>
      <c r="I69">
        <f t="shared" si="17"/>
        <v>32.270000000000003</v>
      </c>
      <c r="J69">
        <v>0</v>
      </c>
      <c r="P69">
        <f t="shared" si="18"/>
        <v>4.7199999999999998E-4</v>
      </c>
      <c r="S69">
        <v>0</v>
      </c>
      <c r="T69">
        <f t="shared" si="19"/>
        <v>0</v>
      </c>
      <c r="U69">
        <f t="shared" si="20"/>
        <v>0</v>
      </c>
      <c r="V69">
        <f t="shared" si="21"/>
        <v>0</v>
      </c>
      <c r="W69">
        <v>1</v>
      </c>
      <c r="X69">
        <f t="shared" si="22"/>
        <v>0</v>
      </c>
      <c r="Y69">
        <f t="shared" si="23"/>
        <v>0</v>
      </c>
    </row>
    <row r="70" spans="1:25" hidden="1">
      <c r="A70" t="str">
        <f t="shared" si="13"/>
        <v>Culberson 1951</v>
      </c>
      <c r="B70">
        <f t="shared" si="24"/>
        <v>220</v>
      </c>
      <c r="C70">
        <v>652</v>
      </c>
      <c r="E70">
        <v>6.11E-4</v>
      </c>
      <c r="H70">
        <f t="shared" si="16"/>
        <v>377.59</v>
      </c>
      <c r="I70">
        <f t="shared" si="17"/>
        <v>44.95</v>
      </c>
      <c r="J70">
        <v>0</v>
      </c>
      <c r="P70">
        <f t="shared" si="18"/>
        <v>6.11E-4</v>
      </c>
      <c r="S70">
        <v>0</v>
      </c>
      <c r="T70">
        <f t="shared" si="19"/>
        <v>0</v>
      </c>
      <c r="U70">
        <f t="shared" si="20"/>
        <v>0</v>
      </c>
      <c r="V70">
        <f t="shared" si="21"/>
        <v>0</v>
      </c>
      <c r="W70">
        <v>1</v>
      </c>
      <c r="X70">
        <f t="shared" si="22"/>
        <v>0</v>
      </c>
      <c r="Y70">
        <f t="shared" si="23"/>
        <v>0</v>
      </c>
    </row>
    <row r="71" spans="1:25" hidden="1">
      <c r="A71" t="str">
        <f t="shared" si="13"/>
        <v>Culberson 1951</v>
      </c>
      <c r="B71">
        <f t="shared" si="24"/>
        <v>220</v>
      </c>
      <c r="C71">
        <v>945</v>
      </c>
      <c r="E71">
        <v>8.8599999999999996E-4</v>
      </c>
      <c r="H71">
        <f t="shared" si="16"/>
        <v>377.59</v>
      </c>
      <c r="I71">
        <f t="shared" si="17"/>
        <v>65.150000000000006</v>
      </c>
      <c r="J71">
        <v>0</v>
      </c>
      <c r="P71">
        <f t="shared" si="18"/>
        <v>8.8599999999999996E-4</v>
      </c>
      <c r="S71">
        <v>0</v>
      </c>
      <c r="T71">
        <f t="shared" si="19"/>
        <v>0</v>
      </c>
      <c r="U71">
        <f t="shared" si="20"/>
        <v>0</v>
      </c>
      <c r="V71">
        <f t="shared" si="21"/>
        <v>0</v>
      </c>
      <c r="W71">
        <v>1</v>
      </c>
      <c r="X71">
        <f t="shared" si="22"/>
        <v>0</v>
      </c>
      <c r="Y71">
        <f t="shared" si="23"/>
        <v>0</v>
      </c>
    </row>
    <row r="72" spans="1:25" hidden="1">
      <c r="A72" t="str">
        <f t="shared" si="13"/>
        <v>Culberson 1951</v>
      </c>
      <c r="B72">
        <f t="shared" si="24"/>
        <v>220</v>
      </c>
      <c r="C72">
        <v>1310</v>
      </c>
      <c r="E72">
        <v>1.188E-3</v>
      </c>
      <c r="H72">
        <f t="shared" si="16"/>
        <v>377.59</v>
      </c>
      <c r="I72">
        <f t="shared" si="17"/>
        <v>90.32</v>
      </c>
      <c r="J72">
        <v>0</v>
      </c>
      <c r="P72">
        <f t="shared" si="18"/>
        <v>1.188E-3</v>
      </c>
      <c r="S72">
        <v>0</v>
      </c>
      <c r="T72">
        <f t="shared" si="19"/>
        <v>0</v>
      </c>
      <c r="U72">
        <f t="shared" si="20"/>
        <v>0</v>
      </c>
      <c r="V72">
        <f t="shared" si="21"/>
        <v>0</v>
      </c>
      <c r="W72">
        <v>1</v>
      </c>
      <c r="X72">
        <f t="shared" si="22"/>
        <v>0</v>
      </c>
      <c r="Y72">
        <f t="shared" si="23"/>
        <v>0</v>
      </c>
    </row>
    <row r="73" spans="1:25" hidden="1">
      <c r="A73" t="str">
        <f t="shared" si="13"/>
        <v>Culberson 1951</v>
      </c>
      <c r="B73">
        <f t="shared" si="24"/>
        <v>220</v>
      </c>
      <c r="C73">
        <v>1900</v>
      </c>
      <c r="E73">
        <v>1.56E-3</v>
      </c>
      <c r="H73">
        <f t="shared" si="16"/>
        <v>377.59</v>
      </c>
      <c r="I73">
        <f t="shared" si="17"/>
        <v>131</v>
      </c>
      <c r="J73">
        <v>0</v>
      </c>
      <c r="P73">
        <f t="shared" si="18"/>
        <v>1.56E-3</v>
      </c>
      <c r="S73">
        <v>0</v>
      </c>
      <c r="T73">
        <f t="shared" si="19"/>
        <v>0</v>
      </c>
      <c r="U73">
        <f t="shared" si="20"/>
        <v>0</v>
      </c>
      <c r="V73">
        <f t="shared" si="21"/>
        <v>0</v>
      </c>
      <c r="W73">
        <v>1</v>
      </c>
      <c r="X73">
        <f t="shared" si="22"/>
        <v>0</v>
      </c>
      <c r="Y73">
        <f t="shared" si="23"/>
        <v>0</v>
      </c>
    </row>
    <row r="74" spans="1:25" hidden="1">
      <c r="A74" t="str">
        <f t="shared" si="13"/>
        <v>Culberson 1951</v>
      </c>
      <c r="B74">
        <f t="shared" si="24"/>
        <v>220</v>
      </c>
      <c r="C74">
        <v>2535</v>
      </c>
      <c r="E74">
        <v>1.98E-3</v>
      </c>
      <c r="H74">
        <f t="shared" si="16"/>
        <v>377.59</v>
      </c>
      <c r="I74">
        <f t="shared" si="17"/>
        <v>174.78</v>
      </c>
      <c r="J74">
        <v>0</v>
      </c>
      <c r="P74">
        <f t="shared" si="18"/>
        <v>1.98E-3</v>
      </c>
      <c r="S74">
        <v>0</v>
      </c>
      <c r="T74">
        <f t="shared" si="19"/>
        <v>0</v>
      </c>
      <c r="U74">
        <f t="shared" si="20"/>
        <v>0</v>
      </c>
      <c r="V74">
        <f t="shared" si="21"/>
        <v>0</v>
      </c>
      <c r="W74">
        <v>1</v>
      </c>
      <c r="X74">
        <f t="shared" si="22"/>
        <v>0</v>
      </c>
      <c r="Y74">
        <f t="shared" si="23"/>
        <v>0</v>
      </c>
    </row>
    <row r="75" spans="1:25" hidden="1">
      <c r="A75" t="str">
        <f t="shared" ref="A75:A103" si="25">A74</f>
        <v>Culberson 1951</v>
      </c>
      <c r="B75">
        <f t="shared" si="24"/>
        <v>220</v>
      </c>
      <c r="C75">
        <v>3570</v>
      </c>
      <c r="E75">
        <v>2.5100000000000001E-3</v>
      </c>
      <c r="H75">
        <f t="shared" si="16"/>
        <v>377.59</v>
      </c>
      <c r="I75">
        <f t="shared" si="17"/>
        <v>246.14</v>
      </c>
      <c r="J75">
        <v>0</v>
      </c>
      <c r="P75">
        <f t="shared" si="18"/>
        <v>2.5100000000000001E-3</v>
      </c>
      <c r="S75">
        <v>0</v>
      </c>
      <c r="T75">
        <f t="shared" si="19"/>
        <v>0</v>
      </c>
      <c r="U75">
        <f t="shared" si="20"/>
        <v>0</v>
      </c>
      <c r="V75">
        <f t="shared" si="21"/>
        <v>0</v>
      </c>
      <c r="W75">
        <v>1</v>
      </c>
      <c r="X75">
        <f t="shared" si="22"/>
        <v>0</v>
      </c>
      <c r="Y75">
        <f t="shared" si="23"/>
        <v>0</v>
      </c>
    </row>
    <row r="76" spans="1:25" hidden="1">
      <c r="A76" t="str">
        <f t="shared" si="25"/>
        <v>Culberson 1951</v>
      </c>
      <c r="B76">
        <f t="shared" si="24"/>
        <v>220</v>
      </c>
      <c r="C76">
        <v>4965</v>
      </c>
      <c r="E76">
        <v>3.14E-3</v>
      </c>
      <c r="H76">
        <f t="shared" si="16"/>
        <v>377.59</v>
      </c>
      <c r="I76">
        <f t="shared" si="17"/>
        <v>342.32</v>
      </c>
      <c r="J76">
        <v>0</v>
      </c>
      <c r="P76">
        <f t="shared" si="18"/>
        <v>3.14E-3</v>
      </c>
      <c r="S76">
        <v>0</v>
      </c>
      <c r="T76">
        <f t="shared" si="19"/>
        <v>0</v>
      </c>
      <c r="U76">
        <f t="shared" si="20"/>
        <v>0</v>
      </c>
      <c r="V76">
        <f t="shared" si="21"/>
        <v>0</v>
      </c>
      <c r="W76">
        <v>1</v>
      </c>
      <c r="X76">
        <f t="shared" si="22"/>
        <v>0</v>
      </c>
      <c r="Y76">
        <f t="shared" si="23"/>
        <v>0</v>
      </c>
    </row>
    <row r="77" spans="1:25" hidden="1">
      <c r="A77" t="str">
        <f t="shared" si="25"/>
        <v>Culberson 1951</v>
      </c>
      <c r="B77">
        <f t="shared" si="24"/>
        <v>220</v>
      </c>
      <c r="C77">
        <v>6525</v>
      </c>
      <c r="E77">
        <v>3.6099999999999999E-3</v>
      </c>
      <c r="H77">
        <f t="shared" si="16"/>
        <v>377.59</v>
      </c>
      <c r="I77">
        <f t="shared" si="17"/>
        <v>449.88</v>
      </c>
      <c r="J77">
        <v>0</v>
      </c>
      <c r="P77">
        <f t="shared" si="18"/>
        <v>3.6099999999999999E-3</v>
      </c>
      <c r="S77">
        <v>0</v>
      </c>
      <c r="T77">
        <f t="shared" si="19"/>
        <v>0</v>
      </c>
      <c r="U77">
        <f t="shared" si="20"/>
        <v>0</v>
      </c>
      <c r="V77">
        <f t="shared" si="21"/>
        <v>0</v>
      </c>
      <c r="W77">
        <v>1</v>
      </c>
      <c r="X77">
        <f t="shared" si="22"/>
        <v>0</v>
      </c>
      <c r="Y77">
        <f t="shared" si="23"/>
        <v>0</v>
      </c>
    </row>
    <row r="78" spans="1:25" hidden="1">
      <c r="A78" t="str">
        <f t="shared" si="25"/>
        <v>Culberson 1951</v>
      </c>
      <c r="B78">
        <f t="shared" si="24"/>
        <v>220</v>
      </c>
      <c r="C78">
        <v>8190</v>
      </c>
      <c r="E78">
        <v>4.0800000000000003E-3</v>
      </c>
      <c r="H78">
        <f t="shared" si="16"/>
        <v>377.59</v>
      </c>
      <c r="I78">
        <f t="shared" si="17"/>
        <v>564.66999999999996</v>
      </c>
      <c r="J78">
        <v>0</v>
      </c>
      <c r="P78">
        <f t="shared" si="18"/>
        <v>4.0800000000000003E-3</v>
      </c>
      <c r="S78">
        <v>0</v>
      </c>
      <c r="T78">
        <f t="shared" si="19"/>
        <v>0</v>
      </c>
      <c r="U78">
        <f t="shared" si="20"/>
        <v>0</v>
      </c>
      <c r="V78">
        <f t="shared" si="21"/>
        <v>0</v>
      </c>
      <c r="W78">
        <v>1</v>
      </c>
      <c r="X78">
        <f t="shared" si="22"/>
        <v>0</v>
      </c>
      <c r="Y78">
        <f t="shared" si="23"/>
        <v>0</v>
      </c>
    </row>
    <row r="79" spans="1:25" hidden="1">
      <c r="A79" t="str">
        <f t="shared" si="25"/>
        <v>Culberson 1951</v>
      </c>
      <c r="B79">
        <f t="shared" si="24"/>
        <v>220</v>
      </c>
      <c r="C79">
        <v>9875</v>
      </c>
      <c r="E79">
        <v>4.5100000000000001E-3</v>
      </c>
      <c r="H79">
        <f t="shared" si="16"/>
        <v>377.59</v>
      </c>
      <c r="I79">
        <f t="shared" si="17"/>
        <v>680.85</v>
      </c>
      <c r="J79">
        <v>0</v>
      </c>
      <c r="P79">
        <f t="shared" si="18"/>
        <v>4.5100000000000001E-3</v>
      </c>
      <c r="S79">
        <v>0</v>
      </c>
      <c r="T79">
        <f t="shared" si="19"/>
        <v>0</v>
      </c>
      <c r="U79">
        <f t="shared" si="20"/>
        <v>0</v>
      </c>
      <c r="V79">
        <f t="shared" si="21"/>
        <v>0</v>
      </c>
      <c r="W79">
        <v>1</v>
      </c>
      <c r="X79">
        <f t="shared" si="22"/>
        <v>0</v>
      </c>
      <c r="Y79">
        <f t="shared" si="23"/>
        <v>0</v>
      </c>
    </row>
    <row r="80" spans="1:25" hidden="1">
      <c r="A80" t="str">
        <f t="shared" si="25"/>
        <v>Culberson 1951</v>
      </c>
      <c r="B80">
        <v>280</v>
      </c>
      <c r="C80">
        <v>336</v>
      </c>
      <c r="E80">
        <v>3.2600000000000001E-4</v>
      </c>
      <c r="H80">
        <f t="shared" si="16"/>
        <v>410.93</v>
      </c>
      <c r="I80">
        <f t="shared" si="17"/>
        <v>23.17</v>
      </c>
      <c r="J80">
        <v>0</v>
      </c>
      <c r="P80">
        <f t="shared" si="18"/>
        <v>3.2600000000000001E-4</v>
      </c>
      <c r="S80">
        <v>0</v>
      </c>
      <c r="T80">
        <f t="shared" si="19"/>
        <v>0</v>
      </c>
      <c r="U80">
        <f t="shared" si="20"/>
        <v>0</v>
      </c>
      <c r="V80">
        <f t="shared" si="21"/>
        <v>0</v>
      </c>
      <c r="W80">
        <v>1</v>
      </c>
      <c r="X80">
        <f t="shared" si="22"/>
        <v>0</v>
      </c>
      <c r="Y80">
        <f t="shared" si="23"/>
        <v>0</v>
      </c>
    </row>
    <row r="81" spans="1:25" hidden="1">
      <c r="A81" t="str">
        <f t="shared" si="25"/>
        <v>Culberson 1951</v>
      </c>
      <c r="B81">
        <f t="shared" ref="B81:B91" si="26">B80</f>
        <v>280</v>
      </c>
      <c r="C81">
        <v>464</v>
      </c>
      <c r="E81">
        <v>4.6000000000000001E-4</v>
      </c>
      <c r="H81">
        <f t="shared" si="16"/>
        <v>410.93</v>
      </c>
      <c r="I81">
        <f t="shared" si="17"/>
        <v>31.99</v>
      </c>
      <c r="J81">
        <v>0</v>
      </c>
      <c r="P81">
        <f t="shared" si="18"/>
        <v>4.6000000000000001E-4</v>
      </c>
      <c r="S81">
        <v>0</v>
      </c>
      <c r="T81">
        <f t="shared" si="19"/>
        <v>0</v>
      </c>
      <c r="U81">
        <f t="shared" si="20"/>
        <v>0</v>
      </c>
      <c r="V81">
        <f t="shared" si="21"/>
        <v>0</v>
      </c>
      <c r="W81">
        <v>1</v>
      </c>
      <c r="X81">
        <f t="shared" si="22"/>
        <v>0</v>
      </c>
      <c r="Y81">
        <f t="shared" si="23"/>
        <v>0</v>
      </c>
    </row>
    <row r="82" spans="1:25" hidden="1">
      <c r="A82" t="str">
        <f t="shared" si="25"/>
        <v>Culberson 1951</v>
      </c>
      <c r="B82">
        <f t="shared" si="26"/>
        <v>280</v>
      </c>
      <c r="C82">
        <v>654</v>
      </c>
      <c r="E82">
        <v>6.7299999999999999E-4</v>
      </c>
      <c r="H82">
        <f t="shared" si="16"/>
        <v>410.93</v>
      </c>
      <c r="I82">
        <f t="shared" si="17"/>
        <v>45.09</v>
      </c>
      <c r="J82">
        <v>0</v>
      </c>
      <c r="P82">
        <f t="shared" si="18"/>
        <v>6.7299999999999999E-4</v>
      </c>
      <c r="S82">
        <v>0</v>
      </c>
      <c r="T82">
        <f t="shared" si="19"/>
        <v>0</v>
      </c>
      <c r="U82">
        <f t="shared" si="20"/>
        <v>0</v>
      </c>
      <c r="V82">
        <f t="shared" si="21"/>
        <v>0</v>
      </c>
      <c r="W82">
        <v>1</v>
      </c>
      <c r="X82">
        <f t="shared" si="22"/>
        <v>0</v>
      </c>
      <c r="Y82">
        <f t="shared" si="23"/>
        <v>0</v>
      </c>
    </row>
    <row r="83" spans="1:25" hidden="1">
      <c r="A83" t="str">
        <f t="shared" si="25"/>
        <v>Culberson 1951</v>
      </c>
      <c r="B83">
        <f t="shared" si="26"/>
        <v>280</v>
      </c>
      <c r="C83">
        <v>941</v>
      </c>
      <c r="E83">
        <v>9.3800000000000003E-4</v>
      </c>
      <c r="H83">
        <f t="shared" si="16"/>
        <v>410.93</v>
      </c>
      <c r="I83">
        <f t="shared" si="17"/>
        <v>64.88</v>
      </c>
      <c r="J83">
        <v>0</v>
      </c>
      <c r="P83">
        <f t="shared" si="18"/>
        <v>9.3800000000000003E-4</v>
      </c>
      <c r="S83">
        <v>0</v>
      </c>
      <c r="T83">
        <f t="shared" si="19"/>
        <v>0</v>
      </c>
      <c r="U83">
        <f t="shared" si="20"/>
        <v>0</v>
      </c>
      <c r="V83">
        <f t="shared" si="21"/>
        <v>0</v>
      </c>
      <c r="W83">
        <v>1</v>
      </c>
      <c r="X83">
        <f t="shared" si="22"/>
        <v>0</v>
      </c>
      <c r="Y83">
        <f t="shared" si="23"/>
        <v>0</v>
      </c>
    </row>
    <row r="84" spans="1:25" hidden="1">
      <c r="A84" t="str">
        <f t="shared" si="25"/>
        <v>Culberson 1951</v>
      </c>
      <c r="B84">
        <f t="shared" si="26"/>
        <v>280</v>
      </c>
      <c r="C84">
        <v>1310</v>
      </c>
      <c r="E84">
        <v>1.3259999999999999E-3</v>
      </c>
      <c r="H84">
        <f t="shared" si="16"/>
        <v>410.93</v>
      </c>
      <c r="I84">
        <f t="shared" si="17"/>
        <v>90.32</v>
      </c>
      <c r="J84">
        <v>0</v>
      </c>
      <c r="P84">
        <f t="shared" si="18"/>
        <v>1.3259999999999999E-3</v>
      </c>
      <c r="S84">
        <v>0</v>
      </c>
      <c r="T84">
        <f t="shared" si="19"/>
        <v>0</v>
      </c>
      <c r="U84">
        <f t="shared" si="20"/>
        <v>0</v>
      </c>
      <c r="V84">
        <f t="shared" si="21"/>
        <v>0</v>
      </c>
      <c r="W84">
        <v>1</v>
      </c>
      <c r="X84">
        <f t="shared" si="22"/>
        <v>0</v>
      </c>
      <c r="Y84">
        <f t="shared" si="23"/>
        <v>0</v>
      </c>
    </row>
    <row r="85" spans="1:25" hidden="1">
      <c r="A85" t="str">
        <f t="shared" si="25"/>
        <v>Culberson 1951</v>
      </c>
      <c r="B85">
        <f t="shared" si="26"/>
        <v>280</v>
      </c>
      <c r="C85">
        <v>1900</v>
      </c>
      <c r="E85">
        <v>1.8569999999999999E-3</v>
      </c>
      <c r="H85">
        <f t="shared" si="16"/>
        <v>410.93</v>
      </c>
      <c r="I85">
        <f t="shared" si="17"/>
        <v>131</v>
      </c>
      <c r="J85">
        <v>0</v>
      </c>
      <c r="P85">
        <f t="shared" si="18"/>
        <v>1.8569999999999999E-3</v>
      </c>
      <c r="S85">
        <v>0</v>
      </c>
      <c r="T85">
        <f t="shared" si="19"/>
        <v>0</v>
      </c>
      <c r="U85">
        <f t="shared" si="20"/>
        <v>0</v>
      </c>
      <c r="V85">
        <f t="shared" si="21"/>
        <v>0</v>
      </c>
      <c r="W85">
        <v>1</v>
      </c>
      <c r="X85">
        <f t="shared" si="22"/>
        <v>0</v>
      </c>
      <c r="Y85">
        <f t="shared" si="23"/>
        <v>0</v>
      </c>
    </row>
    <row r="86" spans="1:25" hidden="1">
      <c r="A86" t="str">
        <f t="shared" si="25"/>
        <v>Culberson 1951</v>
      </c>
      <c r="B86">
        <f t="shared" si="26"/>
        <v>280</v>
      </c>
      <c r="C86">
        <v>2480</v>
      </c>
      <c r="E86">
        <v>2.346E-3</v>
      </c>
      <c r="H86">
        <f t="shared" si="16"/>
        <v>410.93</v>
      </c>
      <c r="I86">
        <f t="shared" si="17"/>
        <v>170.99</v>
      </c>
      <c r="J86">
        <v>0</v>
      </c>
      <c r="P86">
        <f t="shared" si="18"/>
        <v>2.346E-3</v>
      </c>
      <c r="S86">
        <v>0</v>
      </c>
      <c r="T86">
        <f t="shared" si="19"/>
        <v>0</v>
      </c>
      <c r="U86">
        <f t="shared" si="20"/>
        <v>0</v>
      </c>
      <c r="V86">
        <f t="shared" si="21"/>
        <v>0</v>
      </c>
      <c r="W86">
        <v>1</v>
      </c>
      <c r="X86">
        <f t="shared" si="22"/>
        <v>0</v>
      </c>
      <c r="Y86">
        <f t="shared" si="23"/>
        <v>0</v>
      </c>
    </row>
    <row r="87" spans="1:25" hidden="1">
      <c r="A87" t="str">
        <f t="shared" si="25"/>
        <v>Culberson 1951</v>
      </c>
      <c r="B87">
        <f t="shared" si="26"/>
        <v>280</v>
      </c>
      <c r="C87">
        <v>3555</v>
      </c>
      <c r="E87">
        <v>3.0149999999999999E-3</v>
      </c>
      <c r="H87">
        <f t="shared" si="16"/>
        <v>410.93</v>
      </c>
      <c r="I87">
        <f t="shared" si="17"/>
        <v>245.1</v>
      </c>
      <c r="J87">
        <v>0</v>
      </c>
      <c r="P87">
        <f t="shared" si="18"/>
        <v>3.0149999999999999E-3</v>
      </c>
      <c r="S87">
        <v>0</v>
      </c>
      <c r="T87">
        <f t="shared" si="19"/>
        <v>0</v>
      </c>
      <c r="U87">
        <f t="shared" si="20"/>
        <v>0</v>
      </c>
      <c r="V87">
        <f t="shared" si="21"/>
        <v>0</v>
      </c>
      <c r="W87">
        <v>1</v>
      </c>
      <c r="X87">
        <f t="shared" si="22"/>
        <v>0</v>
      </c>
      <c r="Y87">
        <f t="shared" si="23"/>
        <v>0</v>
      </c>
    </row>
    <row r="88" spans="1:25" hidden="1">
      <c r="A88" t="str">
        <f t="shared" si="25"/>
        <v>Culberson 1951</v>
      </c>
      <c r="B88">
        <f t="shared" si="26"/>
        <v>280</v>
      </c>
      <c r="C88">
        <v>4975</v>
      </c>
      <c r="E88">
        <v>3.8049999999999998E-3</v>
      </c>
      <c r="H88">
        <f t="shared" si="16"/>
        <v>410.93</v>
      </c>
      <c r="I88">
        <f t="shared" si="17"/>
        <v>343.01</v>
      </c>
      <c r="J88">
        <v>0</v>
      </c>
      <c r="P88">
        <f t="shared" si="18"/>
        <v>3.8049999999999998E-3</v>
      </c>
      <c r="S88">
        <v>0</v>
      </c>
      <c r="T88">
        <f t="shared" si="19"/>
        <v>0</v>
      </c>
      <c r="U88">
        <f t="shared" si="20"/>
        <v>0</v>
      </c>
      <c r="V88">
        <f t="shared" si="21"/>
        <v>0</v>
      </c>
      <c r="W88">
        <v>1</v>
      </c>
      <c r="X88">
        <f t="shared" si="22"/>
        <v>0</v>
      </c>
      <c r="Y88">
        <f t="shared" si="23"/>
        <v>0</v>
      </c>
    </row>
    <row r="89" spans="1:25" hidden="1">
      <c r="A89" t="str">
        <f t="shared" si="25"/>
        <v>Culberson 1951</v>
      </c>
      <c r="B89">
        <f t="shared" si="26"/>
        <v>280</v>
      </c>
      <c r="C89">
        <v>6525</v>
      </c>
      <c r="E89">
        <v>4.4900000000000001E-3</v>
      </c>
      <c r="H89">
        <f t="shared" si="16"/>
        <v>410.93</v>
      </c>
      <c r="I89">
        <f t="shared" si="17"/>
        <v>449.88</v>
      </c>
      <c r="J89">
        <v>0</v>
      </c>
      <c r="P89">
        <f t="shared" si="18"/>
        <v>4.4900000000000001E-3</v>
      </c>
      <c r="S89">
        <v>0</v>
      </c>
      <c r="T89">
        <f t="shared" si="19"/>
        <v>0</v>
      </c>
      <c r="U89">
        <f t="shared" si="20"/>
        <v>0</v>
      </c>
      <c r="V89">
        <f t="shared" si="21"/>
        <v>0</v>
      </c>
      <c r="W89">
        <v>1</v>
      </c>
      <c r="X89">
        <f t="shared" si="22"/>
        <v>0</v>
      </c>
      <c r="Y89">
        <f t="shared" si="23"/>
        <v>0</v>
      </c>
    </row>
    <row r="90" spans="1:25" hidden="1">
      <c r="A90" t="str">
        <f t="shared" si="25"/>
        <v>Culberson 1951</v>
      </c>
      <c r="B90">
        <f t="shared" si="26"/>
        <v>280</v>
      </c>
      <c r="C90">
        <v>8270</v>
      </c>
      <c r="E90">
        <v>5.1799999999999997E-3</v>
      </c>
      <c r="H90">
        <f t="shared" si="16"/>
        <v>410.93</v>
      </c>
      <c r="I90">
        <f t="shared" si="17"/>
        <v>570.19000000000005</v>
      </c>
      <c r="J90">
        <v>0</v>
      </c>
      <c r="P90">
        <f t="shared" si="18"/>
        <v>5.1799999999999997E-3</v>
      </c>
      <c r="S90">
        <v>0</v>
      </c>
      <c r="T90">
        <f t="shared" si="19"/>
        <v>0</v>
      </c>
      <c r="U90">
        <f t="shared" si="20"/>
        <v>0</v>
      </c>
      <c r="V90">
        <f t="shared" si="21"/>
        <v>0</v>
      </c>
      <c r="W90">
        <v>1</v>
      </c>
      <c r="X90">
        <f t="shared" si="22"/>
        <v>0</v>
      </c>
      <c r="Y90">
        <f t="shared" si="23"/>
        <v>0</v>
      </c>
    </row>
    <row r="91" spans="1:25" hidden="1">
      <c r="A91" t="str">
        <f t="shared" si="25"/>
        <v>Culberson 1951</v>
      </c>
      <c r="B91">
        <f t="shared" si="26"/>
        <v>280</v>
      </c>
      <c r="C91">
        <v>9835</v>
      </c>
      <c r="E91">
        <v>5.7400000000000003E-3</v>
      </c>
      <c r="H91">
        <f t="shared" si="16"/>
        <v>410.93</v>
      </c>
      <c r="I91">
        <f t="shared" si="17"/>
        <v>678.09</v>
      </c>
      <c r="J91">
        <v>0</v>
      </c>
      <c r="P91">
        <f t="shared" si="18"/>
        <v>5.7400000000000003E-3</v>
      </c>
      <c r="S91">
        <v>0</v>
      </c>
      <c r="T91">
        <f t="shared" si="19"/>
        <v>0</v>
      </c>
      <c r="U91">
        <f t="shared" si="20"/>
        <v>0</v>
      </c>
      <c r="V91">
        <f t="shared" si="21"/>
        <v>0</v>
      </c>
      <c r="W91">
        <v>1</v>
      </c>
      <c r="X91">
        <f t="shared" si="22"/>
        <v>0</v>
      </c>
      <c r="Y91">
        <f t="shared" si="23"/>
        <v>0</v>
      </c>
    </row>
    <row r="92" spans="1:25" hidden="1">
      <c r="A92" t="str">
        <f t="shared" si="25"/>
        <v>Culberson 1951</v>
      </c>
      <c r="B92">
        <v>340</v>
      </c>
      <c r="C92">
        <v>323</v>
      </c>
      <c r="E92">
        <v>3.2299999999999999E-4</v>
      </c>
      <c r="H92">
        <f t="shared" si="16"/>
        <v>444.26</v>
      </c>
      <c r="I92">
        <f t="shared" si="17"/>
        <v>22.27</v>
      </c>
      <c r="J92">
        <v>0</v>
      </c>
      <c r="P92">
        <f t="shared" si="18"/>
        <v>3.2299999999999999E-4</v>
      </c>
      <c r="S92">
        <v>0</v>
      </c>
      <c r="T92">
        <f t="shared" si="19"/>
        <v>0</v>
      </c>
      <c r="U92">
        <f t="shared" si="20"/>
        <v>0</v>
      </c>
      <c r="V92">
        <f t="shared" si="21"/>
        <v>0</v>
      </c>
      <c r="W92">
        <v>1</v>
      </c>
      <c r="X92">
        <f t="shared" si="22"/>
        <v>0</v>
      </c>
      <c r="Y92">
        <f t="shared" si="23"/>
        <v>0</v>
      </c>
    </row>
    <row r="93" spans="1:25" hidden="1">
      <c r="A93" t="str">
        <f t="shared" si="25"/>
        <v>Culberson 1951</v>
      </c>
      <c r="B93">
        <f t="shared" ref="B93:B103" si="27">B92</f>
        <v>340</v>
      </c>
      <c r="C93">
        <v>475</v>
      </c>
      <c r="E93">
        <v>5.3499999999999999E-4</v>
      </c>
      <c r="H93">
        <f t="shared" si="16"/>
        <v>444.26</v>
      </c>
      <c r="I93">
        <f t="shared" si="17"/>
        <v>32.75</v>
      </c>
      <c r="J93">
        <v>0</v>
      </c>
      <c r="P93">
        <f t="shared" si="18"/>
        <v>5.3499999999999999E-4</v>
      </c>
      <c r="S93">
        <v>0</v>
      </c>
      <c r="T93">
        <f t="shared" si="19"/>
        <v>0</v>
      </c>
      <c r="U93">
        <f t="shared" si="20"/>
        <v>0</v>
      </c>
      <c r="V93">
        <f t="shared" si="21"/>
        <v>0</v>
      </c>
      <c r="W93">
        <v>1</v>
      </c>
      <c r="X93">
        <f t="shared" si="22"/>
        <v>0</v>
      </c>
      <c r="Y93">
        <f t="shared" si="23"/>
        <v>0</v>
      </c>
    </row>
    <row r="94" spans="1:25" hidden="1">
      <c r="A94" t="str">
        <f t="shared" si="25"/>
        <v>Culberson 1951</v>
      </c>
      <c r="B94">
        <f t="shared" si="27"/>
        <v>340</v>
      </c>
      <c r="C94">
        <v>662</v>
      </c>
      <c r="E94">
        <v>7.8899999999999999E-4</v>
      </c>
      <c r="H94">
        <f t="shared" si="16"/>
        <v>444.26</v>
      </c>
      <c r="I94">
        <f t="shared" si="17"/>
        <v>45.64</v>
      </c>
      <c r="J94">
        <v>0</v>
      </c>
      <c r="P94">
        <f t="shared" si="18"/>
        <v>7.8899999999999999E-4</v>
      </c>
      <c r="S94">
        <v>0</v>
      </c>
      <c r="T94">
        <f t="shared" si="19"/>
        <v>0</v>
      </c>
      <c r="U94">
        <f t="shared" si="20"/>
        <v>0</v>
      </c>
      <c r="V94">
        <f t="shared" si="21"/>
        <v>0</v>
      </c>
      <c r="W94">
        <v>1</v>
      </c>
      <c r="X94">
        <f t="shared" si="22"/>
        <v>0</v>
      </c>
      <c r="Y94">
        <f t="shared" si="23"/>
        <v>0</v>
      </c>
    </row>
    <row r="95" spans="1:25" hidden="1">
      <c r="A95" t="str">
        <f t="shared" si="25"/>
        <v>Culberson 1951</v>
      </c>
      <c r="B95">
        <f t="shared" si="27"/>
        <v>340</v>
      </c>
      <c r="C95">
        <v>949</v>
      </c>
      <c r="E95">
        <v>1.15E-3</v>
      </c>
      <c r="H95">
        <f t="shared" ref="H95:H103" si="28">ROUND((B95- 32) * 5/9 + 273.15,2)</f>
        <v>444.26</v>
      </c>
      <c r="I95">
        <f t="shared" ref="I95:I103" si="29">ROUND(C95/14.504,2)</f>
        <v>65.430000000000007</v>
      </c>
      <c r="J95">
        <v>0</v>
      </c>
      <c r="P95">
        <f t="shared" ref="P95:P103" si="30">E95</f>
        <v>1.15E-3</v>
      </c>
      <c r="S95">
        <v>0</v>
      </c>
      <c r="T95">
        <f t="shared" ref="T95:T103" si="31">T94</f>
        <v>0</v>
      </c>
      <c r="U95">
        <f t="shared" ref="U95:U103" si="32">U94</f>
        <v>0</v>
      </c>
      <c r="V95">
        <f t="shared" ref="V95:V103" si="33">V94</f>
        <v>0</v>
      </c>
      <c r="W95">
        <v>1</v>
      </c>
      <c r="X95">
        <f t="shared" ref="X95:X103" si="34">X94</f>
        <v>0</v>
      </c>
      <c r="Y95">
        <f t="shared" ref="Y95:Y103" si="35">Y94</f>
        <v>0</v>
      </c>
    </row>
    <row r="96" spans="1:25" hidden="1">
      <c r="A96" t="str">
        <f t="shared" si="25"/>
        <v>Culberson 1951</v>
      </c>
      <c r="B96">
        <f t="shared" si="27"/>
        <v>340</v>
      </c>
      <c r="C96">
        <v>1360</v>
      </c>
      <c r="E96">
        <v>1.725E-3</v>
      </c>
      <c r="H96">
        <f t="shared" si="28"/>
        <v>444.26</v>
      </c>
      <c r="I96">
        <f t="shared" si="29"/>
        <v>93.77</v>
      </c>
      <c r="J96">
        <v>0</v>
      </c>
      <c r="P96">
        <f t="shared" si="30"/>
        <v>1.725E-3</v>
      </c>
      <c r="S96">
        <v>0</v>
      </c>
      <c r="T96">
        <f t="shared" si="31"/>
        <v>0</v>
      </c>
      <c r="U96">
        <f t="shared" si="32"/>
        <v>0</v>
      </c>
      <c r="V96">
        <f t="shared" si="33"/>
        <v>0</v>
      </c>
      <c r="W96">
        <v>1</v>
      </c>
      <c r="X96">
        <f t="shared" si="34"/>
        <v>0</v>
      </c>
      <c r="Y96">
        <f t="shared" si="35"/>
        <v>0</v>
      </c>
    </row>
    <row r="97" spans="1:25" hidden="1">
      <c r="A97" t="str">
        <f t="shared" si="25"/>
        <v>Culberson 1951</v>
      </c>
      <c r="B97">
        <f t="shared" si="27"/>
        <v>340</v>
      </c>
      <c r="C97">
        <v>1920</v>
      </c>
      <c r="E97">
        <v>2.3549999999999999E-3</v>
      </c>
      <c r="H97">
        <f t="shared" si="28"/>
        <v>444.26</v>
      </c>
      <c r="I97">
        <f t="shared" si="29"/>
        <v>132.38</v>
      </c>
      <c r="J97">
        <v>0</v>
      </c>
      <c r="P97">
        <f t="shared" si="30"/>
        <v>2.3549999999999999E-3</v>
      </c>
      <c r="S97">
        <v>0</v>
      </c>
      <c r="T97">
        <f t="shared" si="31"/>
        <v>0</v>
      </c>
      <c r="U97">
        <f t="shared" si="32"/>
        <v>0</v>
      </c>
      <c r="V97">
        <f t="shared" si="33"/>
        <v>0</v>
      </c>
      <c r="W97">
        <v>1</v>
      </c>
      <c r="X97">
        <f t="shared" si="34"/>
        <v>0</v>
      </c>
      <c r="Y97">
        <f t="shared" si="35"/>
        <v>0</v>
      </c>
    </row>
    <row r="98" spans="1:25" hidden="1">
      <c r="A98" t="str">
        <f t="shared" si="25"/>
        <v>Culberson 1951</v>
      </c>
      <c r="B98">
        <f t="shared" si="27"/>
        <v>340</v>
      </c>
      <c r="C98">
        <v>2580</v>
      </c>
      <c r="E98">
        <v>3.0249999999999999E-3</v>
      </c>
      <c r="H98">
        <f t="shared" si="28"/>
        <v>444.26</v>
      </c>
      <c r="I98">
        <f t="shared" si="29"/>
        <v>177.88</v>
      </c>
      <c r="J98">
        <v>0</v>
      </c>
      <c r="P98">
        <f t="shared" si="30"/>
        <v>3.0249999999999999E-3</v>
      </c>
      <c r="S98">
        <v>0</v>
      </c>
      <c r="T98">
        <f t="shared" si="31"/>
        <v>0</v>
      </c>
      <c r="U98">
        <f t="shared" si="32"/>
        <v>0</v>
      </c>
      <c r="V98">
        <f t="shared" si="33"/>
        <v>0</v>
      </c>
      <c r="W98">
        <v>1</v>
      </c>
      <c r="X98">
        <f t="shared" si="34"/>
        <v>0</v>
      </c>
      <c r="Y98">
        <f t="shared" si="35"/>
        <v>0</v>
      </c>
    </row>
    <row r="99" spans="1:25" hidden="1">
      <c r="A99" t="str">
        <f t="shared" si="25"/>
        <v>Culberson 1951</v>
      </c>
      <c r="B99">
        <f t="shared" si="27"/>
        <v>340</v>
      </c>
      <c r="C99">
        <v>3580</v>
      </c>
      <c r="E99">
        <v>3.8349999999999999E-3</v>
      </c>
      <c r="H99">
        <f t="shared" si="28"/>
        <v>444.26</v>
      </c>
      <c r="I99">
        <f t="shared" si="29"/>
        <v>246.83</v>
      </c>
      <c r="J99">
        <v>0</v>
      </c>
      <c r="P99">
        <f t="shared" si="30"/>
        <v>3.8349999999999999E-3</v>
      </c>
      <c r="S99">
        <v>0</v>
      </c>
      <c r="T99">
        <f t="shared" si="31"/>
        <v>0</v>
      </c>
      <c r="U99">
        <f t="shared" si="32"/>
        <v>0</v>
      </c>
      <c r="V99">
        <f t="shared" si="33"/>
        <v>0</v>
      </c>
      <c r="W99">
        <v>1</v>
      </c>
      <c r="X99">
        <f t="shared" si="34"/>
        <v>0</v>
      </c>
      <c r="Y99">
        <f t="shared" si="35"/>
        <v>0</v>
      </c>
    </row>
    <row r="100" spans="1:25" hidden="1">
      <c r="A100" t="str">
        <f t="shared" si="25"/>
        <v>Culberson 1951</v>
      </c>
      <c r="B100">
        <f t="shared" si="27"/>
        <v>340</v>
      </c>
      <c r="C100">
        <v>5045</v>
      </c>
      <c r="E100">
        <v>4.875E-3</v>
      </c>
      <c r="H100">
        <f t="shared" si="28"/>
        <v>444.26</v>
      </c>
      <c r="I100">
        <f t="shared" si="29"/>
        <v>347.84</v>
      </c>
      <c r="J100">
        <v>0</v>
      </c>
      <c r="P100">
        <f t="shared" si="30"/>
        <v>4.875E-3</v>
      </c>
      <c r="S100">
        <v>0</v>
      </c>
      <c r="T100">
        <f t="shared" si="31"/>
        <v>0</v>
      </c>
      <c r="U100">
        <f t="shared" si="32"/>
        <v>0</v>
      </c>
      <c r="V100">
        <f t="shared" si="33"/>
        <v>0</v>
      </c>
      <c r="W100">
        <v>1</v>
      </c>
      <c r="X100">
        <f t="shared" si="34"/>
        <v>0</v>
      </c>
      <c r="Y100">
        <f t="shared" si="35"/>
        <v>0</v>
      </c>
    </row>
    <row r="101" spans="1:25" hidden="1">
      <c r="A101" t="str">
        <f t="shared" si="25"/>
        <v>Culberson 1951</v>
      </c>
      <c r="B101">
        <f t="shared" si="27"/>
        <v>340</v>
      </c>
      <c r="C101">
        <v>6525</v>
      </c>
      <c r="E101">
        <v>5.9500000000000004E-3</v>
      </c>
      <c r="H101">
        <f t="shared" si="28"/>
        <v>444.26</v>
      </c>
      <c r="I101">
        <f t="shared" si="29"/>
        <v>449.88</v>
      </c>
      <c r="J101">
        <v>0</v>
      </c>
      <c r="P101">
        <f t="shared" si="30"/>
        <v>5.9500000000000004E-3</v>
      </c>
      <c r="S101">
        <v>0</v>
      </c>
      <c r="T101">
        <f t="shared" si="31"/>
        <v>0</v>
      </c>
      <c r="U101">
        <f t="shared" si="32"/>
        <v>0</v>
      </c>
      <c r="V101">
        <f t="shared" si="33"/>
        <v>0</v>
      </c>
      <c r="W101">
        <v>1</v>
      </c>
      <c r="X101">
        <f t="shared" si="34"/>
        <v>0</v>
      </c>
      <c r="Y101">
        <f t="shared" si="35"/>
        <v>0</v>
      </c>
    </row>
    <row r="102" spans="1:25" hidden="1">
      <c r="A102" t="str">
        <f t="shared" si="25"/>
        <v>Culberson 1951</v>
      </c>
      <c r="B102">
        <f t="shared" si="27"/>
        <v>340</v>
      </c>
      <c r="C102">
        <v>8210</v>
      </c>
      <c r="E102">
        <v>6.7999999999999996E-3</v>
      </c>
      <c r="H102">
        <f t="shared" si="28"/>
        <v>444.26</v>
      </c>
      <c r="I102">
        <f t="shared" si="29"/>
        <v>566.04999999999995</v>
      </c>
      <c r="J102">
        <v>0</v>
      </c>
      <c r="P102">
        <f t="shared" si="30"/>
        <v>6.7999999999999996E-3</v>
      </c>
      <c r="S102">
        <v>0</v>
      </c>
      <c r="T102">
        <f t="shared" si="31"/>
        <v>0</v>
      </c>
      <c r="U102">
        <f t="shared" si="32"/>
        <v>0</v>
      </c>
      <c r="V102">
        <f t="shared" si="33"/>
        <v>0</v>
      </c>
      <c r="W102">
        <v>1</v>
      </c>
      <c r="X102">
        <f t="shared" si="34"/>
        <v>0</v>
      </c>
      <c r="Y102">
        <f t="shared" si="35"/>
        <v>0</v>
      </c>
    </row>
    <row r="103" spans="1:25" hidden="1">
      <c r="A103" t="str">
        <f t="shared" si="25"/>
        <v>Culberson 1951</v>
      </c>
      <c r="B103">
        <f t="shared" si="27"/>
        <v>340</v>
      </c>
      <c r="C103">
        <v>9995</v>
      </c>
      <c r="E103">
        <v>7.7499999999999999E-3</v>
      </c>
      <c r="H103">
        <f t="shared" si="28"/>
        <v>444.26</v>
      </c>
      <c r="I103">
        <f t="shared" si="29"/>
        <v>689.12</v>
      </c>
      <c r="J103">
        <v>0</v>
      </c>
      <c r="P103">
        <f t="shared" si="30"/>
        <v>7.7499999999999999E-3</v>
      </c>
      <c r="S103">
        <v>0</v>
      </c>
      <c r="T103">
        <f t="shared" si="31"/>
        <v>0</v>
      </c>
      <c r="U103">
        <f t="shared" si="32"/>
        <v>0</v>
      </c>
      <c r="V103">
        <f t="shared" si="33"/>
        <v>0</v>
      </c>
      <c r="W103">
        <v>1</v>
      </c>
      <c r="X103">
        <f t="shared" si="34"/>
        <v>0</v>
      </c>
      <c r="Y103">
        <f t="shared" si="35"/>
        <v>0</v>
      </c>
    </row>
    <row r="104" spans="1:25" hidden="1">
      <c r="A104" t="s">
        <v>29</v>
      </c>
      <c r="H104">
        <v>295.55</v>
      </c>
      <c r="I104">
        <v>1.04</v>
      </c>
      <c r="J104">
        <f t="shared" ref="J104:J114" si="36">J103</f>
        <v>0</v>
      </c>
      <c r="L104">
        <v>7.0049999999999995E-4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hidden="1">
      <c r="A105" t="s">
        <v>29</v>
      </c>
      <c r="H105">
        <v>288.14999999999998</v>
      </c>
      <c r="I105">
        <v>0.94699999999999995</v>
      </c>
      <c r="J105">
        <f t="shared" si="36"/>
        <v>0</v>
      </c>
      <c r="L105">
        <v>7.6409999999999998E-4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hidden="1">
      <c r="A106" t="s">
        <v>29</v>
      </c>
      <c r="H106">
        <v>288.14999999999998</v>
      </c>
      <c r="I106">
        <v>1.0960000000000001</v>
      </c>
      <c r="J106">
        <f t="shared" si="36"/>
        <v>0</v>
      </c>
      <c r="L106">
        <v>9.4020000000000009E-4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hidden="1">
      <c r="A107" t="s">
        <v>29</v>
      </c>
      <c r="H107">
        <v>288.14999999999998</v>
      </c>
      <c r="I107">
        <v>1.736</v>
      </c>
      <c r="J107">
        <f t="shared" si="36"/>
        <v>0</v>
      </c>
      <c r="L107">
        <v>1.508E-3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hidden="1">
      <c r="A108" t="s">
        <v>29</v>
      </c>
      <c r="H108">
        <v>288.14999999999998</v>
      </c>
      <c r="I108">
        <v>1.9770000000000001</v>
      </c>
      <c r="J108">
        <f t="shared" si="36"/>
        <v>0</v>
      </c>
      <c r="L108">
        <v>1.748E-3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hidden="1">
      <c r="A109" t="s">
        <v>29</v>
      </c>
      <c r="H109">
        <v>288.14999999999998</v>
      </c>
      <c r="I109">
        <v>2.6859999999999999</v>
      </c>
      <c r="J109">
        <f t="shared" si="36"/>
        <v>0</v>
      </c>
      <c r="L109">
        <v>2.3490000000000004E-3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hidden="1">
      <c r="A110" t="s">
        <v>29</v>
      </c>
      <c r="H110">
        <v>288.14999999999998</v>
      </c>
      <c r="I110">
        <v>2.9350000000000001</v>
      </c>
      <c r="J110">
        <f t="shared" si="36"/>
        <v>0</v>
      </c>
      <c r="L110">
        <v>2.5659999999999997E-3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hidden="1">
      <c r="A111" t="s">
        <v>29</v>
      </c>
      <c r="H111">
        <v>288.14999999999998</v>
      </c>
      <c r="I111">
        <v>3.1749999999999998</v>
      </c>
      <c r="J111">
        <f t="shared" si="36"/>
        <v>0</v>
      </c>
      <c r="L111">
        <v>2.8149999999999998E-3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hidden="1">
      <c r="A112" t="s">
        <v>29</v>
      </c>
      <c r="H112">
        <v>288.14999999999998</v>
      </c>
      <c r="I112">
        <v>3.4220000000000002</v>
      </c>
      <c r="J112">
        <f t="shared" si="36"/>
        <v>0</v>
      </c>
      <c r="L112">
        <v>3.0000000000000001E-3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hidden="1">
      <c r="A113" t="s">
        <v>29</v>
      </c>
      <c r="H113">
        <v>288.14999999999998</v>
      </c>
      <c r="I113">
        <v>3.6680000000000001</v>
      </c>
      <c r="J113">
        <f t="shared" si="36"/>
        <v>0</v>
      </c>
      <c r="L113">
        <v>3.2320000000000001E-3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hidden="1">
      <c r="A114" t="s">
        <v>29</v>
      </c>
      <c r="H114">
        <v>288.14999999999998</v>
      </c>
      <c r="I114">
        <v>4.1630000000000003</v>
      </c>
      <c r="J114">
        <f t="shared" si="36"/>
        <v>0</v>
      </c>
      <c r="L114">
        <v>3.6320000000000002E-3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hidden="1">
      <c r="A115" t="s">
        <v>66</v>
      </c>
      <c r="H115">
        <v>450.15</v>
      </c>
      <c r="I115">
        <v>25.254000000000001</v>
      </c>
      <c r="J115">
        <v>0</v>
      </c>
      <c r="L115" s="3">
        <v>2.235E-3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hidden="1">
      <c r="A116" t="str">
        <f t="shared" ref="A116:A129" si="37">A115</f>
        <v>Ellis &amp; Golding 1963</v>
      </c>
      <c r="H116">
        <v>474.15</v>
      </c>
      <c r="I116">
        <v>34.131999999999998</v>
      </c>
      <c r="J116">
        <v>0</v>
      </c>
      <c r="L116" s="3">
        <v>2.8319999999999999E-3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hidden="1">
      <c r="A117" t="str">
        <f t="shared" si="37"/>
        <v>Ellis &amp; Golding 1963</v>
      </c>
      <c r="H117">
        <v>477.15</v>
      </c>
      <c r="I117">
        <v>53.457999999999998</v>
      </c>
      <c r="J117">
        <v>0</v>
      </c>
      <c r="L117" s="3">
        <v>5.816E-3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hidden="1">
      <c r="A118" t="str">
        <f t="shared" si="37"/>
        <v>Ellis &amp; Golding 1963</v>
      </c>
      <c r="H118">
        <v>502.15</v>
      </c>
      <c r="I118">
        <v>74.355000000000004</v>
      </c>
      <c r="J118">
        <v>0</v>
      </c>
      <c r="L118" s="3">
        <v>7.6709999999999999E-3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hidden="1">
      <c r="A119" t="str">
        <f t="shared" si="37"/>
        <v>Ellis &amp; Golding 1963</v>
      </c>
      <c r="H119">
        <f>H118</f>
        <v>502.15</v>
      </c>
      <c r="I119">
        <v>71.518000000000001</v>
      </c>
      <c r="J119">
        <v>0</v>
      </c>
      <c r="L119" s="3">
        <v>7.5430000000000002E-3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hidden="1">
      <c r="A120" t="str">
        <f t="shared" si="37"/>
        <v>Ellis &amp; Golding 1963</v>
      </c>
      <c r="H120">
        <v>508.15</v>
      </c>
      <c r="I120">
        <v>60.697000000000003</v>
      </c>
      <c r="J120">
        <v>0</v>
      </c>
      <c r="L120" s="3">
        <v>4.7280000000000004E-3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hidden="1">
      <c r="A121" t="str">
        <f t="shared" si="37"/>
        <v>Ellis &amp; Golding 1963</v>
      </c>
      <c r="H121">
        <v>534.15</v>
      </c>
      <c r="I121">
        <v>101.46299999999999</v>
      </c>
      <c r="J121">
        <v>0</v>
      </c>
      <c r="L121" s="3">
        <v>1.078E-2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hidden="1">
      <c r="A122" t="str">
        <f t="shared" si="37"/>
        <v>Ellis &amp; Golding 1963</v>
      </c>
      <c r="H122">
        <f>H121</f>
        <v>534.15</v>
      </c>
      <c r="I122">
        <v>97.917000000000002</v>
      </c>
      <c r="J122">
        <v>0</v>
      </c>
      <c r="L122" s="3">
        <v>1.01E-2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hidden="1">
      <c r="A123" t="str">
        <f t="shared" si="37"/>
        <v>Ellis &amp; Golding 1963</v>
      </c>
      <c r="H123">
        <v>538.15</v>
      </c>
      <c r="I123">
        <v>74.227000000000004</v>
      </c>
      <c r="J123">
        <v>0</v>
      </c>
      <c r="L123" s="3">
        <v>4.718E-3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hidden="1">
      <c r="A124" t="str">
        <f t="shared" si="37"/>
        <v>Ellis &amp; Golding 1963</v>
      </c>
      <c r="H124">
        <f>H123</f>
        <v>538.15</v>
      </c>
      <c r="I124">
        <v>71.492999999999995</v>
      </c>
      <c r="J124">
        <v>0</v>
      </c>
      <c r="L124" s="3">
        <v>4.2620000000000002E-3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hidden="1">
      <c r="A125" t="str">
        <f t="shared" si="37"/>
        <v>Ellis &amp; Golding 1963</v>
      </c>
      <c r="H125">
        <v>582.15</v>
      </c>
      <c r="I125">
        <v>173.76</v>
      </c>
      <c r="J125">
        <v>0</v>
      </c>
      <c r="L125" s="3">
        <v>2.1139999999999999E-2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hidden="1">
      <c r="A126" t="str">
        <f t="shared" si="37"/>
        <v>Ellis &amp; Golding 1963</v>
      </c>
      <c r="H126">
        <f>H125</f>
        <v>582.15</v>
      </c>
      <c r="I126">
        <v>170.31</v>
      </c>
      <c r="J126">
        <v>0</v>
      </c>
      <c r="L126" s="3">
        <v>1.9220000000000001E-2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hidden="1">
      <c r="A127" t="str">
        <f t="shared" si="37"/>
        <v>Ellis &amp; Golding 1963</v>
      </c>
      <c r="H127">
        <f>H126</f>
        <v>582.15</v>
      </c>
      <c r="I127">
        <v>166.26</v>
      </c>
      <c r="J127">
        <v>0</v>
      </c>
      <c r="L127" s="3">
        <v>1.8259999999999998E-2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hidden="1">
      <c r="A128" t="str">
        <f t="shared" si="37"/>
        <v>Ellis &amp; Golding 1963</v>
      </c>
      <c r="H128">
        <v>607.15</v>
      </c>
      <c r="I128">
        <v>198.7</v>
      </c>
      <c r="J128">
        <v>0</v>
      </c>
      <c r="L128" s="3">
        <v>2.1239999999999998E-2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hidden="1">
      <c r="A129" t="str">
        <f t="shared" si="37"/>
        <v>Ellis &amp; Golding 1963</v>
      </c>
      <c r="H129">
        <f>H128</f>
        <v>607.15</v>
      </c>
      <c r="I129">
        <v>195.26</v>
      </c>
      <c r="J129">
        <v>0</v>
      </c>
      <c r="L129" s="3">
        <v>1.9900000000000001E-2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hidden="1">
      <c r="A130" t="s">
        <v>64</v>
      </c>
      <c r="B130">
        <v>114</v>
      </c>
      <c r="C130">
        <v>5</v>
      </c>
      <c r="E130">
        <v>0.71</v>
      </c>
      <c r="H130">
        <f t="shared" ref="H130:H165" si="38">273.15+B130</f>
        <v>387.15</v>
      </c>
      <c r="I130">
        <f t="shared" ref="I130:I165" si="39">1.01325*C130</f>
        <v>5.0662500000000001</v>
      </c>
      <c r="J130">
        <v>0</v>
      </c>
      <c r="L130">
        <f t="shared" ref="L130:L165" si="40">E130/1000</f>
        <v>7.0999999999999991E-4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hidden="1">
      <c r="A131" t="str">
        <f t="shared" ref="A131:A165" si="41">A130</f>
        <v>Ellis 1959</v>
      </c>
      <c r="B131">
        <v>128</v>
      </c>
      <c r="C131">
        <v>6</v>
      </c>
      <c r="E131">
        <v>0.76100000000000001</v>
      </c>
      <c r="H131">
        <f t="shared" si="38"/>
        <v>401.15</v>
      </c>
      <c r="I131">
        <f t="shared" si="39"/>
        <v>6.0794999999999995</v>
      </c>
      <c r="J131">
        <v>0</v>
      </c>
      <c r="L131">
        <f t="shared" si="40"/>
        <v>7.6099999999999996E-4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hidden="1">
      <c r="A132" t="str">
        <f t="shared" si="41"/>
        <v>Ellis 1959</v>
      </c>
      <c r="B132">
        <v>147</v>
      </c>
      <c r="C132">
        <v>8.25</v>
      </c>
      <c r="E132">
        <v>0.76900000000000002</v>
      </c>
      <c r="H132">
        <f t="shared" si="38"/>
        <v>420.15</v>
      </c>
      <c r="I132">
        <f t="shared" si="39"/>
        <v>8.3593124999999997</v>
      </c>
      <c r="J132">
        <v>0</v>
      </c>
      <c r="L132">
        <f t="shared" si="40"/>
        <v>7.6900000000000004E-4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hidden="1">
      <c r="A133" t="str">
        <f t="shared" si="41"/>
        <v>Ellis 1959</v>
      </c>
      <c r="B133">
        <v>175</v>
      </c>
      <c r="C133">
        <v>12.85</v>
      </c>
      <c r="E133">
        <v>0.84099999999999997</v>
      </c>
      <c r="H133">
        <f t="shared" si="38"/>
        <v>448.15</v>
      </c>
      <c r="I133">
        <f t="shared" si="39"/>
        <v>13.020262499999999</v>
      </c>
      <c r="J133">
        <v>0</v>
      </c>
      <c r="L133">
        <f t="shared" si="40"/>
        <v>8.4099999999999995E-4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hidden="1">
      <c r="A134" t="str">
        <f t="shared" si="41"/>
        <v>Ellis 1959</v>
      </c>
      <c r="B134">
        <v>182</v>
      </c>
      <c r="C134">
        <v>14.1</v>
      </c>
      <c r="E134">
        <v>0.83099999999999996</v>
      </c>
      <c r="H134">
        <f t="shared" si="38"/>
        <v>455.15</v>
      </c>
      <c r="I134">
        <f t="shared" si="39"/>
        <v>14.286824999999999</v>
      </c>
      <c r="J134">
        <v>0</v>
      </c>
      <c r="L134">
        <f t="shared" si="40"/>
        <v>8.3099999999999992E-4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hidden="1">
      <c r="A135" t="str">
        <f t="shared" si="41"/>
        <v>Ellis 1959</v>
      </c>
      <c r="B135">
        <v>192</v>
      </c>
      <c r="C135">
        <v>16.7</v>
      </c>
      <c r="E135">
        <v>1.01</v>
      </c>
      <c r="H135">
        <f t="shared" si="38"/>
        <v>465.15</v>
      </c>
      <c r="I135">
        <f t="shared" si="39"/>
        <v>16.921274999999998</v>
      </c>
      <c r="J135">
        <v>0</v>
      </c>
      <c r="L135">
        <f t="shared" si="40"/>
        <v>1.01E-3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hidden="1">
      <c r="A136" t="str">
        <f t="shared" si="41"/>
        <v>Ellis 1959</v>
      </c>
      <c r="B136">
        <v>195</v>
      </c>
      <c r="C136">
        <v>17.5</v>
      </c>
      <c r="E136">
        <v>0.95799999999999996</v>
      </c>
      <c r="H136">
        <f t="shared" si="38"/>
        <v>468.15</v>
      </c>
      <c r="I136">
        <f t="shared" si="39"/>
        <v>17.731874999999999</v>
      </c>
      <c r="J136">
        <v>0</v>
      </c>
      <c r="L136">
        <f t="shared" si="40"/>
        <v>9.5799999999999998E-4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hidden="1">
      <c r="A137" t="str">
        <f t="shared" si="41"/>
        <v>Ellis 1959</v>
      </c>
      <c r="B137">
        <v>208</v>
      </c>
      <c r="C137">
        <v>22</v>
      </c>
      <c r="E137">
        <v>1.1000000000000001</v>
      </c>
      <c r="H137">
        <f t="shared" si="38"/>
        <v>481.15</v>
      </c>
      <c r="I137">
        <f t="shared" si="39"/>
        <v>22.291499999999999</v>
      </c>
      <c r="J137">
        <v>0</v>
      </c>
      <c r="L137">
        <f t="shared" si="40"/>
        <v>1.1000000000000001E-3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hidden="1">
      <c r="A138" t="str">
        <f t="shared" si="41"/>
        <v>Ellis 1959</v>
      </c>
      <c r="B138">
        <v>227</v>
      </c>
      <c r="C138">
        <v>30.1</v>
      </c>
      <c r="E138">
        <v>1.0900000000000001</v>
      </c>
      <c r="H138">
        <f t="shared" si="38"/>
        <v>500.15</v>
      </c>
      <c r="I138">
        <f t="shared" si="39"/>
        <v>30.498825</v>
      </c>
      <c r="J138">
        <v>0</v>
      </c>
      <c r="L138">
        <f t="shared" si="40"/>
        <v>1.09E-3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hidden="1">
      <c r="A139" t="str">
        <f t="shared" si="41"/>
        <v>Ellis 1959</v>
      </c>
      <c r="B139">
        <v>228</v>
      </c>
      <c r="C139">
        <v>30.7</v>
      </c>
      <c r="E139">
        <v>1.06</v>
      </c>
      <c r="H139">
        <f t="shared" si="38"/>
        <v>501.15</v>
      </c>
      <c r="I139">
        <f t="shared" si="39"/>
        <v>31.106774999999999</v>
      </c>
      <c r="J139">
        <v>0</v>
      </c>
      <c r="L139">
        <f t="shared" si="40"/>
        <v>1.06E-3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hidden="1">
      <c r="A140" t="str">
        <f t="shared" si="41"/>
        <v>Ellis 1959</v>
      </c>
      <c r="B140">
        <v>228</v>
      </c>
      <c r="C140">
        <v>30.3</v>
      </c>
      <c r="E140">
        <v>1.07</v>
      </c>
      <c r="H140">
        <f t="shared" si="38"/>
        <v>501.15</v>
      </c>
      <c r="I140">
        <f t="shared" si="39"/>
        <v>30.701474999999999</v>
      </c>
      <c r="J140">
        <v>0</v>
      </c>
      <c r="L140">
        <f t="shared" si="40"/>
        <v>1.07E-3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hidden="1">
      <c r="A141" t="str">
        <f t="shared" si="41"/>
        <v>Ellis 1959</v>
      </c>
      <c r="B141">
        <v>231</v>
      </c>
      <c r="C141">
        <v>32.299999999999997</v>
      </c>
      <c r="E141">
        <v>1.0900000000000001</v>
      </c>
      <c r="H141">
        <f t="shared" si="38"/>
        <v>504.15</v>
      </c>
      <c r="I141">
        <f t="shared" si="39"/>
        <v>32.727974999999994</v>
      </c>
      <c r="J141">
        <v>0</v>
      </c>
      <c r="L141">
        <f t="shared" si="40"/>
        <v>1.09E-3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hidden="1">
      <c r="A142" t="str">
        <f t="shared" si="41"/>
        <v>Ellis 1959</v>
      </c>
      <c r="B142">
        <v>232</v>
      </c>
      <c r="C142">
        <v>32.6</v>
      </c>
      <c r="E142">
        <v>1.08</v>
      </c>
      <c r="H142">
        <f t="shared" si="38"/>
        <v>505.15</v>
      </c>
      <c r="I142">
        <f t="shared" si="39"/>
        <v>33.031950000000002</v>
      </c>
      <c r="J142">
        <v>0</v>
      </c>
      <c r="L142">
        <f t="shared" si="40"/>
        <v>1.08E-3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hidden="1">
      <c r="A143" t="str">
        <f t="shared" si="41"/>
        <v>Ellis 1959</v>
      </c>
      <c r="B143">
        <v>255</v>
      </c>
      <c r="C143">
        <v>47.1</v>
      </c>
      <c r="E143">
        <v>1.2</v>
      </c>
      <c r="H143">
        <f t="shared" si="38"/>
        <v>528.15</v>
      </c>
      <c r="I143">
        <f t="shared" si="39"/>
        <v>47.724074999999999</v>
      </c>
      <c r="J143">
        <v>0</v>
      </c>
      <c r="L143">
        <f t="shared" si="40"/>
        <v>1.1999999999999999E-3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hidden="1">
      <c r="A144" t="str">
        <f t="shared" si="41"/>
        <v>Ellis 1959</v>
      </c>
      <c r="B144">
        <v>257</v>
      </c>
      <c r="C144">
        <v>48.5</v>
      </c>
      <c r="E144">
        <v>1.2</v>
      </c>
      <c r="H144">
        <f t="shared" si="38"/>
        <v>530.15</v>
      </c>
      <c r="I144">
        <f t="shared" si="39"/>
        <v>49.142625000000002</v>
      </c>
      <c r="J144">
        <v>0</v>
      </c>
      <c r="L144">
        <f t="shared" si="40"/>
        <v>1.1999999999999999E-3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hidden="1">
      <c r="A145" t="str">
        <f t="shared" si="41"/>
        <v>Ellis 1959</v>
      </c>
      <c r="B145">
        <v>291</v>
      </c>
      <c r="C145">
        <v>78.5</v>
      </c>
      <c r="E145">
        <v>1.5</v>
      </c>
      <c r="H145">
        <f t="shared" si="38"/>
        <v>564.15</v>
      </c>
      <c r="I145">
        <f t="shared" si="39"/>
        <v>79.540125000000003</v>
      </c>
      <c r="J145">
        <v>0</v>
      </c>
      <c r="L145">
        <f t="shared" si="40"/>
        <v>1.5E-3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hidden="1">
      <c r="A146" t="str">
        <f t="shared" si="41"/>
        <v>Ellis 1959</v>
      </c>
      <c r="B146">
        <v>298</v>
      </c>
      <c r="C146">
        <v>85.9</v>
      </c>
      <c r="E146">
        <v>1.6</v>
      </c>
      <c r="H146">
        <f t="shared" si="38"/>
        <v>571.15</v>
      </c>
      <c r="I146">
        <f t="shared" si="39"/>
        <v>87.03817500000001</v>
      </c>
      <c r="J146">
        <v>0</v>
      </c>
      <c r="L146">
        <f t="shared" si="40"/>
        <v>1.6000000000000001E-3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hidden="1">
      <c r="A147" t="str">
        <f t="shared" si="41"/>
        <v>Ellis 1959</v>
      </c>
      <c r="B147">
        <v>305</v>
      </c>
      <c r="C147">
        <v>94.5</v>
      </c>
      <c r="E147">
        <v>1.7</v>
      </c>
      <c r="H147">
        <f t="shared" si="38"/>
        <v>578.15</v>
      </c>
      <c r="I147">
        <f t="shared" si="39"/>
        <v>95.752124999999992</v>
      </c>
      <c r="J147">
        <v>0</v>
      </c>
      <c r="L147">
        <f t="shared" si="40"/>
        <v>1.6999999999999999E-3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hidden="1">
      <c r="A148" t="str">
        <f t="shared" si="41"/>
        <v>Ellis 1959</v>
      </c>
      <c r="B148">
        <v>314</v>
      </c>
      <c r="C148">
        <v>105.8</v>
      </c>
      <c r="E148">
        <v>1.9</v>
      </c>
      <c r="H148">
        <f t="shared" si="38"/>
        <v>587.15</v>
      </c>
      <c r="I148">
        <f t="shared" si="39"/>
        <v>107.20184999999999</v>
      </c>
      <c r="J148">
        <v>0</v>
      </c>
      <c r="L148">
        <f t="shared" si="40"/>
        <v>1.9E-3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hidden="1">
      <c r="A149" t="str">
        <f t="shared" si="41"/>
        <v>Ellis 1959</v>
      </c>
      <c r="B149">
        <v>322</v>
      </c>
      <c r="C149">
        <v>117.1</v>
      </c>
      <c r="E149">
        <v>1.8</v>
      </c>
      <c r="H149">
        <f t="shared" si="38"/>
        <v>595.15</v>
      </c>
      <c r="I149">
        <f t="shared" si="39"/>
        <v>118.65157499999999</v>
      </c>
      <c r="J149">
        <v>0</v>
      </c>
      <c r="L149">
        <f t="shared" si="40"/>
        <v>1.8E-3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hidden="1">
      <c r="A150" t="str">
        <f t="shared" si="41"/>
        <v>Ellis 1959</v>
      </c>
      <c r="B150">
        <v>343</v>
      </c>
      <c r="C150">
        <v>152.30000000000001</v>
      </c>
      <c r="E150">
        <v>2.2000000000000002</v>
      </c>
      <c r="H150">
        <f t="shared" si="38"/>
        <v>616.15</v>
      </c>
      <c r="I150">
        <f t="shared" si="39"/>
        <v>154.31797500000002</v>
      </c>
      <c r="J150">
        <v>0</v>
      </c>
      <c r="L150">
        <f t="shared" si="40"/>
        <v>2.2000000000000001E-3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hidden="1">
      <c r="A151" t="str">
        <f t="shared" si="41"/>
        <v>Ellis 1959</v>
      </c>
      <c r="B151">
        <v>348</v>
      </c>
      <c r="C151">
        <v>161.9</v>
      </c>
      <c r="E151">
        <v>2.2999999999999998</v>
      </c>
      <c r="H151">
        <f t="shared" si="38"/>
        <v>621.15</v>
      </c>
      <c r="I151">
        <f t="shared" si="39"/>
        <v>164.045175</v>
      </c>
      <c r="J151">
        <v>0</v>
      </c>
      <c r="L151">
        <f t="shared" si="40"/>
        <v>2.3E-3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hidden="1">
      <c r="A152" t="str">
        <f t="shared" si="41"/>
        <v>Ellis 1959</v>
      </c>
      <c r="B152">
        <v>163</v>
      </c>
      <c r="C152">
        <v>7.85</v>
      </c>
      <c r="E152">
        <v>0.28000000000000003</v>
      </c>
      <c r="H152">
        <f t="shared" si="38"/>
        <v>436.15</v>
      </c>
      <c r="I152">
        <f t="shared" si="39"/>
        <v>7.9540124999999993</v>
      </c>
      <c r="J152">
        <v>0</v>
      </c>
      <c r="L152">
        <f t="shared" si="40"/>
        <v>2.8000000000000003E-4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hidden="1">
      <c r="A153" t="str">
        <f t="shared" si="41"/>
        <v>Ellis 1959</v>
      </c>
      <c r="B153">
        <v>179</v>
      </c>
      <c r="C153">
        <v>11.25</v>
      </c>
      <c r="E153">
        <v>0.36</v>
      </c>
      <c r="H153">
        <f t="shared" si="38"/>
        <v>452.15</v>
      </c>
      <c r="I153">
        <f t="shared" si="39"/>
        <v>11.399062499999999</v>
      </c>
      <c r="J153">
        <v>0</v>
      </c>
      <c r="L153">
        <f t="shared" si="40"/>
        <v>3.5999999999999997E-4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hidden="1">
      <c r="A154" t="str">
        <f t="shared" si="41"/>
        <v>Ellis 1959</v>
      </c>
      <c r="B154">
        <v>197.5</v>
      </c>
      <c r="C154">
        <v>14.7</v>
      </c>
      <c r="E154">
        <v>0.37</v>
      </c>
      <c r="H154">
        <f t="shared" si="38"/>
        <v>470.65</v>
      </c>
      <c r="I154">
        <f t="shared" si="39"/>
        <v>14.894774999999999</v>
      </c>
      <c r="J154">
        <v>0</v>
      </c>
      <c r="L154">
        <f t="shared" si="40"/>
        <v>3.6999999999999999E-4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hidden="1">
      <c r="A155" t="str">
        <f t="shared" si="41"/>
        <v>Ellis 1959</v>
      </c>
      <c r="B155">
        <v>199</v>
      </c>
      <c r="C155">
        <v>16.3</v>
      </c>
      <c r="E155">
        <v>0.36</v>
      </c>
      <c r="H155">
        <f t="shared" si="38"/>
        <v>472.15</v>
      </c>
      <c r="I155">
        <f t="shared" si="39"/>
        <v>16.515975000000001</v>
      </c>
      <c r="J155">
        <v>0</v>
      </c>
      <c r="L155">
        <f t="shared" si="40"/>
        <v>3.5999999999999997E-4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hidden="1">
      <c r="A156" t="str">
        <f t="shared" si="41"/>
        <v>Ellis 1959</v>
      </c>
      <c r="B156">
        <v>222</v>
      </c>
      <c r="C156">
        <v>25.2</v>
      </c>
      <c r="E156">
        <v>0.43</v>
      </c>
      <c r="H156">
        <f t="shared" si="38"/>
        <v>495.15</v>
      </c>
      <c r="I156">
        <f t="shared" si="39"/>
        <v>25.533899999999999</v>
      </c>
      <c r="J156">
        <v>0</v>
      </c>
      <c r="L156">
        <f t="shared" si="40"/>
        <v>4.2999999999999999E-4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hidden="1">
      <c r="A157" t="str">
        <f t="shared" si="41"/>
        <v>Ellis 1959</v>
      </c>
      <c r="B157">
        <v>224</v>
      </c>
      <c r="C157">
        <v>26</v>
      </c>
      <c r="E157">
        <v>0.38</v>
      </c>
      <c r="H157">
        <f t="shared" si="38"/>
        <v>497.15</v>
      </c>
      <c r="I157">
        <f t="shared" si="39"/>
        <v>26.3445</v>
      </c>
      <c r="J157">
        <v>0</v>
      </c>
      <c r="L157">
        <f t="shared" si="40"/>
        <v>3.8000000000000002E-4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hidden="1">
      <c r="A158" t="str">
        <f t="shared" si="41"/>
        <v>Ellis 1959</v>
      </c>
      <c r="B158">
        <v>227</v>
      </c>
      <c r="C158">
        <v>27.5</v>
      </c>
      <c r="E158">
        <v>0.4</v>
      </c>
      <c r="H158">
        <f t="shared" si="38"/>
        <v>500.15</v>
      </c>
      <c r="I158">
        <f t="shared" si="39"/>
        <v>27.864374999999999</v>
      </c>
      <c r="J158">
        <v>0</v>
      </c>
      <c r="L158">
        <f t="shared" si="40"/>
        <v>4.0000000000000002E-4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hidden="1">
      <c r="A159" t="str">
        <f t="shared" si="41"/>
        <v>Ellis 1959</v>
      </c>
      <c r="B159">
        <v>233</v>
      </c>
      <c r="C159">
        <v>30.4</v>
      </c>
      <c r="E159">
        <v>0.41</v>
      </c>
      <c r="H159">
        <f t="shared" si="38"/>
        <v>506.15</v>
      </c>
      <c r="I159">
        <f t="shared" si="39"/>
        <v>30.802799999999998</v>
      </c>
      <c r="J159">
        <v>0</v>
      </c>
      <c r="L159">
        <f t="shared" si="40"/>
        <v>4.0999999999999999E-4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hidden="1">
      <c r="A160" t="str">
        <f t="shared" si="41"/>
        <v>Ellis 1959</v>
      </c>
      <c r="B160">
        <v>242.5</v>
      </c>
      <c r="C160">
        <v>36</v>
      </c>
      <c r="E160">
        <v>0.46</v>
      </c>
      <c r="H160">
        <f t="shared" si="38"/>
        <v>515.65</v>
      </c>
      <c r="I160">
        <f t="shared" si="39"/>
        <v>36.476999999999997</v>
      </c>
      <c r="J160">
        <v>0</v>
      </c>
      <c r="L160">
        <f t="shared" si="40"/>
        <v>4.6000000000000001E-4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hidden="1">
      <c r="A161" t="str">
        <f t="shared" si="41"/>
        <v>Ellis 1959</v>
      </c>
      <c r="B161">
        <v>244</v>
      </c>
      <c r="C161">
        <v>36.799999999999997</v>
      </c>
      <c r="E161">
        <v>0.45</v>
      </c>
      <c r="H161">
        <f t="shared" si="38"/>
        <v>517.15</v>
      </c>
      <c r="I161">
        <f t="shared" si="39"/>
        <v>37.287599999999998</v>
      </c>
      <c r="J161">
        <v>0</v>
      </c>
      <c r="L161">
        <f t="shared" si="40"/>
        <v>4.4999999999999999E-4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hidden="1">
      <c r="A162" t="str">
        <f t="shared" si="41"/>
        <v>Ellis 1959</v>
      </c>
      <c r="B162">
        <v>287</v>
      </c>
      <c r="C162">
        <v>71.599999999999994</v>
      </c>
      <c r="E162">
        <v>0.54</v>
      </c>
      <c r="H162">
        <f t="shared" si="38"/>
        <v>560.15</v>
      </c>
      <c r="I162">
        <f t="shared" si="39"/>
        <v>72.548699999999997</v>
      </c>
      <c r="J162">
        <v>0</v>
      </c>
      <c r="L162">
        <f t="shared" si="40"/>
        <v>5.4000000000000001E-4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hidden="1">
      <c r="A163" t="str">
        <f t="shared" si="41"/>
        <v>Ellis 1959</v>
      </c>
      <c r="B163">
        <v>288</v>
      </c>
      <c r="C163">
        <v>72.5</v>
      </c>
      <c r="E163">
        <v>0.52</v>
      </c>
      <c r="H163">
        <f t="shared" si="38"/>
        <v>561.15</v>
      </c>
      <c r="I163">
        <f t="shared" si="39"/>
        <v>73.460624999999993</v>
      </c>
      <c r="J163">
        <v>0</v>
      </c>
      <c r="L163">
        <f t="shared" si="40"/>
        <v>5.2000000000000006E-4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hidden="1">
      <c r="A164" t="str">
        <f t="shared" si="41"/>
        <v>Ellis 1959</v>
      </c>
      <c r="B164">
        <v>317</v>
      </c>
      <c r="C164">
        <v>106.7</v>
      </c>
      <c r="E164">
        <v>0.65</v>
      </c>
      <c r="H164">
        <f t="shared" si="38"/>
        <v>590.15</v>
      </c>
      <c r="I164">
        <f t="shared" si="39"/>
        <v>108.113775</v>
      </c>
      <c r="J164">
        <v>0</v>
      </c>
      <c r="L164">
        <f t="shared" si="40"/>
        <v>6.4999999999999997E-4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hidden="1">
      <c r="A165" t="str">
        <f t="shared" si="41"/>
        <v>Ellis 1959</v>
      </c>
      <c r="B165">
        <v>319</v>
      </c>
      <c r="C165">
        <v>111.1</v>
      </c>
      <c r="E165">
        <v>0.67</v>
      </c>
      <c r="H165">
        <f t="shared" si="38"/>
        <v>592.15</v>
      </c>
      <c r="I165">
        <f t="shared" si="39"/>
        <v>112.572075</v>
      </c>
      <c r="J165">
        <v>0</v>
      </c>
      <c r="L165">
        <f t="shared" si="40"/>
        <v>6.7000000000000002E-4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hidden="1">
      <c r="A166" t="s">
        <v>33</v>
      </c>
      <c r="H166">
        <v>298.14999999999998</v>
      </c>
      <c r="I166">
        <v>0.99099999999999999</v>
      </c>
      <c r="J166">
        <f t="shared" ref="J166:J175" si="42">J165</f>
        <v>0</v>
      </c>
      <c r="L166">
        <v>5.8900000000000001E-4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hidden="1">
      <c r="A167" t="str">
        <f t="shared" ref="A167:A175" si="43">A166</f>
        <v>Findlay 1910</v>
      </c>
      <c r="H167">
        <f t="shared" ref="H167:H175" si="44">H166</f>
        <v>298.14999999999998</v>
      </c>
      <c r="I167">
        <v>1.0029999999999999</v>
      </c>
      <c r="J167">
        <f t="shared" si="42"/>
        <v>0</v>
      </c>
      <c r="L167">
        <v>5.9699999999999998E-4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hidden="1">
      <c r="A168" t="str">
        <f t="shared" si="43"/>
        <v>Findlay 1910</v>
      </c>
      <c r="H168">
        <f t="shared" si="44"/>
        <v>298.14999999999998</v>
      </c>
      <c r="I168">
        <v>1.0669999999999999</v>
      </c>
      <c r="J168">
        <f t="shared" si="42"/>
        <v>0</v>
      </c>
      <c r="L168">
        <v>6.3299999999999999E-4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hidden="1">
      <c r="A169" t="str">
        <f t="shared" si="43"/>
        <v>Findlay 1910</v>
      </c>
      <c r="H169">
        <f t="shared" si="44"/>
        <v>298.14999999999998</v>
      </c>
      <c r="I169">
        <v>1.121</v>
      </c>
      <c r="J169">
        <f t="shared" si="42"/>
        <v>0</v>
      </c>
      <c r="L169">
        <v>6.6699999999999995E-4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hidden="1">
      <c r="A170" t="str">
        <f t="shared" si="43"/>
        <v>Findlay 1910</v>
      </c>
      <c r="H170">
        <f t="shared" si="44"/>
        <v>298.14999999999998</v>
      </c>
      <c r="I170">
        <v>1.2729999999999999</v>
      </c>
      <c r="J170">
        <f t="shared" si="42"/>
        <v>0</v>
      </c>
      <c r="L170">
        <v>7.5699999999999997E-4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hidden="1">
      <c r="A171" t="str">
        <f t="shared" si="43"/>
        <v>Findlay 1910</v>
      </c>
      <c r="H171">
        <f t="shared" si="44"/>
        <v>298.14999999999998</v>
      </c>
      <c r="I171">
        <v>1.393</v>
      </c>
      <c r="J171">
        <f t="shared" si="42"/>
        <v>0</v>
      </c>
      <c r="L171">
        <v>8.2899999999999998E-4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hidden="1">
      <c r="A172" t="str">
        <f t="shared" si="43"/>
        <v>Findlay 1910</v>
      </c>
      <c r="H172">
        <f t="shared" si="44"/>
        <v>298.14999999999998</v>
      </c>
      <c r="I172">
        <v>1.4179999999999999</v>
      </c>
      <c r="J172">
        <f t="shared" si="42"/>
        <v>0</v>
      </c>
      <c r="L172">
        <v>8.5400000000000005E-4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hidden="1">
      <c r="A173" t="str">
        <f t="shared" si="43"/>
        <v>Findlay 1910</v>
      </c>
      <c r="H173">
        <f t="shared" si="44"/>
        <v>298.14999999999998</v>
      </c>
      <c r="I173">
        <v>1.5369999999999999</v>
      </c>
      <c r="J173">
        <f t="shared" si="42"/>
        <v>0</v>
      </c>
      <c r="L173">
        <v>9.1600000000000004E-4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hidden="1">
      <c r="A174" t="str">
        <f t="shared" si="43"/>
        <v>Findlay 1910</v>
      </c>
      <c r="H174">
        <f t="shared" si="44"/>
        <v>298.14999999999998</v>
      </c>
      <c r="I174">
        <v>1.657</v>
      </c>
      <c r="J174">
        <f t="shared" si="42"/>
        <v>0</v>
      </c>
      <c r="L174">
        <v>9.8799999999999995E-4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hidden="1">
      <c r="A175" t="str">
        <f t="shared" si="43"/>
        <v>Findlay 1910</v>
      </c>
      <c r="H175">
        <f t="shared" si="44"/>
        <v>298.14999999999998</v>
      </c>
      <c r="I175">
        <v>1.8009999999999999</v>
      </c>
      <c r="J175">
        <f t="shared" si="42"/>
        <v>0</v>
      </c>
      <c r="L175">
        <v>1.075E-3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hidden="1">
      <c r="A176" t="s">
        <v>35</v>
      </c>
      <c r="H176">
        <v>298.14999999999998</v>
      </c>
      <c r="I176">
        <f>0.351</f>
        <v>0.35099999999999998</v>
      </c>
      <c r="J176">
        <v>0</v>
      </c>
      <c r="L176" s="3">
        <v>2.0900000000000001E-4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hidden="1">
      <c r="A177" t="str">
        <f t="shared" ref="A177:A185" si="45">A176</f>
        <v>Findlay 1913</v>
      </c>
      <c r="H177">
        <f t="shared" ref="H177:H185" si="46">H176</f>
        <v>298.14999999999998</v>
      </c>
      <c r="I177">
        <v>0.36099999999999999</v>
      </c>
      <c r="J177">
        <v>0</v>
      </c>
      <c r="L177" s="3">
        <v>2.1499999999999999E-4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hidden="1">
      <c r="A178" t="str">
        <f t="shared" si="45"/>
        <v>Findlay 1913</v>
      </c>
      <c r="H178">
        <f t="shared" si="46"/>
        <v>298.14999999999998</v>
      </c>
      <c r="I178">
        <v>0.50900000000000001</v>
      </c>
      <c r="J178">
        <v>0</v>
      </c>
      <c r="L178" s="3">
        <v>3.0200000000000002E-4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hidden="1">
      <c r="A179" t="str">
        <f t="shared" si="45"/>
        <v>Findlay 1913</v>
      </c>
      <c r="H179">
        <f t="shared" si="46"/>
        <v>298.14999999999998</v>
      </c>
      <c r="I179">
        <v>0.52300000000000002</v>
      </c>
      <c r="J179">
        <v>0</v>
      </c>
      <c r="L179" s="3">
        <v>3.0899999999999998E-4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hidden="1">
      <c r="A180" t="str">
        <f t="shared" si="45"/>
        <v>Findlay 1913</v>
      </c>
      <c r="H180">
        <f t="shared" si="46"/>
        <v>298.14999999999998</v>
      </c>
      <c r="I180">
        <v>0.63900000000000001</v>
      </c>
      <c r="J180">
        <v>0</v>
      </c>
      <c r="L180" s="3">
        <v>3.8000000000000002E-4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hidden="1">
      <c r="A181" t="str">
        <f t="shared" si="45"/>
        <v>Findlay 1913</v>
      </c>
      <c r="H181">
        <f t="shared" si="46"/>
        <v>298.14999999999998</v>
      </c>
      <c r="I181">
        <v>0.66</v>
      </c>
      <c r="J181">
        <v>0</v>
      </c>
      <c r="L181" s="3">
        <v>3.9199999999999999E-4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hidden="1">
      <c r="A182" t="str">
        <f t="shared" si="45"/>
        <v>Findlay 1913</v>
      </c>
      <c r="H182">
        <f t="shared" si="46"/>
        <v>298.14999999999998</v>
      </c>
      <c r="I182">
        <v>0.86799999999999999</v>
      </c>
      <c r="J182">
        <v>0</v>
      </c>
      <c r="L182" s="3">
        <v>5.1599999999999997E-4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hidden="1">
      <c r="A183" t="str">
        <f t="shared" si="45"/>
        <v>Findlay 1913</v>
      </c>
      <c r="H183">
        <f t="shared" si="46"/>
        <v>298.14999999999998</v>
      </c>
      <c r="I183">
        <v>0.88900000000000001</v>
      </c>
      <c r="J183">
        <v>0</v>
      </c>
      <c r="L183" s="3">
        <v>5.2899999999999996E-4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hidden="1">
      <c r="A184" t="str">
        <f t="shared" si="45"/>
        <v>Findlay 1913</v>
      </c>
      <c r="H184">
        <f t="shared" si="46"/>
        <v>298.14999999999998</v>
      </c>
      <c r="I184">
        <v>1.0029999999999999</v>
      </c>
      <c r="J184">
        <v>0</v>
      </c>
      <c r="L184" s="3">
        <v>5.9699999999999998E-4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hidden="1">
      <c r="A185" t="str">
        <f t="shared" si="45"/>
        <v>Findlay 1913</v>
      </c>
      <c r="H185">
        <f t="shared" si="46"/>
        <v>298.14999999999998</v>
      </c>
      <c r="I185">
        <v>1.024</v>
      </c>
      <c r="J185">
        <v>0</v>
      </c>
      <c r="L185" s="3">
        <v>6.0899999999999995E-4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hidden="1">
      <c r="A186" t="s">
        <v>77</v>
      </c>
      <c r="E186">
        <v>1.04</v>
      </c>
      <c r="H186">
        <v>273.14999999999998</v>
      </c>
      <c r="I186">
        <v>101.3</v>
      </c>
      <c r="J186">
        <f t="shared" ref="J186:J213" si="47">J185</f>
        <v>0</v>
      </c>
      <c r="N186">
        <f t="shared" ref="N186:N213" si="48">E186/1000</f>
        <v>1.0400000000000001E-3</v>
      </c>
      <c r="S186">
        <f t="shared" ref="S186:S213" si="49">S185</f>
        <v>1</v>
      </c>
      <c r="T186">
        <v>0</v>
      </c>
      <c r="U186">
        <v>1</v>
      </c>
      <c r="V186">
        <f t="shared" ref="V186:V213" si="50">V185</f>
        <v>0</v>
      </c>
      <c r="W186">
        <f t="shared" ref="W186:W213" si="51">W185</f>
        <v>0</v>
      </c>
      <c r="X186">
        <f t="shared" ref="X186:X213" si="52">X185</f>
        <v>0</v>
      </c>
      <c r="Y186">
        <f t="shared" ref="Y186:Y213" si="53">Y185</f>
        <v>0</v>
      </c>
    </row>
    <row r="187" spans="1:25" hidden="1">
      <c r="A187" t="str">
        <f t="shared" ref="A187:A213" si="54">A186</f>
        <v>Goodman 1931</v>
      </c>
      <c r="E187">
        <v>1.26</v>
      </c>
      <c r="H187">
        <f>H186</f>
        <v>273.14999999999998</v>
      </c>
      <c r="I187">
        <v>126.7</v>
      </c>
      <c r="J187">
        <f t="shared" si="47"/>
        <v>0</v>
      </c>
      <c r="N187">
        <f t="shared" si="48"/>
        <v>1.2600000000000001E-3</v>
      </c>
      <c r="S187">
        <f t="shared" si="49"/>
        <v>1</v>
      </c>
      <c r="T187">
        <f t="shared" ref="T187:T213" si="55">T186</f>
        <v>0</v>
      </c>
      <c r="U187">
        <f t="shared" ref="U187:U213" si="56">U186</f>
        <v>1</v>
      </c>
      <c r="V187">
        <f t="shared" si="50"/>
        <v>0</v>
      </c>
      <c r="W187">
        <f t="shared" si="51"/>
        <v>0</v>
      </c>
      <c r="X187">
        <f t="shared" si="52"/>
        <v>0</v>
      </c>
      <c r="Y187">
        <f t="shared" si="53"/>
        <v>0</v>
      </c>
    </row>
    <row r="188" spans="1:25" hidden="1">
      <c r="A188" t="str">
        <f t="shared" si="54"/>
        <v>Goodman 1931</v>
      </c>
      <c r="E188">
        <v>2.27</v>
      </c>
      <c r="H188">
        <f>H187</f>
        <v>273.14999999999998</v>
      </c>
      <c r="I188">
        <v>202.6</v>
      </c>
      <c r="J188">
        <f t="shared" si="47"/>
        <v>0</v>
      </c>
      <c r="N188">
        <f t="shared" si="48"/>
        <v>2.2699999999999999E-3</v>
      </c>
      <c r="S188">
        <f t="shared" si="49"/>
        <v>1</v>
      </c>
      <c r="T188">
        <f t="shared" si="55"/>
        <v>0</v>
      </c>
      <c r="U188">
        <f t="shared" si="56"/>
        <v>1</v>
      </c>
      <c r="V188">
        <f t="shared" si="50"/>
        <v>0</v>
      </c>
      <c r="W188">
        <f t="shared" si="51"/>
        <v>0</v>
      </c>
      <c r="X188">
        <f t="shared" si="52"/>
        <v>0</v>
      </c>
      <c r="Y188">
        <f t="shared" si="53"/>
        <v>0</v>
      </c>
    </row>
    <row r="189" spans="1:25" hidden="1">
      <c r="A189" t="str">
        <f t="shared" si="54"/>
        <v>Goodman 1931</v>
      </c>
      <c r="E189">
        <v>2.57</v>
      </c>
      <c r="H189">
        <f>H188</f>
        <v>273.14999999999998</v>
      </c>
      <c r="I189">
        <v>304</v>
      </c>
      <c r="J189">
        <f t="shared" si="47"/>
        <v>0</v>
      </c>
      <c r="N189">
        <f t="shared" si="48"/>
        <v>2.5699999999999998E-3</v>
      </c>
      <c r="S189">
        <f t="shared" si="49"/>
        <v>1</v>
      </c>
      <c r="T189">
        <f t="shared" si="55"/>
        <v>0</v>
      </c>
      <c r="U189">
        <f t="shared" si="56"/>
        <v>1</v>
      </c>
      <c r="V189">
        <f t="shared" si="50"/>
        <v>0</v>
      </c>
      <c r="W189">
        <f t="shared" si="51"/>
        <v>0</v>
      </c>
      <c r="X189">
        <f t="shared" si="52"/>
        <v>0</v>
      </c>
      <c r="Y189">
        <f t="shared" si="53"/>
        <v>0</v>
      </c>
    </row>
    <row r="190" spans="1:25" hidden="1">
      <c r="A190" t="str">
        <f t="shared" si="54"/>
        <v>Goodman 1931</v>
      </c>
      <c r="E190">
        <v>0.76400000000000001</v>
      </c>
      <c r="H190">
        <v>298.14999999999998</v>
      </c>
      <c r="I190">
        <v>101.3</v>
      </c>
      <c r="J190">
        <f t="shared" si="47"/>
        <v>0</v>
      </c>
      <c r="N190">
        <f t="shared" si="48"/>
        <v>7.6400000000000003E-4</v>
      </c>
      <c r="S190">
        <f t="shared" si="49"/>
        <v>1</v>
      </c>
      <c r="T190">
        <f t="shared" si="55"/>
        <v>0</v>
      </c>
      <c r="U190">
        <f t="shared" si="56"/>
        <v>1</v>
      </c>
      <c r="V190">
        <f t="shared" si="50"/>
        <v>0</v>
      </c>
      <c r="W190">
        <f t="shared" si="51"/>
        <v>0</v>
      </c>
      <c r="X190">
        <f t="shared" si="52"/>
        <v>0</v>
      </c>
      <c r="Y190">
        <f t="shared" si="53"/>
        <v>0</v>
      </c>
    </row>
    <row r="191" spans="1:25" hidden="1">
      <c r="A191" t="str">
        <f t="shared" si="54"/>
        <v>Goodman 1931</v>
      </c>
      <c r="E191">
        <v>1.03</v>
      </c>
      <c r="H191">
        <f>H190</f>
        <v>298.14999999999998</v>
      </c>
      <c r="I191">
        <v>126.7</v>
      </c>
      <c r="J191">
        <f t="shared" si="47"/>
        <v>0</v>
      </c>
      <c r="N191">
        <f t="shared" si="48"/>
        <v>1.0300000000000001E-3</v>
      </c>
      <c r="S191">
        <f t="shared" si="49"/>
        <v>1</v>
      </c>
      <c r="T191">
        <f t="shared" si="55"/>
        <v>0</v>
      </c>
      <c r="U191">
        <f t="shared" si="56"/>
        <v>1</v>
      </c>
      <c r="V191">
        <f t="shared" si="50"/>
        <v>0</v>
      </c>
      <c r="W191">
        <f t="shared" si="51"/>
        <v>0</v>
      </c>
      <c r="X191">
        <f t="shared" si="52"/>
        <v>0</v>
      </c>
      <c r="Y191">
        <f t="shared" si="53"/>
        <v>0</v>
      </c>
    </row>
    <row r="192" spans="1:25" hidden="1">
      <c r="A192" t="str">
        <f t="shared" si="54"/>
        <v>Goodman 1931</v>
      </c>
      <c r="E192">
        <v>1.97</v>
      </c>
      <c r="H192">
        <f>H191</f>
        <v>298.14999999999998</v>
      </c>
      <c r="I192">
        <v>202.6</v>
      </c>
      <c r="J192">
        <f t="shared" si="47"/>
        <v>0</v>
      </c>
      <c r="N192">
        <f t="shared" si="48"/>
        <v>1.97E-3</v>
      </c>
      <c r="S192">
        <f t="shared" si="49"/>
        <v>1</v>
      </c>
      <c r="T192">
        <f t="shared" si="55"/>
        <v>0</v>
      </c>
      <c r="U192">
        <f t="shared" si="56"/>
        <v>1</v>
      </c>
      <c r="V192">
        <f t="shared" si="50"/>
        <v>0</v>
      </c>
      <c r="W192">
        <f t="shared" si="51"/>
        <v>0</v>
      </c>
      <c r="X192">
        <f t="shared" si="52"/>
        <v>0</v>
      </c>
      <c r="Y192">
        <f t="shared" si="53"/>
        <v>0</v>
      </c>
    </row>
    <row r="193" spans="1:25" hidden="1">
      <c r="A193" t="str">
        <f t="shared" si="54"/>
        <v>Goodman 1931</v>
      </c>
      <c r="E193">
        <v>2.3199999999999998</v>
      </c>
      <c r="H193">
        <f>H192</f>
        <v>298.14999999999998</v>
      </c>
      <c r="I193">
        <v>304</v>
      </c>
      <c r="J193">
        <f t="shared" si="47"/>
        <v>0</v>
      </c>
      <c r="N193">
        <f t="shared" si="48"/>
        <v>2.32E-3</v>
      </c>
      <c r="S193">
        <f t="shared" si="49"/>
        <v>1</v>
      </c>
      <c r="T193">
        <f t="shared" si="55"/>
        <v>0</v>
      </c>
      <c r="U193">
        <f t="shared" si="56"/>
        <v>1</v>
      </c>
      <c r="V193">
        <f t="shared" si="50"/>
        <v>0</v>
      </c>
      <c r="W193">
        <f t="shared" si="51"/>
        <v>0</v>
      </c>
      <c r="X193">
        <f t="shared" si="52"/>
        <v>0</v>
      </c>
      <c r="Y193">
        <f t="shared" si="53"/>
        <v>0</v>
      </c>
    </row>
    <row r="194" spans="1:25" hidden="1">
      <c r="A194" t="str">
        <f t="shared" si="54"/>
        <v>Goodman 1931</v>
      </c>
      <c r="E194">
        <v>0.71599999999999997</v>
      </c>
      <c r="H194">
        <v>323.14999999999998</v>
      </c>
      <c r="I194">
        <v>101.3</v>
      </c>
      <c r="J194">
        <f t="shared" si="47"/>
        <v>0</v>
      </c>
      <c r="N194">
        <f t="shared" si="48"/>
        <v>7.1599999999999995E-4</v>
      </c>
      <c r="S194">
        <f t="shared" si="49"/>
        <v>1</v>
      </c>
      <c r="T194">
        <f t="shared" si="55"/>
        <v>0</v>
      </c>
      <c r="U194">
        <f t="shared" si="56"/>
        <v>1</v>
      </c>
      <c r="V194">
        <f t="shared" si="50"/>
        <v>0</v>
      </c>
      <c r="W194">
        <f t="shared" si="51"/>
        <v>0</v>
      </c>
      <c r="X194">
        <f t="shared" si="52"/>
        <v>0</v>
      </c>
      <c r="Y194">
        <f t="shared" si="53"/>
        <v>0</v>
      </c>
    </row>
    <row r="195" spans="1:25" hidden="1">
      <c r="A195" t="str">
        <f t="shared" si="54"/>
        <v>Goodman 1931</v>
      </c>
      <c r="E195">
        <v>0.88500000000000001</v>
      </c>
      <c r="H195">
        <f>H194</f>
        <v>323.14999999999998</v>
      </c>
      <c r="I195">
        <v>126.7</v>
      </c>
      <c r="J195">
        <f t="shared" si="47"/>
        <v>0</v>
      </c>
      <c r="N195">
        <f t="shared" si="48"/>
        <v>8.8500000000000004E-4</v>
      </c>
      <c r="S195">
        <f t="shared" si="49"/>
        <v>1</v>
      </c>
      <c r="T195">
        <f t="shared" si="55"/>
        <v>0</v>
      </c>
      <c r="U195">
        <f t="shared" si="56"/>
        <v>1</v>
      </c>
      <c r="V195">
        <f t="shared" si="50"/>
        <v>0</v>
      </c>
      <c r="W195">
        <f t="shared" si="51"/>
        <v>0</v>
      </c>
      <c r="X195">
        <f t="shared" si="52"/>
        <v>0</v>
      </c>
      <c r="Y195">
        <f t="shared" si="53"/>
        <v>0</v>
      </c>
    </row>
    <row r="196" spans="1:25" hidden="1">
      <c r="A196" t="str">
        <f t="shared" si="54"/>
        <v>Goodman 1931</v>
      </c>
      <c r="E196">
        <v>1.78</v>
      </c>
      <c r="H196">
        <f>H195</f>
        <v>323.14999999999998</v>
      </c>
      <c r="I196">
        <v>102.6</v>
      </c>
      <c r="J196">
        <f t="shared" si="47"/>
        <v>0</v>
      </c>
      <c r="N196">
        <f t="shared" si="48"/>
        <v>1.7800000000000001E-3</v>
      </c>
      <c r="S196">
        <f t="shared" si="49"/>
        <v>1</v>
      </c>
      <c r="T196">
        <f t="shared" si="55"/>
        <v>0</v>
      </c>
      <c r="U196">
        <f t="shared" si="56"/>
        <v>1</v>
      </c>
      <c r="V196">
        <f t="shared" si="50"/>
        <v>0</v>
      </c>
      <c r="W196">
        <f t="shared" si="51"/>
        <v>0</v>
      </c>
      <c r="X196">
        <f t="shared" si="52"/>
        <v>0</v>
      </c>
      <c r="Y196">
        <f t="shared" si="53"/>
        <v>0</v>
      </c>
    </row>
    <row r="197" spans="1:25" hidden="1">
      <c r="A197" t="str">
        <f t="shared" si="54"/>
        <v>Goodman 1931</v>
      </c>
      <c r="E197">
        <v>2.13</v>
      </c>
      <c r="H197">
        <f>H196</f>
        <v>323.14999999999998</v>
      </c>
      <c r="I197">
        <v>304</v>
      </c>
      <c r="J197">
        <f t="shared" si="47"/>
        <v>0</v>
      </c>
      <c r="N197">
        <f t="shared" si="48"/>
        <v>2.1299999999999999E-3</v>
      </c>
      <c r="S197">
        <f t="shared" si="49"/>
        <v>1</v>
      </c>
      <c r="T197">
        <f t="shared" si="55"/>
        <v>0</v>
      </c>
      <c r="U197">
        <f t="shared" si="56"/>
        <v>1</v>
      </c>
      <c r="V197">
        <f t="shared" si="50"/>
        <v>0</v>
      </c>
      <c r="W197">
        <f t="shared" si="51"/>
        <v>0</v>
      </c>
      <c r="X197">
        <f t="shared" si="52"/>
        <v>0</v>
      </c>
      <c r="Y197">
        <f t="shared" si="53"/>
        <v>0</v>
      </c>
    </row>
    <row r="198" spans="1:25" hidden="1">
      <c r="A198" t="str">
        <f t="shared" si="54"/>
        <v>Goodman 1931</v>
      </c>
      <c r="E198">
        <v>0.66700000000000004</v>
      </c>
      <c r="H198">
        <v>353.15</v>
      </c>
      <c r="I198">
        <v>101.3</v>
      </c>
      <c r="J198">
        <f t="shared" si="47"/>
        <v>0</v>
      </c>
      <c r="N198">
        <f t="shared" si="48"/>
        <v>6.6700000000000006E-4</v>
      </c>
      <c r="S198">
        <f t="shared" si="49"/>
        <v>1</v>
      </c>
      <c r="T198">
        <f t="shared" si="55"/>
        <v>0</v>
      </c>
      <c r="U198">
        <f t="shared" si="56"/>
        <v>1</v>
      </c>
      <c r="V198">
        <f t="shared" si="50"/>
        <v>0</v>
      </c>
      <c r="W198">
        <f t="shared" si="51"/>
        <v>0</v>
      </c>
      <c r="X198">
        <f t="shared" si="52"/>
        <v>0</v>
      </c>
      <c r="Y198">
        <f t="shared" si="53"/>
        <v>0</v>
      </c>
    </row>
    <row r="199" spans="1:25" hidden="1">
      <c r="A199" t="str">
        <f t="shared" si="54"/>
        <v>Goodman 1931</v>
      </c>
      <c r="E199">
        <v>0.82099999999999995</v>
      </c>
      <c r="H199">
        <f>H198</f>
        <v>353.15</v>
      </c>
      <c r="I199">
        <v>126.7</v>
      </c>
      <c r="J199">
        <f t="shared" si="47"/>
        <v>0</v>
      </c>
      <c r="N199">
        <f t="shared" si="48"/>
        <v>8.209999999999999E-4</v>
      </c>
      <c r="S199">
        <f t="shared" si="49"/>
        <v>1</v>
      </c>
      <c r="T199">
        <f t="shared" si="55"/>
        <v>0</v>
      </c>
      <c r="U199">
        <f t="shared" si="56"/>
        <v>1</v>
      </c>
      <c r="V199">
        <f t="shared" si="50"/>
        <v>0</v>
      </c>
      <c r="W199">
        <f t="shared" si="51"/>
        <v>0</v>
      </c>
      <c r="X199">
        <f t="shared" si="52"/>
        <v>0</v>
      </c>
      <c r="Y199">
        <f t="shared" si="53"/>
        <v>0</v>
      </c>
    </row>
    <row r="200" spans="1:25" hidden="1">
      <c r="A200" t="str">
        <f t="shared" si="54"/>
        <v>Goodman 1931</v>
      </c>
      <c r="E200">
        <v>1.62</v>
      </c>
      <c r="H200">
        <v>353.15</v>
      </c>
      <c r="I200">
        <v>202.6</v>
      </c>
      <c r="J200">
        <f t="shared" si="47"/>
        <v>0</v>
      </c>
      <c r="N200">
        <f t="shared" si="48"/>
        <v>1.6200000000000001E-3</v>
      </c>
      <c r="S200">
        <f t="shared" si="49"/>
        <v>1</v>
      </c>
      <c r="T200">
        <f t="shared" si="55"/>
        <v>0</v>
      </c>
      <c r="U200">
        <f t="shared" si="56"/>
        <v>1</v>
      </c>
      <c r="V200">
        <f t="shared" si="50"/>
        <v>0</v>
      </c>
      <c r="W200">
        <f t="shared" si="51"/>
        <v>0</v>
      </c>
      <c r="X200">
        <f t="shared" si="52"/>
        <v>0</v>
      </c>
      <c r="Y200">
        <f t="shared" si="53"/>
        <v>0</v>
      </c>
    </row>
    <row r="201" spans="1:25" hidden="1">
      <c r="A201" t="str">
        <f t="shared" si="54"/>
        <v>Goodman 1931</v>
      </c>
      <c r="E201">
        <v>2.04</v>
      </c>
      <c r="H201">
        <f>H200</f>
        <v>353.15</v>
      </c>
      <c r="I201">
        <v>304</v>
      </c>
      <c r="J201">
        <f t="shared" si="47"/>
        <v>0</v>
      </c>
      <c r="N201">
        <f t="shared" si="48"/>
        <v>2.0400000000000001E-3</v>
      </c>
      <c r="S201">
        <f t="shared" si="49"/>
        <v>1</v>
      </c>
      <c r="T201">
        <f t="shared" si="55"/>
        <v>0</v>
      </c>
      <c r="U201">
        <f t="shared" si="56"/>
        <v>1</v>
      </c>
      <c r="V201">
        <f t="shared" si="50"/>
        <v>0</v>
      </c>
      <c r="W201">
        <f t="shared" si="51"/>
        <v>0</v>
      </c>
      <c r="X201">
        <f t="shared" si="52"/>
        <v>0</v>
      </c>
      <c r="Y201">
        <f t="shared" si="53"/>
        <v>0</v>
      </c>
    </row>
    <row r="202" spans="1:25" hidden="1">
      <c r="A202" t="str">
        <f t="shared" si="54"/>
        <v>Goodman 1931</v>
      </c>
      <c r="E202">
        <v>0.68100000000000005</v>
      </c>
      <c r="H202">
        <v>373.15</v>
      </c>
      <c r="I202">
        <v>101.3</v>
      </c>
      <c r="J202">
        <f t="shared" si="47"/>
        <v>0</v>
      </c>
      <c r="N202">
        <f t="shared" si="48"/>
        <v>6.8100000000000007E-4</v>
      </c>
      <c r="S202">
        <f t="shared" si="49"/>
        <v>1</v>
      </c>
      <c r="T202">
        <f t="shared" si="55"/>
        <v>0</v>
      </c>
      <c r="U202">
        <f t="shared" si="56"/>
        <v>1</v>
      </c>
      <c r="V202">
        <f t="shared" si="50"/>
        <v>0</v>
      </c>
      <c r="W202">
        <f t="shared" si="51"/>
        <v>0</v>
      </c>
      <c r="X202">
        <f t="shared" si="52"/>
        <v>0</v>
      </c>
      <c r="Y202">
        <f t="shared" si="53"/>
        <v>0</v>
      </c>
    </row>
    <row r="203" spans="1:25" hidden="1">
      <c r="A203" t="str">
        <f t="shared" si="54"/>
        <v>Goodman 1931</v>
      </c>
      <c r="E203">
        <v>0.83499999999999996</v>
      </c>
      <c r="H203">
        <f>H202</f>
        <v>373.15</v>
      </c>
      <c r="I203">
        <v>126.7</v>
      </c>
      <c r="J203">
        <f t="shared" si="47"/>
        <v>0</v>
      </c>
      <c r="N203">
        <f t="shared" si="48"/>
        <v>8.3499999999999991E-4</v>
      </c>
      <c r="S203">
        <f t="shared" si="49"/>
        <v>1</v>
      </c>
      <c r="T203">
        <f t="shared" si="55"/>
        <v>0</v>
      </c>
      <c r="U203">
        <f t="shared" si="56"/>
        <v>1</v>
      </c>
      <c r="V203">
        <f t="shared" si="50"/>
        <v>0</v>
      </c>
      <c r="W203">
        <f t="shared" si="51"/>
        <v>0</v>
      </c>
      <c r="X203">
        <f t="shared" si="52"/>
        <v>0</v>
      </c>
      <c r="Y203">
        <f t="shared" si="53"/>
        <v>0</v>
      </c>
    </row>
    <row r="204" spans="1:25" hidden="1">
      <c r="A204" t="str">
        <f t="shared" si="54"/>
        <v>Goodman 1931</v>
      </c>
      <c r="E204">
        <v>1.61</v>
      </c>
      <c r="H204">
        <f>H203</f>
        <v>373.15</v>
      </c>
      <c r="I204">
        <v>202.6</v>
      </c>
      <c r="J204">
        <f t="shared" si="47"/>
        <v>0</v>
      </c>
      <c r="N204">
        <f t="shared" si="48"/>
        <v>1.6100000000000001E-3</v>
      </c>
      <c r="S204">
        <f t="shared" si="49"/>
        <v>1</v>
      </c>
      <c r="T204">
        <f t="shared" si="55"/>
        <v>0</v>
      </c>
      <c r="U204">
        <f t="shared" si="56"/>
        <v>1</v>
      </c>
      <c r="V204">
        <f t="shared" si="50"/>
        <v>0</v>
      </c>
      <c r="W204">
        <f t="shared" si="51"/>
        <v>0</v>
      </c>
      <c r="X204">
        <f t="shared" si="52"/>
        <v>0</v>
      </c>
      <c r="Y204">
        <f t="shared" si="53"/>
        <v>0</v>
      </c>
    </row>
    <row r="205" spans="1:25" hidden="1">
      <c r="A205" t="str">
        <f t="shared" si="54"/>
        <v>Goodman 1931</v>
      </c>
      <c r="E205">
        <v>2.08</v>
      </c>
      <c r="H205">
        <f>H204</f>
        <v>373.15</v>
      </c>
      <c r="I205">
        <v>304</v>
      </c>
      <c r="J205">
        <f t="shared" si="47"/>
        <v>0</v>
      </c>
      <c r="N205">
        <f t="shared" si="48"/>
        <v>2.0800000000000003E-3</v>
      </c>
      <c r="S205">
        <f t="shared" si="49"/>
        <v>1</v>
      </c>
      <c r="T205">
        <f t="shared" si="55"/>
        <v>0</v>
      </c>
      <c r="U205">
        <f t="shared" si="56"/>
        <v>1</v>
      </c>
      <c r="V205">
        <f t="shared" si="50"/>
        <v>0</v>
      </c>
      <c r="W205">
        <f t="shared" si="51"/>
        <v>0</v>
      </c>
      <c r="X205">
        <f t="shared" si="52"/>
        <v>0</v>
      </c>
      <c r="Y205">
        <f t="shared" si="53"/>
        <v>0</v>
      </c>
    </row>
    <row r="206" spans="1:25" hidden="1">
      <c r="A206" t="str">
        <f t="shared" si="54"/>
        <v>Goodman 1931</v>
      </c>
      <c r="E206">
        <v>0.73199999999999998</v>
      </c>
      <c r="H206">
        <v>417.15</v>
      </c>
      <c r="I206">
        <v>101.3</v>
      </c>
      <c r="J206">
        <f t="shared" si="47"/>
        <v>0</v>
      </c>
      <c r="N206">
        <f t="shared" si="48"/>
        <v>7.3200000000000001E-4</v>
      </c>
      <c r="S206">
        <f t="shared" si="49"/>
        <v>1</v>
      </c>
      <c r="T206">
        <f t="shared" si="55"/>
        <v>0</v>
      </c>
      <c r="U206">
        <f t="shared" si="56"/>
        <v>1</v>
      </c>
      <c r="V206">
        <f t="shared" si="50"/>
        <v>0</v>
      </c>
      <c r="W206">
        <f t="shared" si="51"/>
        <v>0</v>
      </c>
      <c r="X206">
        <f t="shared" si="52"/>
        <v>0</v>
      </c>
      <c r="Y206">
        <f t="shared" si="53"/>
        <v>0</v>
      </c>
    </row>
    <row r="207" spans="1:25" hidden="1">
      <c r="A207" t="str">
        <f t="shared" si="54"/>
        <v>Goodman 1931</v>
      </c>
      <c r="E207">
        <v>0.92800000000000005</v>
      </c>
      <c r="H207">
        <f>H206</f>
        <v>417.15</v>
      </c>
      <c r="I207">
        <v>126.7</v>
      </c>
      <c r="J207">
        <f t="shared" si="47"/>
        <v>0</v>
      </c>
      <c r="N207">
        <f t="shared" si="48"/>
        <v>9.2800000000000001E-4</v>
      </c>
      <c r="S207">
        <f t="shared" si="49"/>
        <v>1</v>
      </c>
      <c r="T207">
        <f t="shared" si="55"/>
        <v>0</v>
      </c>
      <c r="U207">
        <f t="shared" si="56"/>
        <v>1</v>
      </c>
      <c r="V207">
        <f t="shared" si="50"/>
        <v>0</v>
      </c>
      <c r="W207">
        <f t="shared" si="51"/>
        <v>0</v>
      </c>
      <c r="X207">
        <f t="shared" si="52"/>
        <v>0</v>
      </c>
      <c r="Y207">
        <f t="shared" si="53"/>
        <v>0</v>
      </c>
    </row>
    <row r="208" spans="1:25" hidden="1">
      <c r="A208" t="str">
        <f t="shared" si="54"/>
        <v>Goodman 1931</v>
      </c>
      <c r="E208">
        <v>0.91</v>
      </c>
      <c r="H208">
        <f>H207</f>
        <v>417.15</v>
      </c>
      <c r="I208">
        <v>207.6</v>
      </c>
      <c r="J208">
        <f t="shared" si="47"/>
        <v>0</v>
      </c>
      <c r="N208">
        <f t="shared" si="48"/>
        <v>9.1E-4</v>
      </c>
      <c r="S208">
        <f t="shared" si="49"/>
        <v>1</v>
      </c>
      <c r="T208">
        <f t="shared" si="55"/>
        <v>0</v>
      </c>
      <c r="U208">
        <f t="shared" si="56"/>
        <v>1</v>
      </c>
      <c r="V208">
        <f t="shared" si="50"/>
        <v>0</v>
      </c>
      <c r="W208">
        <f t="shared" si="51"/>
        <v>0</v>
      </c>
      <c r="X208">
        <f t="shared" si="52"/>
        <v>0</v>
      </c>
      <c r="Y208">
        <f t="shared" si="53"/>
        <v>0</v>
      </c>
    </row>
    <row r="209" spans="1:25" hidden="1">
      <c r="A209" t="str">
        <f t="shared" si="54"/>
        <v>Goodman 1931</v>
      </c>
      <c r="E209">
        <v>2.4700000000000002</v>
      </c>
      <c r="H209">
        <f>H208</f>
        <v>417.15</v>
      </c>
      <c r="I209">
        <v>304</v>
      </c>
      <c r="J209">
        <f t="shared" si="47"/>
        <v>0</v>
      </c>
      <c r="N209">
        <f t="shared" si="48"/>
        <v>2.4700000000000004E-3</v>
      </c>
      <c r="S209">
        <f t="shared" si="49"/>
        <v>1</v>
      </c>
      <c r="T209">
        <f t="shared" si="55"/>
        <v>0</v>
      </c>
      <c r="U209">
        <f t="shared" si="56"/>
        <v>1</v>
      </c>
      <c r="V209">
        <f t="shared" si="50"/>
        <v>0</v>
      </c>
      <c r="W209">
        <f t="shared" si="51"/>
        <v>0</v>
      </c>
      <c r="X209">
        <f t="shared" si="52"/>
        <v>0</v>
      </c>
      <c r="Y209">
        <f t="shared" si="53"/>
        <v>0</v>
      </c>
    </row>
    <row r="210" spans="1:25" hidden="1">
      <c r="A210" t="str">
        <f t="shared" si="54"/>
        <v>Goodman 1931</v>
      </c>
      <c r="E210">
        <v>0.77100000000000002</v>
      </c>
      <c r="H210">
        <v>442.15</v>
      </c>
      <c r="I210">
        <v>101.3</v>
      </c>
      <c r="J210">
        <f t="shared" si="47"/>
        <v>0</v>
      </c>
      <c r="N210">
        <f t="shared" si="48"/>
        <v>7.7099999999999998E-4</v>
      </c>
      <c r="S210">
        <f t="shared" si="49"/>
        <v>1</v>
      </c>
      <c r="T210">
        <f t="shared" si="55"/>
        <v>0</v>
      </c>
      <c r="U210">
        <f t="shared" si="56"/>
        <v>1</v>
      </c>
      <c r="V210">
        <f t="shared" si="50"/>
        <v>0</v>
      </c>
      <c r="W210">
        <f t="shared" si="51"/>
        <v>0</v>
      </c>
      <c r="X210">
        <f t="shared" si="52"/>
        <v>0</v>
      </c>
      <c r="Y210">
        <f t="shared" si="53"/>
        <v>0</v>
      </c>
    </row>
    <row r="211" spans="1:25" hidden="1">
      <c r="A211" t="str">
        <f t="shared" si="54"/>
        <v>Goodman 1931</v>
      </c>
      <c r="E211">
        <v>1.0900000000000001</v>
      </c>
      <c r="H211">
        <f>H210</f>
        <v>442.15</v>
      </c>
      <c r="I211">
        <v>126.7</v>
      </c>
      <c r="J211">
        <f t="shared" si="47"/>
        <v>0</v>
      </c>
      <c r="N211">
        <f t="shared" si="48"/>
        <v>1.09E-3</v>
      </c>
      <c r="S211">
        <f t="shared" si="49"/>
        <v>1</v>
      </c>
      <c r="T211">
        <f t="shared" si="55"/>
        <v>0</v>
      </c>
      <c r="U211">
        <f t="shared" si="56"/>
        <v>1</v>
      </c>
      <c r="V211">
        <f t="shared" si="50"/>
        <v>0</v>
      </c>
      <c r="W211">
        <f t="shared" si="51"/>
        <v>0</v>
      </c>
      <c r="X211">
        <f t="shared" si="52"/>
        <v>0</v>
      </c>
      <c r="Y211">
        <f t="shared" si="53"/>
        <v>0</v>
      </c>
    </row>
    <row r="212" spans="1:25" hidden="1">
      <c r="A212" t="str">
        <f t="shared" si="54"/>
        <v>Goodman 1931</v>
      </c>
      <c r="E212">
        <v>2.35</v>
      </c>
      <c r="H212">
        <f>H211</f>
        <v>442.15</v>
      </c>
      <c r="I212">
        <v>202.6</v>
      </c>
      <c r="J212">
        <f t="shared" si="47"/>
        <v>0</v>
      </c>
      <c r="N212">
        <f t="shared" si="48"/>
        <v>2.3500000000000001E-3</v>
      </c>
      <c r="S212">
        <f t="shared" si="49"/>
        <v>1</v>
      </c>
      <c r="T212">
        <f t="shared" si="55"/>
        <v>0</v>
      </c>
      <c r="U212">
        <f t="shared" si="56"/>
        <v>1</v>
      </c>
      <c r="V212">
        <f t="shared" si="50"/>
        <v>0</v>
      </c>
      <c r="W212">
        <f t="shared" si="51"/>
        <v>0</v>
      </c>
      <c r="X212">
        <f t="shared" si="52"/>
        <v>0</v>
      </c>
      <c r="Y212">
        <f t="shared" si="53"/>
        <v>0</v>
      </c>
    </row>
    <row r="213" spans="1:25" hidden="1">
      <c r="A213" t="str">
        <f t="shared" si="54"/>
        <v>Goodman 1931</v>
      </c>
      <c r="E213">
        <v>2.73</v>
      </c>
      <c r="H213">
        <f>H212</f>
        <v>442.15</v>
      </c>
      <c r="I213">
        <v>304</v>
      </c>
      <c r="J213">
        <f t="shared" si="47"/>
        <v>0</v>
      </c>
      <c r="N213">
        <f t="shared" si="48"/>
        <v>2.7299999999999998E-3</v>
      </c>
      <c r="S213">
        <f t="shared" si="49"/>
        <v>1</v>
      </c>
      <c r="T213">
        <f t="shared" si="55"/>
        <v>0</v>
      </c>
      <c r="U213">
        <f t="shared" si="56"/>
        <v>1</v>
      </c>
      <c r="V213">
        <f t="shared" si="50"/>
        <v>0</v>
      </c>
      <c r="W213">
        <f t="shared" si="51"/>
        <v>0</v>
      </c>
      <c r="X213">
        <f t="shared" si="52"/>
        <v>0</v>
      </c>
      <c r="Y213">
        <f t="shared" si="53"/>
        <v>0</v>
      </c>
    </row>
    <row r="214" spans="1:25" hidden="1">
      <c r="A214" t="s">
        <v>36</v>
      </c>
      <c r="H214">
        <v>293.14999999999998</v>
      </c>
      <c r="I214">
        <v>1.0129999999999999</v>
      </c>
      <c r="J214">
        <v>0</v>
      </c>
      <c r="L214" s="3">
        <v>6.6270000000000001E-4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hidden="1">
      <c r="A215" t="str">
        <f t="shared" ref="A215:A221" si="57">A214</f>
        <v>Kunerth 1922</v>
      </c>
      <c r="H215">
        <v>295.14999999999998</v>
      </c>
      <c r="I215">
        <v>1.0129999999999999</v>
      </c>
      <c r="J215">
        <v>0</v>
      </c>
      <c r="L215" s="3">
        <v>6.3599999999999996E-4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hidden="1">
      <c r="A216" t="str">
        <f t="shared" si="57"/>
        <v>Kunerth 1922</v>
      </c>
      <c r="H216">
        <v>297.14999999999998</v>
      </c>
      <c r="I216">
        <v>1.0129999999999999</v>
      </c>
      <c r="J216">
        <v>0</v>
      </c>
      <c r="L216" s="3">
        <v>6.0380000000000004E-4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hidden="1">
      <c r="A217" t="str">
        <f t="shared" si="57"/>
        <v>Kunerth 1922</v>
      </c>
      <c r="H217">
        <v>299.14999999999998</v>
      </c>
      <c r="I217">
        <v>1.0129999999999999</v>
      </c>
      <c r="J217">
        <v>0</v>
      </c>
      <c r="L217" s="3">
        <v>5.7200000000000003E-4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hidden="1">
      <c r="A218" t="str">
        <f t="shared" si="57"/>
        <v>Kunerth 1922</v>
      </c>
      <c r="H218">
        <v>301.14999999999998</v>
      </c>
      <c r="I218">
        <v>1.0129999999999999</v>
      </c>
      <c r="J218">
        <v>0</v>
      </c>
      <c r="L218" s="3">
        <v>5.4120000000000004E-4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hidden="1">
      <c r="A219" t="str">
        <f t="shared" si="57"/>
        <v>Kunerth 1922</v>
      </c>
      <c r="H219">
        <v>303.14999999999998</v>
      </c>
      <c r="I219">
        <v>1.0129999999999999</v>
      </c>
      <c r="J219">
        <v>0</v>
      </c>
      <c r="L219" s="3">
        <v>5.1020000000000004E-4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hidden="1">
      <c r="A220" t="str">
        <f t="shared" si="57"/>
        <v>Kunerth 1922</v>
      </c>
      <c r="H220">
        <v>305.14999999999998</v>
      </c>
      <c r="I220">
        <v>1.0129999999999999</v>
      </c>
      <c r="J220">
        <v>0</v>
      </c>
      <c r="L220" s="3">
        <v>4.795E-4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hidden="1">
      <c r="A221" t="str">
        <f t="shared" si="57"/>
        <v>Kunerth 1922</v>
      </c>
      <c r="H221">
        <v>307.14999999999998</v>
      </c>
      <c r="I221">
        <v>1.0129999999999999</v>
      </c>
      <c r="J221">
        <v>0</v>
      </c>
      <c r="L221" s="3">
        <v>4.4860000000000001E-4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hidden="1">
      <c r="A222" t="s">
        <v>76</v>
      </c>
      <c r="C222">
        <v>1659.5</v>
      </c>
      <c r="E222">
        <v>2.453E-2</v>
      </c>
      <c r="H222">
        <v>303.2</v>
      </c>
      <c r="I222">
        <f t="shared" ref="I222:I285" si="58">C222/100</f>
        <v>16.594999999999999</v>
      </c>
      <c r="J222">
        <v>0</v>
      </c>
      <c r="M222">
        <f t="shared" ref="M222:M285" si="59">E222</f>
        <v>2.453E-2</v>
      </c>
      <c r="S222">
        <f t="shared" ref="S222:S285" si="60">S221</f>
        <v>1</v>
      </c>
      <c r="T222">
        <f t="shared" ref="T222:T285" si="61">T221</f>
        <v>0</v>
      </c>
      <c r="U222">
        <f t="shared" ref="U222:U285" si="62">U221</f>
        <v>0</v>
      </c>
      <c r="V222">
        <f t="shared" ref="V222:V285" si="63">V221</f>
        <v>0</v>
      </c>
      <c r="W222">
        <f t="shared" ref="W222:W285" si="64">W221</f>
        <v>0</v>
      </c>
      <c r="X222">
        <f t="shared" ref="X222:X285" si="65">X221</f>
        <v>0</v>
      </c>
      <c r="Y222">
        <f t="shared" ref="Y222:Y285" si="66">Y221</f>
        <v>0</v>
      </c>
    </row>
    <row r="223" spans="1:25" hidden="1">
      <c r="A223" t="str">
        <f t="shared" ref="A223:A286" si="67">A222</f>
        <v>Lee 1977</v>
      </c>
      <c r="C223">
        <v>1758.9</v>
      </c>
      <c r="E223">
        <v>2.5819999999999999E-2</v>
      </c>
      <c r="H223">
        <f t="shared" ref="H223:H234" si="68">H222</f>
        <v>303.2</v>
      </c>
      <c r="I223">
        <f t="shared" si="58"/>
        <v>17.589000000000002</v>
      </c>
      <c r="J223">
        <v>0</v>
      </c>
      <c r="M223">
        <f t="shared" si="59"/>
        <v>2.5819999999999999E-2</v>
      </c>
      <c r="S223">
        <f t="shared" si="60"/>
        <v>1</v>
      </c>
      <c r="T223">
        <f t="shared" si="61"/>
        <v>0</v>
      </c>
      <c r="U223">
        <f t="shared" si="62"/>
        <v>0</v>
      </c>
      <c r="V223">
        <f t="shared" si="63"/>
        <v>0</v>
      </c>
      <c r="W223">
        <f t="shared" si="64"/>
        <v>0</v>
      </c>
      <c r="X223">
        <f t="shared" si="65"/>
        <v>0</v>
      </c>
      <c r="Y223">
        <f t="shared" si="66"/>
        <v>0</v>
      </c>
    </row>
    <row r="224" spans="1:25" hidden="1">
      <c r="A224" t="str">
        <f t="shared" si="67"/>
        <v>Lee 1977</v>
      </c>
      <c r="C224">
        <v>1900.5</v>
      </c>
      <c r="E224">
        <v>2.8060000000000002E-2</v>
      </c>
      <c r="H224">
        <f t="shared" si="68"/>
        <v>303.2</v>
      </c>
      <c r="I224">
        <f t="shared" si="58"/>
        <v>19.004999999999999</v>
      </c>
      <c r="J224">
        <v>0</v>
      </c>
      <c r="M224">
        <f t="shared" si="59"/>
        <v>2.8060000000000002E-2</v>
      </c>
      <c r="S224">
        <f t="shared" si="60"/>
        <v>1</v>
      </c>
      <c r="T224">
        <f t="shared" si="61"/>
        <v>0</v>
      </c>
      <c r="U224">
        <f t="shared" si="62"/>
        <v>0</v>
      </c>
      <c r="V224">
        <f t="shared" si="63"/>
        <v>0</v>
      </c>
      <c r="W224">
        <f t="shared" si="64"/>
        <v>0</v>
      </c>
      <c r="X224">
        <f t="shared" si="65"/>
        <v>0</v>
      </c>
      <c r="Y224">
        <f t="shared" si="66"/>
        <v>0</v>
      </c>
    </row>
    <row r="225" spans="1:25" hidden="1">
      <c r="A225" t="str">
        <f t="shared" si="67"/>
        <v>Lee 1977</v>
      </c>
      <c r="C225">
        <v>1945.3</v>
      </c>
      <c r="E225">
        <v>2.8729999999999999E-2</v>
      </c>
      <c r="H225">
        <f t="shared" si="68"/>
        <v>303.2</v>
      </c>
      <c r="I225">
        <f t="shared" si="58"/>
        <v>19.452999999999999</v>
      </c>
      <c r="J225">
        <v>0</v>
      </c>
      <c r="M225">
        <f t="shared" si="59"/>
        <v>2.8729999999999999E-2</v>
      </c>
      <c r="S225">
        <f t="shared" si="60"/>
        <v>1</v>
      </c>
      <c r="T225">
        <f t="shared" si="61"/>
        <v>0</v>
      </c>
      <c r="U225">
        <f t="shared" si="62"/>
        <v>0</v>
      </c>
      <c r="V225">
        <f t="shared" si="63"/>
        <v>0</v>
      </c>
      <c r="W225">
        <f t="shared" si="64"/>
        <v>0</v>
      </c>
      <c r="X225">
        <f t="shared" si="65"/>
        <v>0</v>
      </c>
      <c r="Y225">
        <f t="shared" si="66"/>
        <v>0</v>
      </c>
    </row>
    <row r="226" spans="1:25" hidden="1">
      <c r="A226" t="str">
        <f t="shared" si="67"/>
        <v>Lee 1977</v>
      </c>
      <c r="C226">
        <v>1955.9</v>
      </c>
      <c r="E226">
        <v>2.8330000000000001E-2</v>
      </c>
      <c r="H226">
        <f t="shared" si="68"/>
        <v>303.2</v>
      </c>
      <c r="I226">
        <f t="shared" si="58"/>
        <v>19.559000000000001</v>
      </c>
      <c r="J226">
        <v>0</v>
      </c>
      <c r="M226">
        <f t="shared" si="59"/>
        <v>2.8330000000000001E-2</v>
      </c>
      <c r="S226">
        <f t="shared" si="60"/>
        <v>1</v>
      </c>
      <c r="T226">
        <f t="shared" si="61"/>
        <v>0</v>
      </c>
      <c r="U226">
        <f t="shared" si="62"/>
        <v>0</v>
      </c>
      <c r="V226">
        <f t="shared" si="63"/>
        <v>0</v>
      </c>
      <c r="W226">
        <f t="shared" si="64"/>
        <v>0</v>
      </c>
      <c r="X226">
        <f t="shared" si="65"/>
        <v>0</v>
      </c>
      <c r="Y226">
        <f t="shared" si="66"/>
        <v>0</v>
      </c>
    </row>
    <row r="227" spans="1:25" hidden="1">
      <c r="A227" t="str">
        <f t="shared" si="67"/>
        <v>Lee 1977</v>
      </c>
      <c r="C227">
        <v>1997</v>
      </c>
      <c r="E227">
        <v>2.9559999999999999E-2</v>
      </c>
      <c r="H227">
        <f t="shared" si="68"/>
        <v>303.2</v>
      </c>
      <c r="I227">
        <f t="shared" si="58"/>
        <v>19.97</v>
      </c>
      <c r="J227">
        <v>0</v>
      </c>
      <c r="M227">
        <f t="shared" si="59"/>
        <v>2.9559999999999999E-2</v>
      </c>
      <c r="S227">
        <f t="shared" si="60"/>
        <v>1</v>
      </c>
      <c r="T227">
        <f t="shared" si="61"/>
        <v>0</v>
      </c>
      <c r="U227">
        <f t="shared" si="62"/>
        <v>0</v>
      </c>
      <c r="V227">
        <f t="shared" si="63"/>
        <v>0</v>
      </c>
      <c r="W227">
        <f t="shared" si="64"/>
        <v>0</v>
      </c>
      <c r="X227">
        <f t="shared" si="65"/>
        <v>0</v>
      </c>
      <c r="Y227">
        <f t="shared" si="66"/>
        <v>0</v>
      </c>
    </row>
    <row r="228" spans="1:25" hidden="1">
      <c r="A228" t="str">
        <f t="shared" si="67"/>
        <v>Lee 1977</v>
      </c>
      <c r="C228">
        <v>2034.3</v>
      </c>
      <c r="E228">
        <v>2.9929999999999998E-2</v>
      </c>
      <c r="H228">
        <f t="shared" si="68"/>
        <v>303.2</v>
      </c>
      <c r="I228">
        <f t="shared" si="58"/>
        <v>20.343</v>
      </c>
      <c r="J228">
        <v>0</v>
      </c>
      <c r="M228">
        <f t="shared" si="59"/>
        <v>2.9929999999999998E-2</v>
      </c>
      <c r="S228">
        <f t="shared" si="60"/>
        <v>1</v>
      </c>
      <c r="T228">
        <f t="shared" si="61"/>
        <v>0</v>
      </c>
      <c r="U228">
        <f t="shared" si="62"/>
        <v>0</v>
      </c>
      <c r="V228">
        <f t="shared" si="63"/>
        <v>0</v>
      </c>
      <c r="W228">
        <f t="shared" si="64"/>
        <v>0</v>
      </c>
      <c r="X228">
        <f t="shared" si="65"/>
        <v>0</v>
      </c>
      <c r="Y228">
        <f t="shared" si="66"/>
        <v>0</v>
      </c>
    </row>
    <row r="229" spans="1:25" hidden="1">
      <c r="A229" t="str">
        <f t="shared" si="67"/>
        <v>Lee 1977</v>
      </c>
      <c r="C229">
        <v>2059.1</v>
      </c>
      <c r="E229">
        <v>3.0540000000000001E-2</v>
      </c>
      <c r="H229">
        <f t="shared" si="68"/>
        <v>303.2</v>
      </c>
      <c r="I229">
        <f t="shared" si="58"/>
        <v>20.590999999999998</v>
      </c>
      <c r="J229">
        <v>0</v>
      </c>
      <c r="M229">
        <f t="shared" si="59"/>
        <v>3.0540000000000001E-2</v>
      </c>
      <c r="S229">
        <f t="shared" si="60"/>
        <v>1</v>
      </c>
      <c r="T229">
        <f t="shared" si="61"/>
        <v>0</v>
      </c>
      <c r="U229">
        <f t="shared" si="62"/>
        <v>0</v>
      </c>
      <c r="V229">
        <f t="shared" si="63"/>
        <v>0</v>
      </c>
      <c r="W229">
        <f t="shared" si="64"/>
        <v>0</v>
      </c>
      <c r="X229">
        <f t="shared" si="65"/>
        <v>0</v>
      </c>
      <c r="Y229">
        <f t="shared" si="66"/>
        <v>0</v>
      </c>
    </row>
    <row r="230" spans="1:25" hidden="1">
      <c r="A230" t="str">
        <f t="shared" si="67"/>
        <v>Lee 1977</v>
      </c>
      <c r="C230">
        <v>2079.1</v>
      </c>
      <c r="E230">
        <v>3.0630000000000001E-2</v>
      </c>
      <c r="H230">
        <f t="shared" si="68"/>
        <v>303.2</v>
      </c>
      <c r="I230">
        <f t="shared" si="58"/>
        <v>20.791</v>
      </c>
      <c r="J230">
        <v>0</v>
      </c>
      <c r="M230">
        <f t="shared" si="59"/>
        <v>3.0630000000000001E-2</v>
      </c>
      <c r="S230">
        <f t="shared" si="60"/>
        <v>1</v>
      </c>
      <c r="T230">
        <f t="shared" si="61"/>
        <v>0</v>
      </c>
      <c r="U230">
        <f t="shared" si="62"/>
        <v>0</v>
      </c>
      <c r="V230">
        <f t="shared" si="63"/>
        <v>0</v>
      </c>
      <c r="W230">
        <f t="shared" si="64"/>
        <v>0</v>
      </c>
      <c r="X230">
        <f t="shared" si="65"/>
        <v>0</v>
      </c>
      <c r="Y230">
        <f t="shared" si="66"/>
        <v>0</v>
      </c>
    </row>
    <row r="231" spans="1:25" hidden="1">
      <c r="A231" t="str">
        <f t="shared" si="67"/>
        <v>Lee 1977</v>
      </c>
      <c r="C231">
        <v>2106.6999999999998</v>
      </c>
      <c r="E231">
        <v>3.0769999999999999E-2</v>
      </c>
      <c r="H231">
        <f t="shared" si="68"/>
        <v>303.2</v>
      </c>
      <c r="I231">
        <f t="shared" si="58"/>
        <v>21.066999999999997</v>
      </c>
      <c r="J231">
        <v>0</v>
      </c>
      <c r="M231">
        <f t="shared" si="59"/>
        <v>3.0769999999999999E-2</v>
      </c>
      <c r="S231">
        <f t="shared" si="60"/>
        <v>1</v>
      </c>
      <c r="T231">
        <f t="shared" si="61"/>
        <v>0</v>
      </c>
      <c r="U231">
        <f t="shared" si="62"/>
        <v>0</v>
      </c>
      <c r="V231">
        <f t="shared" si="63"/>
        <v>0</v>
      </c>
      <c r="W231">
        <f t="shared" si="64"/>
        <v>0</v>
      </c>
      <c r="X231">
        <f t="shared" si="65"/>
        <v>0</v>
      </c>
      <c r="Y231">
        <f t="shared" si="66"/>
        <v>0</v>
      </c>
    </row>
    <row r="232" spans="1:25" hidden="1">
      <c r="A232" t="str">
        <f t="shared" si="67"/>
        <v>Lee 1977</v>
      </c>
      <c r="C232">
        <v>2169</v>
      </c>
      <c r="E232">
        <v>3.1949999999999999E-2</v>
      </c>
      <c r="H232">
        <f t="shared" si="68"/>
        <v>303.2</v>
      </c>
      <c r="I232">
        <f t="shared" si="58"/>
        <v>21.69</v>
      </c>
      <c r="J232">
        <v>0</v>
      </c>
      <c r="M232">
        <f t="shared" si="59"/>
        <v>3.1949999999999999E-2</v>
      </c>
      <c r="S232">
        <f t="shared" si="60"/>
        <v>1</v>
      </c>
      <c r="T232">
        <f t="shared" si="61"/>
        <v>0</v>
      </c>
      <c r="U232">
        <f t="shared" si="62"/>
        <v>0</v>
      </c>
      <c r="V232">
        <f t="shared" si="63"/>
        <v>0</v>
      </c>
      <c r="W232">
        <f t="shared" si="64"/>
        <v>0</v>
      </c>
      <c r="X232">
        <f t="shared" si="65"/>
        <v>0</v>
      </c>
      <c r="Y232">
        <f t="shared" si="66"/>
        <v>0</v>
      </c>
    </row>
    <row r="233" spans="1:25" hidden="1">
      <c r="A233" t="str">
        <f t="shared" si="67"/>
        <v>Lee 1977</v>
      </c>
      <c r="C233">
        <v>2262.1</v>
      </c>
      <c r="E233">
        <v>3.2750000000000001E-2</v>
      </c>
      <c r="H233">
        <f t="shared" si="68"/>
        <v>303.2</v>
      </c>
      <c r="I233">
        <f t="shared" si="58"/>
        <v>22.620999999999999</v>
      </c>
      <c r="J233">
        <v>0</v>
      </c>
      <c r="M233">
        <f t="shared" si="59"/>
        <v>3.2750000000000001E-2</v>
      </c>
      <c r="S233">
        <f t="shared" si="60"/>
        <v>1</v>
      </c>
      <c r="T233">
        <f t="shared" si="61"/>
        <v>0</v>
      </c>
      <c r="U233">
        <f t="shared" si="62"/>
        <v>0</v>
      </c>
      <c r="V233">
        <f t="shared" si="63"/>
        <v>0</v>
      </c>
      <c r="W233">
        <f t="shared" si="64"/>
        <v>0</v>
      </c>
      <c r="X233">
        <f t="shared" si="65"/>
        <v>0</v>
      </c>
      <c r="Y233">
        <f t="shared" si="66"/>
        <v>0</v>
      </c>
    </row>
    <row r="234" spans="1:25" hidden="1">
      <c r="A234" t="str">
        <f t="shared" si="67"/>
        <v>Lee 1977</v>
      </c>
      <c r="C234">
        <v>2265.5</v>
      </c>
      <c r="E234">
        <v>3.2919999999999998E-2</v>
      </c>
      <c r="H234">
        <f t="shared" si="68"/>
        <v>303.2</v>
      </c>
      <c r="I234">
        <f t="shared" si="58"/>
        <v>22.655000000000001</v>
      </c>
      <c r="J234">
        <v>0</v>
      </c>
      <c r="M234">
        <f t="shared" si="59"/>
        <v>3.2919999999999998E-2</v>
      </c>
      <c r="S234">
        <f t="shared" si="60"/>
        <v>1</v>
      </c>
      <c r="T234">
        <f t="shared" si="61"/>
        <v>0</v>
      </c>
      <c r="U234">
        <f t="shared" si="62"/>
        <v>0</v>
      </c>
      <c r="V234">
        <f t="shared" si="63"/>
        <v>0</v>
      </c>
      <c r="W234">
        <f t="shared" si="64"/>
        <v>0</v>
      </c>
      <c r="X234">
        <f t="shared" si="65"/>
        <v>0</v>
      </c>
      <c r="Y234">
        <f t="shared" si="66"/>
        <v>0</v>
      </c>
    </row>
    <row r="235" spans="1:25" hidden="1">
      <c r="A235" t="str">
        <f t="shared" si="67"/>
        <v>Lee 1977</v>
      </c>
      <c r="C235">
        <v>472</v>
      </c>
      <c r="E235">
        <v>6.1999999999999998E-3</v>
      </c>
      <c r="H235">
        <v>313.2</v>
      </c>
      <c r="I235">
        <f t="shared" si="58"/>
        <v>4.72</v>
      </c>
      <c r="J235">
        <v>0</v>
      </c>
      <c r="M235">
        <f t="shared" si="59"/>
        <v>6.1999999999999998E-3</v>
      </c>
      <c r="S235">
        <f t="shared" si="60"/>
        <v>1</v>
      </c>
      <c r="T235">
        <f t="shared" si="61"/>
        <v>0</v>
      </c>
      <c r="U235">
        <f t="shared" si="62"/>
        <v>0</v>
      </c>
      <c r="V235">
        <f t="shared" si="63"/>
        <v>0</v>
      </c>
      <c r="W235">
        <f t="shared" si="64"/>
        <v>0</v>
      </c>
      <c r="X235">
        <f t="shared" si="65"/>
        <v>0</v>
      </c>
      <c r="Y235">
        <f t="shared" si="66"/>
        <v>0</v>
      </c>
    </row>
    <row r="236" spans="1:25" hidden="1">
      <c r="A236" t="str">
        <f t="shared" si="67"/>
        <v>Lee 1977</v>
      </c>
      <c r="C236">
        <v>730.4</v>
      </c>
      <c r="E236">
        <v>9.1500000000000001E-3</v>
      </c>
      <c r="H236">
        <f t="shared" ref="H236:H265" si="69">H235</f>
        <v>313.2</v>
      </c>
      <c r="I236">
        <f t="shared" si="58"/>
        <v>7.3039999999999994</v>
      </c>
      <c r="J236">
        <v>0</v>
      </c>
      <c r="M236">
        <f t="shared" si="59"/>
        <v>9.1500000000000001E-3</v>
      </c>
      <c r="S236">
        <f t="shared" si="60"/>
        <v>1</v>
      </c>
      <c r="T236">
        <f t="shared" si="61"/>
        <v>0</v>
      </c>
      <c r="U236">
        <f t="shared" si="62"/>
        <v>0</v>
      </c>
      <c r="V236">
        <f t="shared" si="63"/>
        <v>0</v>
      </c>
      <c r="W236">
        <f t="shared" si="64"/>
        <v>0</v>
      </c>
      <c r="X236">
        <f t="shared" si="65"/>
        <v>0</v>
      </c>
      <c r="Y236">
        <f t="shared" si="66"/>
        <v>0</v>
      </c>
    </row>
    <row r="237" spans="1:25" hidden="1">
      <c r="A237" t="str">
        <f t="shared" si="67"/>
        <v>Lee 1977</v>
      </c>
      <c r="C237">
        <v>970.8</v>
      </c>
      <c r="E237">
        <v>1.2489999999999999E-2</v>
      </c>
      <c r="H237">
        <f t="shared" si="69"/>
        <v>313.2</v>
      </c>
      <c r="I237">
        <f t="shared" si="58"/>
        <v>9.7080000000000002</v>
      </c>
      <c r="J237">
        <v>0</v>
      </c>
      <c r="M237">
        <f t="shared" si="59"/>
        <v>1.2489999999999999E-2</v>
      </c>
      <c r="S237">
        <f t="shared" si="60"/>
        <v>1</v>
      </c>
      <c r="T237">
        <f t="shared" si="61"/>
        <v>0</v>
      </c>
      <c r="U237">
        <f t="shared" si="62"/>
        <v>0</v>
      </c>
      <c r="V237">
        <f t="shared" si="63"/>
        <v>0</v>
      </c>
      <c r="W237">
        <f t="shared" si="64"/>
        <v>0</v>
      </c>
      <c r="X237">
        <f t="shared" si="65"/>
        <v>0</v>
      </c>
      <c r="Y237">
        <f t="shared" si="66"/>
        <v>0</v>
      </c>
    </row>
    <row r="238" spans="1:25" hidden="1">
      <c r="A238" t="str">
        <f t="shared" si="67"/>
        <v>Lee 1977</v>
      </c>
      <c r="C238">
        <v>1070.5999999999999</v>
      </c>
      <c r="E238">
        <v>1.3729999999999999E-2</v>
      </c>
      <c r="H238">
        <f t="shared" si="69"/>
        <v>313.2</v>
      </c>
      <c r="I238">
        <f t="shared" si="58"/>
        <v>10.706</v>
      </c>
      <c r="J238">
        <v>0</v>
      </c>
      <c r="M238">
        <f t="shared" si="59"/>
        <v>1.3729999999999999E-2</v>
      </c>
      <c r="S238">
        <f t="shared" si="60"/>
        <v>1</v>
      </c>
      <c r="T238">
        <f t="shared" si="61"/>
        <v>0</v>
      </c>
      <c r="U238">
        <f t="shared" si="62"/>
        <v>0</v>
      </c>
      <c r="V238">
        <f t="shared" si="63"/>
        <v>0</v>
      </c>
      <c r="W238">
        <f t="shared" si="64"/>
        <v>0</v>
      </c>
      <c r="X238">
        <f t="shared" si="65"/>
        <v>0</v>
      </c>
      <c r="Y238">
        <f t="shared" si="66"/>
        <v>0</v>
      </c>
    </row>
    <row r="239" spans="1:25" hidden="1">
      <c r="A239" t="str">
        <f t="shared" si="67"/>
        <v>Lee 1977</v>
      </c>
      <c r="C239">
        <v>1133</v>
      </c>
      <c r="E239">
        <v>1.434E-2</v>
      </c>
      <c r="H239">
        <f t="shared" si="69"/>
        <v>313.2</v>
      </c>
      <c r="I239">
        <f t="shared" si="58"/>
        <v>11.33</v>
      </c>
      <c r="J239">
        <v>0</v>
      </c>
      <c r="M239">
        <f t="shared" si="59"/>
        <v>1.434E-2</v>
      </c>
      <c r="S239">
        <f t="shared" si="60"/>
        <v>1</v>
      </c>
      <c r="T239">
        <f t="shared" si="61"/>
        <v>0</v>
      </c>
      <c r="U239">
        <f t="shared" si="62"/>
        <v>0</v>
      </c>
      <c r="V239">
        <f t="shared" si="63"/>
        <v>0</v>
      </c>
      <c r="W239">
        <f t="shared" si="64"/>
        <v>0</v>
      </c>
      <c r="X239">
        <f t="shared" si="65"/>
        <v>0</v>
      </c>
      <c r="Y239">
        <f t="shared" si="66"/>
        <v>0</v>
      </c>
    </row>
    <row r="240" spans="1:25" hidden="1">
      <c r="A240" t="str">
        <f t="shared" si="67"/>
        <v>Lee 1977</v>
      </c>
      <c r="C240">
        <v>1235.8</v>
      </c>
      <c r="E240">
        <v>1.5650000000000001E-2</v>
      </c>
      <c r="H240">
        <f t="shared" si="69"/>
        <v>313.2</v>
      </c>
      <c r="I240">
        <f t="shared" si="58"/>
        <v>12.357999999999999</v>
      </c>
      <c r="J240">
        <v>0</v>
      </c>
      <c r="M240">
        <f t="shared" si="59"/>
        <v>1.5650000000000001E-2</v>
      </c>
      <c r="S240">
        <f t="shared" si="60"/>
        <v>1</v>
      </c>
      <c r="T240">
        <f t="shared" si="61"/>
        <v>0</v>
      </c>
      <c r="U240">
        <f t="shared" si="62"/>
        <v>0</v>
      </c>
      <c r="V240">
        <f t="shared" si="63"/>
        <v>0</v>
      </c>
      <c r="W240">
        <f t="shared" si="64"/>
        <v>0</v>
      </c>
      <c r="X240">
        <f t="shared" si="65"/>
        <v>0</v>
      </c>
      <c r="Y240">
        <f t="shared" si="66"/>
        <v>0</v>
      </c>
    </row>
    <row r="241" spans="1:25" hidden="1">
      <c r="A241" t="str">
        <f t="shared" si="67"/>
        <v>Lee 1977</v>
      </c>
      <c r="C241">
        <v>1469.9</v>
      </c>
      <c r="E241">
        <v>1.8100000000000002E-2</v>
      </c>
      <c r="H241">
        <f t="shared" si="69"/>
        <v>313.2</v>
      </c>
      <c r="I241">
        <f t="shared" si="58"/>
        <v>14.699000000000002</v>
      </c>
      <c r="J241">
        <v>0</v>
      </c>
      <c r="M241">
        <f t="shared" si="59"/>
        <v>1.8100000000000002E-2</v>
      </c>
      <c r="S241">
        <f t="shared" si="60"/>
        <v>1</v>
      </c>
      <c r="T241">
        <f t="shared" si="61"/>
        <v>0</v>
      </c>
      <c r="U241">
        <f t="shared" si="62"/>
        <v>0</v>
      </c>
      <c r="V241">
        <f t="shared" si="63"/>
        <v>0</v>
      </c>
      <c r="W241">
        <f t="shared" si="64"/>
        <v>0</v>
      </c>
      <c r="X241">
        <f t="shared" si="65"/>
        <v>0</v>
      </c>
      <c r="Y241">
        <f t="shared" si="66"/>
        <v>0</v>
      </c>
    </row>
    <row r="242" spans="1:25" hidden="1">
      <c r="A242" t="str">
        <f t="shared" si="67"/>
        <v>Lee 1977</v>
      </c>
      <c r="C242">
        <v>1534.6</v>
      </c>
      <c r="E242">
        <v>1.95E-2</v>
      </c>
      <c r="H242">
        <f t="shared" si="69"/>
        <v>313.2</v>
      </c>
      <c r="I242">
        <f t="shared" si="58"/>
        <v>15.345999999999998</v>
      </c>
      <c r="J242">
        <v>0</v>
      </c>
      <c r="M242">
        <f t="shared" si="59"/>
        <v>1.95E-2</v>
      </c>
      <c r="S242">
        <f t="shared" si="60"/>
        <v>1</v>
      </c>
      <c r="T242">
        <f t="shared" si="61"/>
        <v>0</v>
      </c>
      <c r="U242">
        <f t="shared" si="62"/>
        <v>0</v>
      </c>
      <c r="V242">
        <f t="shared" si="63"/>
        <v>0</v>
      </c>
      <c r="W242">
        <f t="shared" si="64"/>
        <v>0</v>
      </c>
      <c r="X242">
        <f t="shared" si="65"/>
        <v>0</v>
      </c>
      <c r="Y242">
        <f t="shared" si="66"/>
        <v>0</v>
      </c>
    </row>
    <row r="243" spans="1:25" hidden="1">
      <c r="A243" t="str">
        <f t="shared" si="67"/>
        <v>Lee 1977</v>
      </c>
      <c r="C243">
        <v>1583.1</v>
      </c>
      <c r="E243">
        <v>1.9789999999999999E-2</v>
      </c>
      <c r="H243">
        <f t="shared" si="69"/>
        <v>313.2</v>
      </c>
      <c r="I243">
        <f t="shared" si="58"/>
        <v>15.831</v>
      </c>
      <c r="J243">
        <v>0</v>
      </c>
      <c r="M243">
        <f t="shared" si="59"/>
        <v>1.9789999999999999E-2</v>
      </c>
      <c r="S243">
        <f t="shared" si="60"/>
        <v>1</v>
      </c>
      <c r="T243">
        <f t="shared" si="61"/>
        <v>0</v>
      </c>
      <c r="U243">
        <f t="shared" si="62"/>
        <v>0</v>
      </c>
      <c r="V243">
        <f t="shared" si="63"/>
        <v>0</v>
      </c>
      <c r="W243">
        <f t="shared" si="64"/>
        <v>0</v>
      </c>
      <c r="X243">
        <f t="shared" si="65"/>
        <v>0</v>
      </c>
      <c r="Y243">
        <f t="shared" si="66"/>
        <v>0</v>
      </c>
    </row>
    <row r="244" spans="1:25" hidden="1">
      <c r="A244" t="str">
        <f t="shared" si="67"/>
        <v>Lee 1977</v>
      </c>
      <c r="C244">
        <v>1609.1</v>
      </c>
      <c r="E244">
        <v>1.941E-2</v>
      </c>
      <c r="H244">
        <f t="shared" si="69"/>
        <v>313.2</v>
      </c>
      <c r="I244">
        <f t="shared" si="58"/>
        <v>16.090999999999998</v>
      </c>
      <c r="J244">
        <v>0</v>
      </c>
      <c r="M244">
        <f t="shared" si="59"/>
        <v>1.941E-2</v>
      </c>
      <c r="S244">
        <f t="shared" si="60"/>
        <v>1</v>
      </c>
      <c r="T244">
        <f t="shared" si="61"/>
        <v>0</v>
      </c>
      <c r="U244">
        <f t="shared" si="62"/>
        <v>0</v>
      </c>
      <c r="V244">
        <f t="shared" si="63"/>
        <v>0</v>
      </c>
      <c r="W244">
        <f t="shared" si="64"/>
        <v>0</v>
      </c>
      <c r="X244">
        <f t="shared" si="65"/>
        <v>0</v>
      </c>
      <c r="Y244">
        <f t="shared" si="66"/>
        <v>0</v>
      </c>
    </row>
    <row r="245" spans="1:25" hidden="1">
      <c r="A245" t="str">
        <f t="shared" si="67"/>
        <v>Lee 1977</v>
      </c>
      <c r="C245">
        <v>1636.8</v>
      </c>
      <c r="E245">
        <v>1.975E-2</v>
      </c>
      <c r="H245">
        <f t="shared" si="69"/>
        <v>313.2</v>
      </c>
      <c r="I245">
        <f t="shared" si="58"/>
        <v>16.367999999999999</v>
      </c>
      <c r="J245">
        <v>0</v>
      </c>
      <c r="M245">
        <f t="shared" si="59"/>
        <v>1.975E-2</v>
      </c>
      <c r="S245">
        <f t="shared" si="60"/>
        <v>1</v>
      </c>
      <c r="T245">
        <f t="shared" si="61"/>
        <v>0</v>
      </c>
      <c r="U245">
        <f t="shared" si="62"/>
        <v>0</v>
      </c>
      <c r="V245">
        <f t="shared" si="63"/>
        <v>0</v>
      </c>
      <c r="W245">
        <f t="shared" si="64"/>
        <v>0</v>
      </c>
      <c r="X245">
        <f t="shared" si="65"/>
        <v>0</v>
      </c>
      <c r="Y245">
        <f t="shared" si="66"/>
        <v>0</v>
      </c>
    </row>
    <row r="246" spans="1:25" hidden="1">
      <c r="A246" t="str">
        <f t="shared" si="67"/>
        <v>Lee 1977</v>
      </c>
      <c r="C246">
        <v>1671.4</v>
      </c>
      <c r="E246">
        <v>2.0129999999999999E-2</v>
      </c>
      <c r="H246">
        <f t="shared" si="69"/>
        <v>313.2</v>
      </c>
      <c r="I246">
        <f t="shared" si="58"/>
        <v>16.714000000000002</v>
      </c>
      <c r="J246">
        <v>0</v>
      </c>
      <c r="M246">
        <f t="shared" si="59"/>
        <v>2.0129999999999999E-2</v>
      </c>
      <c r="S246">
        <f t="shared" si="60"/>
        <v>1</v>
      </c>
      <c r="T246">
        <f t="shared" si="61"/>
        <v>0</v>
      </c>
      <c r="U246">
        <f t="shared" si="62"/>
        <v>0</v>
      </c>
      <c r="V246">
        <f t="shared" si="63"/>
        <v>0</v>
      </c>
      <c r="W246">
        <f t="shared" si="64"/>
        <v>0</v>
      </c>
      <c r="X246">
        <f t="shared" si="65"/>
        <v>0</v>
      </c>
      <c r="Y246">
        <f t="shared" si="66"/>
        <v>0</v>
      </c>
    </row>
    <row r="247" spans="1:25" hidden="1">
      <c r="A247" t="str">
        <f t="shared" si="67"/>
        <v>Lee 1977</v>
      </c>
      <c r="C247">
        <v>1671.5</v>
      </c>
      <c r="E247">
        <v>2.061E-2</v>
      </c>
      <c r="H247">
        <f t="shared" si="69"/>
        <v>313.2</v>
      </c>
      <c r="I247">
        <f t="shared" si="58"/>
        <v>16.715</v>
      </c>
      <c r="J247">
        <v>0</v>
      </c>
      <c r="M247">
        <f t="shared" si="59"/>
        <v>2.061E-2</v>
      </c>
      <c r="S247">
        <f t="shared" si="60"/>
        <v>1</v>
      </c>
      <c r="T247">
        <f t="shared" si="61"/>
        <v>0</v>
      </c>
      <c r="U247">
        <f t="shared" si="62"/>
        <v>0</v>
      </c>
      <c r="V247">
        <f t="shared" si="63"/>
        <v>0</v>
      </c>
      <c r="W247">
        <f t="shared" si="64"/>
        <v>0</v>
      </c>
      <c r="X247">
        <f t="shared" si="65"/>
        <v>0</v>
      </c>
      <c r="Y247">
        <f t="shared" si="66"/>
        <v>0</v>
      </c>
    </row>
    <row r="248" spans="1:25" hidden="1">
      <c r="A248" t="str">
        <f t="shared" si="67"/>
        <v>Lee 1977</v>
      </c>
      <c r="C248">
        <v>1707.2</v>
      </c>
      <c r="E248">
        <v>2.077E-2</v>
      </c>
      <c r="H248">
        <f t="shared" si="69"/>
        <v>313.2</v>
      </c>
      <c r="I248">
        <f t="shared" si="58"/>
        <v>17.071999999999999</v>
      </c>
      <c r="J248">
        <v>0</v>
      </c>
      <c r="M248">
        <f t="shared" si="59"/>
        <v>2.077E-2</v>
      </c>
      <c r="S248">
        <f t="shared" si="60"/>
        <v>1</v>
      </c>
      <c r="T248">
        <f t="shared" si="61"/>
        <v>0</v>
      </c>
      <c r="U248">
        <f t="shared" si="62"/>
        <v>0</v>
      </c>
      <c r="V248">
        <f t="shared" si="63"/>
        <v>0</v>
      </c>
      <c r="W248">
        <f t="shared" si="64"/>
        <v>0</v>
      </c>
      <c r="X248">
        <f t="shared" si="65"/>
        <v>0</v>
      </c>
      <c r="Y248">
        <f t="shared" si="66"/>
        <v>0</v>
      </c>
    </row>
    <row r="249" spans="1:25" hidden="1">
      <c r="A249" t="str">
        <f t="shared" si="67"/>
        <v>Lee 1977</v>
      </c>
      <c r="C249">
        <v>1788.3</v>
      </c>
      <c r="E249">
        <v>2.1260000000000001E-2</v>
      </c>
      <c r="H249">
        <f t="shared" si="69"/>
        <v>313.2</v>
      </c>
      <c r="I249">
        <f t="shared" si="58"/>
        <v>17.882999999999999</v>
      </c>
      <c r="J249">
        <v>0</v>
      </c>
      <c r="M249">
        <f t="shared" si="59"/>
        <v>2.1260000000000001E-2</v>
      </c>
      <c r="S249">
        <f t="shared" si="60"/>
        <v>1</v>
      </c>
      <c r="T249">
        <f t="shared" si="61"/>
        <v>0</v>
      </c>
      <c r="U249">
        <f t="shared" si="62"/>
        <v>0</v>
      </c>
      <c r="V249">
        <f t="shared" si="63"/>
        <v>0</v>
      </c>
      <c r="W249">
        <f t="shared" si="64"/>
        <v>0</v>
      </c>
      <c r="X249">
        <f t="shared" si="65"/>
        <v>0</v>
      </c>
      <c r="Y249">
        <f t="shared" si="66"/>
        <v>0</v>
      </c>
    </row>
    <row r="250" spans="1:25" hidden="1">
      <c r="A250" t="str">
        <f t="shared" si="67"/>
        <v>Lee 1977</v>
      </c>
      <c r="C250">
        <v>1892.8</v>
      </c>
      <c r="E250">
        <v>2.282E-2</v>
      </c>
      <c r="H250">
        <f t="shared" si="69"/>
        <v>313.2</v>
      </c>
      <c r="I250">
        <f t="shared" si="58"/>
        <v>18.928000000000001</v>
      </c>
      <c r="J250">
        <v>0</v>
      </c>
      <c r="M250">
        <f t="shared" si="59"/>
        <v>2.282E-2</v>
      </c>
      <c r="S250">
        <f t="shared" si="60"/>
        <v>1</v>
      </c>
      <c r="T250">
        <f t="shared" si="61"/>
        <v>0</v>
      </c>
      <c r="U250">
        <f t="shared" si="62"/>
        <v>0</v>
      </c>
      <c r="V250">
        <f t="shared" si="63"/>
        <v>0</v>
      </c>
      <c r="W250">
        <f t="shared" si="64"/>
        <v>0</v>
      </c>
      <c r="X250">
        <f t="shared" si="65"/>
        <v>0</v>
      </c>
      <c r="Y250">
        <f t="shared" si="66"/>
        <v>0</v>
      </c>
    </row>
    <row r="251" spans="1:25" hidden="1">
      <c r="A251" t="str">
        <f t="shared" si="67"/>
        <v>Lee 1977</v>
      </c>
      <c r="C251">
        <v>1934.1</v>
      </c>
      <c r="E251">
        <v>2.334E-2</v>
      </c>
      <c r="H251">
        <f t="shared" si="69"/>
        <v>313.2</v>
      </c>
      <c r="I251">
        <f t="shared" si="58"/>
        <v>19.340999999999998</v>
      </c>
      <c r="J251">
        <v>0</v>
      </c>
      <c r="M251">
        <f t="shared" si="59"/>
        <v>2.334E-2</v>
      </c>
      <c r="S251">
        <f t="shared" si="60"/>
        <v>1</v>
      </c>
      <c r="T251">
        <f t="shared" si="61"/>
        <v>0</v>
      </c>
      <c r="U251">
        <f t="shared" si="62"/>
        <v>0</v>
      </c>
      <c r="V251">
        <f t="shared" si="63"/>
        <v>0</v>
      </c>
      <c r="W251">
        <f t="shared" si="64"/>
        <v>0</v>
      </c>
      <c r="X251">
        <f t="shared" si="65"/>
        <v>0</v>
      </c>
      <c r="Y251">
        <f t="shared" si="66"/>
        <v>0</v>
      </c>
    </row>
    <row r="252" spans="1:25" hidden="1">
      <c r="A252" t="str">
        <f t="shared" si="67"/>
        <v>Lee 1977</v>
      </c>
      <c r="C252">
        <v>1981.9</v>
      </c>
      <c r="E252">
        <v>2.3470000000000001E-2</v>
      </c>
      <c r="H252">
        <f t="shared" si="69"/>
        <v>313.2</v>
      </c>
      <c r="I252">
        <f t="shared" si="58"/>
        <v>19.819000000000003</v>
      </c>
      <c r="J252">
        <v>0</v>
      </c>
      <c r="M252">
        <f t="shared" si="59"/>
        <v>2.3470000000000001E-2</v>
      </c>
      <c r="S252">
        <f t="shared" si="60"/>
        <v>1</v>
      </c>
      <c r="T252">
        <f t="shared" si="61"/>
        <v>0</v>
      </c>
      <c r="U252">
        <f t="shared" si="62"/>
        <v>0</v>
      </c>
      <c r="V252">
        <f t="shared" si="63"/>
        <v>0</v>
      </c>
      <c r="W252">
        <f t="shared" si="64"/>
        <v>0</v>
      </c>
      <c r="X252">
        <f t="shared" si="65"/>
        <v>0</v>
      </c>
      <c r="Y252">
        <f t="shared" si="66"/>
        <v>0</v>
      </c>
    </row>
    <row r="253" spans="1:25" hidden="1">
      <c r="A253" t="str">
        <f t="shared" si="67"/>
        <v>Lee 1977</v>
      </c>
      <c r="C253">
        <v>1983.1</v>
      </c>
      <c r="E253">
        <v>2.3980000000000001E-2</v>
      </c>
      <c r="H253">
        <f t="shared" si="69"/>
        <v>313.2</v>
      </c>
      <c r="I253">
        <f t="shared" si="58"/>
        <v>19.831</v>
      </c>
      <c r="J253">
        <v>0</v>
      </c>
      <c r="M253">
        <f t="shared" si="59"/>
        <v>2.3980000000000001E-2</v>
      </c>
      <c r="S253">
        <f t="shared" si="60"/>
        <v>1</v>
      </c>
      <c r="T253">
        <f t="shared" si="61"/>
        <v>0</v>
      </c>
      <c r="U253">
        <f t="shared" si="62"/>
        <v>0</v>
      </c>
      <c r="V253">
        <f t="shared" si="63"/>
        <v>0</v>
      </c>
      <c r="W253">
        <f t="shared" si="64"/>
        <v>0</v>
      </c>
      <c r="X253">
        <f t="shared" si="65"/>
        <v>0</v>
      </c>
      <c r="Y253">
        <f t="shared" si="66"/>
        <v>0</v>
      </c>
    </row>
    <row r="254" spans="1:25" hidden="1">
      <c r="A254" t="str">
        <f t="shared" si="67"/>
        <v>Lee 1977</v>
      </c>
      <c r="C254">
        <v>2052.1999999999998</v>
      </c>
      <c r="E254">
        <v>2.4080000000000001E-2</v>
      </c>
      <c r="H254">
        <f t="shared" si="69"/>
        <v>313.2</v>
      </c>
      <c r="I254">
        <f t="shared" si="58"/>
        <v>20.521999999999998</v>
      </c>
      <c r="J254">
        <v>0</v>
      </c>
      <c r="M254">
        <f t="shared" si="59"/>
        <v>2.4080000000000001E-2</v>
      </c>
      <c r="S254">
        <f t="shared" si="60"/>
        <v>1</v>
      </c>
      <c r="T254">
        <f t="shared" si="61"/>
        <v>0</v>
      </c>
      <c r="U254">
        <f t="shared" si="62"/>
        <v>0</v>
      </c>
      <c r="V254">
        <f t="shared" si="63"/>
        <v>0</v>
      </c>
      <c r="W254">
        <f t="shared" si="64"/>
        <v>0</v>
      </c>
      <c r="X254">
        <f t="shared" si="65"/>
        <v>0</v>
      </c>
      <c r="Y254">
        <f t="shared" si="66"/>
        <v>0</v>
      </c>
    </row>
    <row r="255" spans="1:25" hidden="1">
      <c r="A255" t="str">
        <f t="shared" si="67"/>
        <v>Lee 1977</v>
      </c>
      <c r="C255">
        <v>2059.9</v>
      </c>
      <c r="E255">
        <v>2.4979999999999999E-2</v>
      </c>
      <c r="H255">
        <f t="shared" si="69"/>
        <v>313.2</v>
      </c>
      <c r="I255">
        <f t="shared" si="58"/>
        <v>20.599</v>
      </c>
      <c r="J255">
        <v>0</v>
      </c>
      <c r="M255">
        <f t="shared" si="59"/>
        <v>2.4979999999999999E-2</v>
      </c>
      <c r="S255">
        <f t="shared" si="60"/>
        <v>1</v>
      </c>
      <c r="T255">
        <f t="shared" si="61"/>
        <v>0</v>
      </c>
      <c r="U255">
        <f t="shared" si="62"/>
        <v>0</v>
      </c>
      <c r="V255">
        <f t="shared" si="63"/>
        <v>0</v>
      </c>
      <c r="W255">
        <f t="shared" si="64"/>
        <v>0</v>
      </c>
      <c r="X255">
        <f t="shared" si="65"/>
        <v>0</v>
      </c>
      <c r="Y255">
        <f t="shared" si="66"/>
        <v>0</v>
      </c>
    </row>
    <row r="256" spans="1:25" hidden="1">
      <c r="A256" t="str">
        <f t="shared" si="67"/>
        <v>Lee 1977</v>
      </c>
      <c r="C256">
        <v>2061.3000000000002</v>
      </c>
      <c r="E256">
        <v>2.5170000000000001E-2</v>
      </c>
      <c r="H256">
        <f t="shared" si="69"/>
        <v>313.2</v>
      </c>
      <c r="I256">
        <f t="shared" si="58"/>
        <v>20.613000000000003</v>
      </c>
      <c r="J256">
        <v>0</v>
      </c>
      <c r="M256">
        <f t="shared" si="59"/>
        <v>2.5170000000000001E-2</v>
      </c>
      <c r="S256">
        <f t="shared" si="60"/>
        <v>1</v>
      </c>
      <c r="T256">
        <f t="shared" si="61"/>
        <v>0</v>
      </c>
      <c r="U256">
        <f t="shared" si="62"/>
        <v>0</v>
      </c>
      <c r="V256">
        <f t="shared" si="63"/>
        <v>0</v>
      </c>
      <c r="W256">
        <f t="shared" si="64"/>
        <v>0</v>
      </c>
      <c r="X256">
        <f t="shared" si="65"/>
        <v>0</v>
      </c>
      <c r="Y256">
        <f t="shared" si="66"/>
        <v>0</v>
      </c>
    </row>
    <row r="257" spans="1:25" hidden="1">
      <c r="A257" t="str">
        <f t="shared" si="67"/>
        <v>Lee 1977</v>
      </c>
      <c r="C257">
        <v>2100.6999999999998</v>
      </c>
      <c r="E257">
        <v>2.5260000000000001E-2</v>
      </c>
      <c r="H257">
        <f t="shared" si="69"/>
        <v>313.2</v>
      </c>
      <c r="I257">
        <f t="shared" si="58"/>
        <v>21.006999999999998</v>
      </c>
      <c r="J257">
        <v>0</v>
      </c>
      <c r="M257">
        <f t="shared" si="59"/>
        <v>2.5260000000000001E-2</v>
      </c>
      <c r="S257">
        <f t="shared" si="60"/>
        <v>1</v>
      </c>
      <c r="T257">
        <f t="shared" si="61"/>
        <v>0</v>
      </c>
      <c r="U257">
        <f t="shared" si="62"/>
        <v>0</v>
      </c>
      <c r="V257">
        <f t="shared" si="63"/>
        <v>0</v>
      </c>
      <c r="W257">
        <f t="shared" si="64"/>
        <v>0</v>
      </c>
      <c r="X257">
        <f t="shared" si="65"/>
        <v>0</v>
      </c>
      <c r="Y257">
        <f t="shared" si="66"/>
        <v>0</v>
      </c>
    </row>
    <row r="258" spans="1:25" hidden="1">
      <c r="A258" t="str">
        <f t="shared" si="67"/>
        <v>Lee 1977</v>
      </c>
      <c r="C258">
        <v>2100.8000000000002</v>
      </c>
      <c r="E258">
        <v>2.546E-2</v>
      </c>
      <c r="H258">
        <f t="shared" si="69"/>
        <v>313.2</v>
      </c>
      <c r="I258">
        <f t="shared" si="58"/>
        <v>21.008000000000003</v>
      </c>
      <c r="J258">
        <v>0</v>
      </c>
      <c r="M258">
        <f t="shared" si="59"/>
        <v>2.546E-2</v>
      </c>
      <c r="S258">
        <f t="shared" si="60"/>
        <v>1</v>
      </c>
      <c r="T258">
        <f t="shared" si="61"/>
        <v>0</v>
      </c>
      <c r="U258">
        <f t="shared" si="62"/>
        <v>0</v>
      </c>
      <c r="V258">
        <f t="shared" si="63"/>
        <v>0</v>
      </c>
      <c r="W258">
        <f t="shared" si="64"/>
        <v>0</v>
      </c>
      <c r="X258">
        <f t="shared" si="65"/>
        <v>0</v>
      </c>
      <c r="Y258">
        <f t="shared" si="66"/>
        <v>0</v>
      </c>
    </row>
    <row r="259" spans="1:25" hidden="1">
      <c r="A259" t="str">
        <f t="shared" si="67"/>
        <v>Lee 1977</v>
      </c>
      <c r="C259">
        <v>2128.3000000000002</v>
      </c>
      <c r="E259">
        <v>2.529E-2</v>
      </c>
      <c r="H259">
        <f t="shared" si="69"/>
        <v>313.2</v>
      </c>
      <c r="I259">
        <f t="shared" si="58"/>
        <v>21.283000000000001</v>
      </c>
      <c r="J259">
        <v>0</v>
      </c>
      <c r="M259">
        <f t="shared" si="59"/>
        <v>2.529E-2</v>
      </c>
      <c r="S259">
        <f t="shared" si="60"/>
        <v>1</v>
      </c>
      <c r="T259">
        <f t="shared" si="61"/>
        <v>0</v>
      </c>
      <c r="U259">
        <f t="shared" si="62"/>
        <v>0</v>
      </c>
      <c r="V259">
        <f t="shared" si="63"/>
        <v>0</v>
      </c>
      <c r="W259">
        <f t="shared" si="64"/>
        <v>0</v>
      </c>
      <c r="X259">
        <f t="shared" si="65"/>
        <v>0</v>
      </c>
      <c r="Y259">
        <f t="shared" si="66"/>
        <v>0</v>
      </c>
    </row>
    <row r="260" spans="1:25" hidden="1">
      <c r="A260" t="str">
        <f t="shared" si="67"/>
        <v>Lee 1977</v>
      </c>
      <c r="C260">
        <v>2227</v>
      </c>
      <c r="E260">
        <v>2.6120000000000001E-2</v>
      </c>
      <c r="H260">
        <f t="shared" si="69"/>
        <v>313.2</v>
      </c>
      <c r="I260">
        <f t="shared" si="58"/>
        <v>22.27</v>
      </c>
      <c r="J260">
        <v>0</v>
      </c>
      <c r="M260">
        <f t="shared" si="59"/>
        <v>2.6120000000000001E-2</v>
      </c>
      <c r="S260">
        <f t="shared" si="60"/>
        <v>1</v>
      </c>
      <c r="T260">
        <f t="shared" si="61"/>
        <v>0</v>
      </c>
      <c r="U260">
        <f t="shared" si="62"/>
        <v>0</v>
      </c>
      <c r="V260">
        <f t="shared" si="63"/>
        <v>0</v>
      </c>
      <c r="W260">
        <f t="shared" si="64"/>
        <v>0</v>
      </c>
      <c r="X260">
        <f t="shared" si="65"/>
        <v>0</v>
      </c>
      <c r="Y260">
        <f t="shared" si="66"/>
        <v>0</v>
      </c>
    </row>
    <row r="261" spans="1:25" hidden="1">
      <c r="A261" t="str">
        <f t="shared" si="67"/>
        <v>Lee 1977</v>
      </c>
      <c r="C261">
        <v>2417.4</v>
      </c>
      <c r="E261">
        <v>2.826E-2</v>
      </c>
      <c r="H261">
        <f t="shared" si="69"/>
        <v>313.2</v>
      </c>
      <c r="I261">
        <f t="shared" si="58"/>
        <v>24.173999999999999</v>
      </c>
      <c r="J261">
        <v>0</v>
      </c>
      <c r="M261">
        <f t="shared" si="59"/>
        <v>2.826E-2</v>
      </c>
      <c r="S261">
        <f t="shared" si="60"/>
        <v>1</v>
      </c>
      <c r="T261">
        <f t="shared" si="61"/>
        <v>0</v>
      </c>
      <c r="U261">
        <f t="shared" si="62"/>
        <v>0</v>
      </c>
      <c r="V261">
        <f t="shared" si="63"/>
        <v>0</v>
      </c>
      <c r="W261">
        <f t="shared" si="64"/>
        <v>0</v>
      </c>
      <c r="X261">
        <f t="shared" si="65"/>
        <v>0</v>
      </c>
      <c r="Y261">
        <f t="shared" si="66"/>
        <v>0</v>
      </c>
    </row>
    <row r="262" spans="1:25" hidden="1">
      <c r="A262" t="str">
        <f t="shared" si="67"/>
        <v>Lee 1977</v>
      </c>
      <c r="C262">
        <v>2452.9</v>
      </c>
      <c r="E262">
        <v>2.8219999999999999E-2</v>
      </c>
      <c r="H262">
        <f t="shared" si="69"/>
        <v>313.2</v>
      </c>
      <c r="I262">
        <f t="shared" si="58"/>
        <v>24.529</v>
      </c>
      <c r="J262">
        <v>0</v>
      </c>
      <c r="M262">
        <f t="shared" si="59"/>
        <v>2.8219999999999999E-2</v>
      </c>
      <c r="S262">
        <f t="shared" si="60"/>
        <v>1</v>
      </c>
      <c r="T262">
        <f t="shared" si="61"/>
        <v>0</v>
      </c>
      <c r="U262">
        <f t="shared" si="62"/>
        <v>0</v>
      </c>
      <c r="V262">
        <f t="shared" si="63"/>
        <v>0</v>
      </c>
      <c r="W262">
        <f t="shared" si="64"/>
        <v>0</v>
      </c>
      <c r="X262">
        <f t="shared" si="65"/>
        <v>0</v>
      </c>
      <c r="Y262">
        <f t="shared" si="66"/>
        <v>0</v>
      </c>
    </row>
    <row r="263" spans="1:25" hidden="1">
      <c r="A263" t="str">
        <f t="shared" si="67"/>
        <v>Lee 1977</v>
      </c>
      <c r="C263">
        <v>2458.9</v>
      </c>
      <c r="E263">
        <v>2.9260000000000001E-2</v>
      </c>
      <c r="H263">
        <f t="shared" si="69"/>
        <v>313.2</v>
      </c>
      <c r="I263">
        <f t="shared" si="58"/>
        <v>24.589000000000002</v>
      </c>
      <c r="J263">
        <v>0</v>
      </c>
      <c r="M263">
        <f t="shared" si="59"/>
        <v>2.9260000000000001E-2</v>
      </c>
      <c r="S263">
        <f t="shared" si="60"/>
        <v>1</v>
      </c>
      <c r="T263">
        <f t="shared" si="61"/>
        <v>0</v>
      </c>
      <c r="U263">
        <f t="shared" si="62"/>
        <v>0</v>
      </c>
      <c r="V263">
        <f t="shared" si="63"/>
        <v>0</v>
      </c>
      <c r="W263">
        <f t="shared" si="64"/>
        <v>0</v>
      </c>
      <c r="X263">
        <f t="shared" si="65"/>
        <v>0</v>
      </c>
      <c r="Y263">
        <f t="shared" si="66"/>
        <v>0</v>
      </c>
    </row>
    <row r="264" spans="1:25" hidden="1">
      <c r="A264" t="str">
        <f t="shared" si="67"/>
        <v>Lee 1977</v>
      </c>
      <c r="C264">
        <v>2479.4</v>
      </c>
      <c r="E264">
        <v>2.8729999999999999E-2</v>
      </c>
      <c r="H264">
        <f t="shared" si="69"/>
        <v>313.2</v>
      </c>
      <c r="I264">
        <f t="shared" si="58"/>
        <v>24.794</v>
      </c>
      <c r="J264">
        <v>0</v>
      </c>
      <c r="M264">
        <f t="shared" si="59"/>
        <v>2.8729999999999999E-2</v>
      </c>
      <c r="S264">
        <f t="shared" si="60"/>
        <v>1</v>
      </c>
      <c r="T264">
        <f t="shared" si="61"/>
        <v>0</v>
      </c>
      <c r="U264">
        <f t="shared" si="62"/>
        <v>0</v>
      </c>
      <c r="V264">
        <f t="shared" si="63"/>
        <v>0</v>
      </c>
      <c r="W264">
        <f t="shared" si="64"/>
        <v>0</v>
      </c>
      <c r="X264">
        <f t="shared" si="65"/>
        <v>0</v>
      </c>
      <c r="Y264">
        <f t="shared" si="66"/>
        <v>0</v>
      </c>
    </row>
    <row r="265" spans="1:25" hidden="1">
      <c r="A265" t="str">
        <f t="shared" si="67"/>
        <v>Lee 1977</v>
      </c>
      <c r="C265">
        <v>2561.6</v>
      </c>
      <c r="E265">
        <v>2.9829999999999999E-2</v>
      </c>
      <c r="H265">
        <f t="shared" si="69"/>
        <v>313.2</v>
      </c>
      <c r="I265">
        <f t="shared" si="58"/>
        <v>25.616</v>
      </c>
      <c r="J265">
        <v>0</v>
      </c>
      <c r="M265">
        <f t="shared" si="59"/>
        <v>2.9829999999999999E-2</v>
      </c>
      <c r="S265">
        <f t="shared" si="60"/>
        <v>1</v>
      </c>
      <c r="T265">
        <f t="shared" si="61"/>
        <v>0</v>
      </c>
      <c r="U265">
        <f t="shared" si="62"/>
        <v>0</v>
      </c>
      <c r="V265">
        <f t="shared" si="63"/>
        <v>0</v>
      </c>
      <c r="W265">
        <f t="shared" si="64"/>
        <v>0</v>
      </c>
      <c r="X265">
        <f t="shared" si="65"/>
        <v>0</v>
      </c>
      <c r="Y265">
        <f t="shared" si="66"/>
        <v>0</v>
      </c>
    </row>
    <row r="266" spans="1:25" hidden="1">
      <c r="A266" t="str">
        <f t="shared" si="67"/>
        <v>Lee 1977</v>
      </c>
      <c r="C266">
        <v>718.3</v>
      </c>
      <c r="E266">
        <v>7.8300000000000002E-3</v>
      </c>
      <c r="H266">
        <v>323.10000000000002</v>
      </c>
      <c r="I266">
        <f t="shared" si="58"/>
        <v>7.1829999999999998</v>
      </c>
      <c r="J266">
        <v>0</v>
      </c>
      <c r="M266">
        <f t="shared" si="59"/>
        <v>7.8300000000000002E-3</v>
      </c>
      <c r="S266">
        <f t="shared" si="60"/>
        <v>1</v>
      </c>
      <c r="T266">
        <f t="shared" si="61"/>
        <v>0</v>
      </c>
      <c r="U266">
        <f t="shared" si="62"/>
        <v>0</v>
      </c>
      <c r="V266">
        <f t="shared" si="63"/>
        <v>0</v>
      </c>
      <c r="W266">
        <f t="shared" si="64"/>
        <v>0</v>
      </c>
      <c r="X266">
        <f t="shared" si="65"/>
        <v>0</v>
      </c>
      <c r="Y266">
        <f t="shared" si="66"/>
        <v>0</v>
      </c>
    </row>
    <row r="267" spans="1:25" hidden="1">
      <c r="A267" t="str">
        <f t="shared" si="67"/>
        <v>Lee 1977</v>
      </c>
      <c r="C267">
        <v>892.9</v>
      </c>
      <c r="E267">
        <v>9.6299999999999997E-3</v>
      </c>
      <c r="H267">
        <f t="shared" ref="H267:H295" si="70">H266</f>
        <v>323.10000000000002</v>
      </c>
      <c r="I267">
        <f t="shared" si="58"/>
        <v>8.9290000000000003</v>
      </c>
      <c r="J267">
        <v>0</v>
      </c>
      <c r="M267">
        <f t="shared" si="59"/>
        <v>9.6299999999999997E-3</v>
      </c>
      <c r="S267">
        <f t="shared" si="60"/>
        <v>1</v>
      </c>
      <c r="T267">
        <f t="shared" si="61"/>
        <v>0</v>
      </c>
      <c r="U267">
        <f t="shared" si="62"/>
        <v>0</v>
      </c>
      <c r="V267">
        <f t="shared" si="63"/>
        <v>0</v>
      </c>
      <c r="W267">
        <f t="shared" si="64"/>
        <v>0</v>
      </c>
      <c r="X267">
        <f t="shared" si="65"/>
        <v>0</v>
      </c>
      <c r="Y267">
        <f t="shared" si="66"/>
        <v>0</v>
      </c>
    </row>
    <row r="268" spans="1:25" hidden="1">
      <c r="A268" t="str">
        <f t="shared" si="67"/>
        <v>Lee 1977</v>
      </c>
      <c r="C268">
        <v>1005.5</v>
      </c>
      <c r="E268">
        <v>1.09E-2</v>
      </c>
      <c r="H268">
        <f t="shared" si="70"/>
        <v>323.10000000000002</v>
      </c>
      <c r="I268">
        <f t="shared" si="58"/>
        <v>10.055</v>
      </c>
      <c r="J268">
        <v>0</v>
      </c>
      <c r="M268">
        <f t="shared" si="59"/>
        <v>1.09E-2</v>
      </c>
      <c r="S268">
        <f t="shared" si="60"/>
        <v>1</v>
      </c>
      <c r="T268">
        <f t="shared" si="61"/>
        <v>0</v>
      </c>
      <c r="U268">
        <f t="shared" si="62"/>
        <v>0</v>
      </c>
      <c r="V268">
        <f t="shared" si="63"/>
        <v>0</v>
      </c>
      <c r="W268">
        <f t="shared" si="64"/>
        <v>0</v>
      </c>
      <c r="X268">
        <f t="shared" si="65"/>
        <v>0</v>
      </c>
      <c r="Y268">
        <f t="shared" si="66"/>
        <v>0</v>
      </c>
    </row>
    <row r="269" spans="1:25" hidden="1">
      <c r="A269" t="str">
        <f t="shared" si="67"/>
        <v>Lee 1977</v>
      </c>
      <c r="C269">
        <v>1165.5</v>
      </c>
      <c r="E269">
        <v>1.231E-2</v>
      </c>
      <c r="H269">
        <f t="shared" si="70"/>
        <v>323.10000000000002</v>
      </c>
      <c r="I269">
        <f t="shared" si="58"/>
        <v>11.654999999999999</v>
      </c>
      <c r="J269">
        <v>0</v>
      </c>
      <c r="M269">
        <f t="shared" si="59"/>
        <v>1.231E-2</v>
      </c>
      <c r="S269">
        <f t="shared" si="60"/>
        <v>1</v>
      </c>
      <c r="T269">
        <f t="shared" si="61"/>
        <v>0</v>
      </c>
      <c r="U269">
        <f t="shared" si="62"/>
        <v>0</v>
      </c>
      <c r="V269">
        <f t="shared" si="63"/>
        <v>0</v>
      </c>
      <c r="W269">
        <f t="shared" si="64"/>
        <v>0</v>
      </c>
      <c r="X269">
        <f t="shared" si="65"/>
        <v>0</v>
      </c>
      <c r="Y269">
        <f t="shared" si="66"/>
        <v>0</v>
      </c>
    </row>
    <row r="270" spans="1:25" hidden="1">
      <c r="A270" t="str">
        <f t="shared" si="67"/>
        <v>Lee 1977</v>
      </c>
      <c r="C270">
        <v>1510.9</v>
      </c>
      <c r="E270">
        <v>1.542E-2</v>
      </c>
      <c r="H270">
        <f t="shared" si="70"/>
        <v>323.10000000000002</v>
      </c>
      <c r="I270">
        <f t="shared" si="58"/>
        <v>15.109000000000002</v>
      </c>
      <c r="J270">
        <v>0</v>
      </c>
      <c r="M270">
        <f t="shared" si="59"/>
        <v>1.542E-2</v>
      </c>
      <c r="S270">
        <f t="shared" si="60"/>
        <v>1</v>
      </c>
      <c r="T270">
        <f t="shared" si="61"/>
        <v>0</v>
      </c>
      <c r="U270">
        <f t="shared" si="62"/>
        <v>0</v>
      </c>
      <c r="V270">
        <f t="shared" si="63"/>
        <v>0</v>
      </c>
      <c r="W270">
        <f t="shared" si="64"/>
        <v>0</v>
      </c>
      <c r="X270">
        <f t="shared" si="65"/>
        <v>0</v>
      </c>
      <c r="Y270">
        <f t="shared" si="66"/>
        <v>0</v>
      </c>
    </row>
    <row r="271" spans="1:25" hidden="1">
      <c r="A271" t="str">
        <f t="shared" si="67"/>
        <v>Lee 1977</v>
      </c>
      <c r="C271">
        <v>1510.9</v>
      </c>
      <c r="E271">
        <v>1.525E-2</v>
      </c>
      <c r="H271">
        <f t="shared" si="70"/>
        <v>323.10000000000002</v>
      </c>
      <c r="I271">
        <f t="shared" si="58"/>
        <v>15.109000000000002</v>
      </c>
      <c r="J271">
        <v>0</v>
      </c>
      <c r="M271">
        <f t="shared" si="59"/>
        <v>1.525E-2</v>
      </c>
      <c r="S271">
        <f t="shared" si="60"/>
        <v>1</v>
      </c>
      <c r="T271">
        <f t="shared" si="61"/>
        <v>0</v>
      </c>
      <c r="U271">
        <f t="shared" si="62"/>
        <v>0</v>
      </c>
      <c r="V271">
        <f t="shared" si="63"/>
        <v>0</v>
      </c>
      <c r="W271">
        <f t="shared" si="64"/>
        <v>0</v>
      </c>
      <c r="X271">
        <f t="shared" si="65"/>
        <v>0</v>
      </c>
      <c r="Y271">
        <f t="shared" si="66"/>
        <v>0</v>
      </c>
    </row>
    <row r="272" spans="1:25" hidden="1">
      <c r="A272" t="str">
        <f t="shared" si="67"/>
        <v>Lee 1977</v>
      </c>
      <c r="C272">
        <v>1683.2</v>
      </c>
      <c r="E272">
        <v>1.7500000000000002E-2</v>
      </c>
      <c r="H272">
        <f t="shared" si="70"/>
        <v>323.10000000000002</v>
      </c>
      <c r="I272">
        <f t="shared" si="58"/>
        <v>16.832000000000001</v>
      </c>
      <c r="J272">
        <v>0</v>
      </c>
      <c r="M272">
        <f t="shared" si="59"/>
        <v>1.7500000000000002E-2</v>
      </c>
      <c r="S272">
        <f t="shared" si="60"/>
        <v>1</v>
      </c>
      <c r="T272">
        <f t="shared" si="61"/>
        <v>0</v>
      </c>
      <c r="U272">
        <f t="shared" si="62"/>
        <v>0</v>
      </c>
      <c r="V272">
        <f t="shared" si="63"/>
        <v>0</v>
      </c>
      <c r="W272">
        <f t="shared" si="64"/>
        <v>0</v>
      </c>
      <c r="X272">
        <f t="shared" si="65"/>
        <v>0</v>
      </c>
      <c r="Y272">
        <f t="shared" si="66"/>
        <v>0</v>
      </c>
    </row>
    <row r="273" spans="1:25" hidden="1">
      <c r="A273" t="str">
        <f t="shared" si="67"/>
        <v>Lee 1977</v>
      </c>
      <c r="C273">
        <v>1848.4</v>
      </c>
      <c r="E273">
        <v>1.8780000000000002E-2</v>
      </c>
      <c r="H273">
        <f t="shared" si="70"/>
        <v>323.10000000000002</v>
      </c>
      <c r="I273">
        <f t="shared" si="58"/>
        <v>18.484000000000002</v>
      </c>
      <c r="J273">
        <v>0</v>
      </c>
      <c r="M273">
        <f t="shared" si="59"/>
        <v>1.8780000000000002E-2</v>
      </c>
      <c r="S273">
        <f t="shared" si="60"/>
        <v>1</v>
      </c>
      <c r="T273">
        <f t="shared" si="61"/>
        <v>0</v>
      </c>
      <c r="U273">
        <f t="shared" si="62"/>
        <v>0</v>
      </c>
      <c r="V273">
        <f t="shared" si="63"/>
        <v>0</v>
      </c>
      <c r="W273">
        <f t="shared" si="64"/>
        <v>0</v>
      </c>
      <c r="X273">
        <f t="shared" si="65"/>
        <v>0</v>
      </c>
      <c r="Y273">
        <f t="shared" si="66"/>
        <v>0</v>
      </c>
    </row>
    <row r="274" spans="1:25" hidden="1">
      <c r="A274" t="str">
        <f t="shared" si="67"/>
        <v>Lee 1977</v>
      </c>
      <c r="C274">
        <v>1928.1</v>
      </c>
      <c r="E274">
        <v>1.9970000000000002E-2</v>
      </c>
      <c r="H274">
        <f t="shared" si="70"/>
        <v>323.10000000000002</v>
      </c>
      <c r="I274">
        <f t="shared" si="58"/>
        <v>19.280999999999999</v>
      </c>
      <c r="J274">
        <v>0</v>
      </c>
      <c r="M274">
        <f t="shared" si="59"/>
        <v>1.9970000000000002E-2</v>
      </c>
      <c r="S274">
        <f t="shared" si="60"/>
        <v>1</v>
      </c>
      <c r="T274">
        <f t="shared" si="61"/>
        <v>0</v>
      </c>
      <c r="U274">
        <f t="shared" si="62"/>
        <v>0</v>
      </c>
      <c r="V274">
        <f t="shared" si="63"/>
        <v>0</v>
      </c>
      <c r="W274">
        <f t="shared" si="64"/>
        <v>0</v>
      </c>
      <c r="X274">
        <f t="shared" si="65"/>
        <v>0</v>
      </c>
      <c r="Y274">
        <f t="shared" si="66"/>
        <v>0</v>
      </c>
    </row>
    <row r="275" spans="1:25" hidden="1">
      <c r="A275" t="str">
        <f t="shared" si="67"/>
        <v>Lee 1977</v>
      </c>
      <c r="C275">
        <v>1940.1</v>
      </c>
      <c r="E275">
        <v>1.9959999999999999E-2</v>
      </c>
      <c r="H275">
        <f t="shared" si="70"/>
        <v>323.10000000000002</v>
      </c>
      <c r="I275">
        <f t="shared" si="58"/>
        <v>19.401</v>
      </c>
      <c r="J275">
        <v>0</v>
      </c>
      <c r="M275">
        <f t="shared" si="59"/>
        <v>1.9959999999999999E-2</v>
      </c>
      <c r="S275">
        <f t="shared" si="60"/>
        <v>1</v>
      </c>
      <c r="T275">
        <f t="shared" si="61"/>
        <v>0</v>
      </c>
      <c r="U275">
        <f t="shared" si="62"/>
        <v>0</v>
      </c>
      <c r="V275">
        <f t="shared" si="63"/>
        <v>0</v>
      </c>
      <c r="W275">
        <f t="shared" si="64"/>
        <v>0</v>
      </c>
      <c r="X275">
        <f t="shared" si="65"/>
        <v>0</v>
      </c>
      <c r="Y275">
        <f t="shared" si="66"/>
        <v>0</v>
      </c>
    </row>
    <row r="276" spans="1:25" hidden="1">
      <c r="A276" t="str">
        <f t="shared" si="67"/>
        <v>Lee 1977</v>
      </c>
      <c r="C276">
        <v>1976.3</v>
      </c>
      <c r="E276">
        <v>1.975E-2</v>
      </c>
      <c r="H276">
        <f t="shared" si="70"/>
        <v>323.10000000000002</v>
      </c>
      <c r="I276">
        <f t="shared" si="58"/>
        <v>19.762999999999998</v>
      </c>
      <c r="J276">
        <v>0</v>
      </c>
      <c r="M276">
        <f t="shared" si="59"/>
        <v>1.975E-2</v>
      </c>
      <c r="S276">
        <f t="shared" si="60"/>
        <v>1</v>
      </c>
      <c r="T276">
        <f t="shared" si="61"/>
        <v>0</v>
      </c>
      <c r="U276">
        <f t="shared" si="62"/>
        <v>0</v>
      </c>
      <c r="V276">
        <f t="shared" si="63"/>
        <v>0</v>
      </c>
      <c r="W276">
        <f t="shared" si="64"/>
        <v>0</v>
      </c>
      <c r="X276">
        <f t="shared" si="65"/>
        <v>0</v>
      </c>
      <c r="Y276">
        <f t="shared" si="66"/>
        <v>0</v>
      </c>
    </row>
    <row r="277" spans="1:25" hidden="1">
      <c r="A277" t="str">
        <f t="shared" si="67"/>
        <v>Lee 1977</v>
      </c>
      <c r="C277">
        <v>2010.1</v>
      </c>
      <c r="E277">
        <v>2.0219999999999998E-2</v>
      </c>
      <c r="H277">
        <f t="shared" si="70"/>
        <v>323.10000000000002</v>
      </c>
      <c r="I277">
        <f t="shared" si="58"/>
        <v>20.100999999999999</v>
      </c>
      <c r="J277">
        <v>0</v>
      </c>
      <c r="M277">
        <f t="shared" si="59"/>
        <v>2.0219999999999998E-2</v>
      </c>
      <c r="S277">
        <f t="shared" si="60"/>
        <v>1</v>
      </c>
      <c r="T277">
        <f t="shared" si="61"/>
        <v>0</v>
      </c>
      <c r="U277">
        <f t="shared" si="62"/>
        <v>0</v>
      </c>
      <c r="V277">
        <f t="shared" si="63"/>
        <v>0</v>
      </c>
      <c r="W277">
        <f t="shared" si="64"/>
        <v>0</v>
      </c>
      <c r="X277">
        <f t="shared" si="65"/>
        <v>0</v>
      </c>
      <c r="Y277">
        <f t="shared" si="66"/>
        <v>0</v>
      </c>
    </row>
    <row r="278" spans="1:25" hidden="1">
      <c r="A278" t="str">
        <f t="shared" si="67"/>
        <v>Lee 1977</v>
      </c>
      <c r="C278">
        <v>2048.1</v>
      </c>
      <c r="E278">
        <v>2.0480000000000002E-2</v>
      </c>
      <c r="H278">
        <f t="shared" si="70"/>
        <v>323.10000000000002</v>
      </c>
      <c r="I278">
        <f t="shared" si="58"/>
        <v>20.480999999999998</v>
      </c>
      <c r="J278">
        <v>0</v>
      </c>
      <c r="M278">
        <f t="shared" si="59"/>
        <v>2.0480000000000002E-2</v>
      </c>
      <c r="S278">
        <f t="shared" si="60"/>
        <v>1</v>
      </c>
      <c r="T278">
        <f t="shared" si="61"/>
        <v>0</v>
      </c>
      <c r="U278">
        <f t="shared" si="62"/>
        <v>0</v>
      </c>
      <c r="V278">
        <f t="shared" si="63"/>
        <v>0</v>
      </c>
      <c r="W278">
        <f t="shared" si="64"/>
        <v>0</v>
      </c>
      <c r="X278">
        <f t="shared" si="65"/>
        <v>0</v>
      </c>
      <c r="Y278">
        <f t="shared" si="66"/>
        <v>0</v>
      </c>
    </row>
    <row r="279" spans="1:25" hidden="1">
      <c r="A279" t="str">
        <f t="shared" si="67"/>
        <v>Lee 1977</v>
      </c>
      <c r="C279">
        <v>2133.8000000000002</v>
      </c>
      <c r="E279">
        <v>2.1139999999999999E-2</v>
      </c>
      <c r="H279">
        <f t="shared" si="70"/>
        <v>323.10000000000002</v>
      </c>
      <c r="I279">
        <f t="shared" si="58"/>
        <v>21.338000000000001</v>
      </c>
      <c r="J279">
        <v>0</v>
      </c>
      <c r="M279">
        <f t="shared" si="59"/>
        <v>2.1139999999999999E-2</v>
      </c>
      <c r="S279">
        <f t="shared" si="60"/>
        <v>1</v>
      </c>
      <c r="T279">
        <f t="shared" si="61"/>
        <v>0</v>
      </c>
      <c r="U279">
        <f t="shared" si="62"/>
        <v>0</v>
      </c>
      <c r="V279">
        <f t="shared" si="63"/>
        <v>0</v>
      </c>
      <c r="W279">
        <f t="shared" si="64"/>
        <v>0</v>
      </c>
      <c r="X279">
        <f t="shared" si="65"/>
        <v>0</v>
      </c>
      <c r="Y279">
        <f t="shared" si="66"/>
        <v>0</v>
      </c>
    </row>
    <row r="280" spans="1:25" hidden="1">
      <c r="A280" t="str">
        <f t="shared" si="67"/>
        <v>Lee 1977</v>
      </c>
      <c r="C280">
        <v>2178</v>
      </c>
      <c r="E280">
        <v>2.2100000000000002E-2</v>
      </c>
      <c r="H280">
        <f t="shared" si="70"/>
        <v>323.10000000000002</v>
      </c>
      <c r="I280">
        <f t="shared" si="58"/>
        <v>21.78</v>
      </c>
      <c r="J280">
        <v>0</v>
      </c>
      <c r="M280">
        <f t="shared" si="59"/>
        <v>2.2100000000000002E-2</v>
      </c>
      <c r="S280">
        <f t="shared" si="60"/>
        <v>1</v>
      </c>
      <c r="T280">
        <f t="shared" si="61"/>
        <v>0</v>
      </c>
      <c r="U280">
        <f t="shared" si="62"/>
        <v>0</v>
      </c>
      <c r="V280">
        <f t="shared" si="63"/>
        <v>0</v>
      </c>
      <c r="W280">
        <f t="shared" si="64"/>
        <v>0</v>
      </c>
      <c r="X280">
        <f t="shared" si="65"/>
        <v>0</v>
      </c>
      <c r="Y280">
        <f t="shared" si="66"/>
        <v>0</v>
      </c>
    </row>
    <row r="281" spans="1:25" hidden="1">
      <c r="A281" t="str">
        <f t="shared" si="67"/>
        <v>Lee 1977</v>
      </c>
      <c r="C281">
        <v>2265.8000000000002</v>
      </c>
      <c r="E281">
        <v>2.3269999999999999E-2</v>
      </c>
      <c r="H281">
        <f t="shared" si="70"/>
        <v>323.10000000000002</v>
      </c>
      <c r="I281">
        <f t="shared" si="58"/>
        <v>22.658000000000001</v>
      </c>
      <c r="J281">
        <v>0</v>
      </c>
      <c r="M281">
        <f t="shared" si="59"/>
        <v>2.3269999999999999E-2</v>
      </c>
      <c r="S281">
        <f t="shared" si="60"/>
        <v>1</v>
      </c>
      <c r="T281">
        <f t="shared" si="61"/>
        <v>0</v>
      </c>
      <c r="U281">
        <f t="shared" si="62"/>
        <v>0</v>
      </c>
      <c r="V281">
        <f t="shared" si="63"/>
        <v>0</v>
      </c>
      <c r="W281">
        <f t="shared" si="64"/>
        <v>0</v>
      </c>
      <c r="X281">
        <f t="shared" si="65"/>
        <v>0</v>
      </c>
      <c r="Y281">
        <f t="shared" si="66"/>
        <v>0</v>
      </c>
    </row>
    <row r="282" spans="1:25" hidden="1">
      <c r="A282" t="str">
        <f t="shared" si="67"/>
        <v>Lee 1977</v>
      </c>
      <c r="C282">
        <v>2383.1</v>
      </c>
      <c r="E282">
        <v>2.383E-2</v>
      </c>
      <c r="H282">
        <f t="shared" si="70"/>
        <v>323.10000000000002</v>
      </c>
      <c r="I282">
        <f t="shared" si="58"/>
        <v>23.831</v>
      </c>
      <c r="J282">
        <v>0</v>
      </c>
      <c r="M282">
        <f t="shared" si="59"/>
        <v>2.383E-2</v>
      </c>
      <c r="S282">
        <f t="shared" si="60"/>
        <v>1</v>
      </c>
      <c r="T282">
        <f t="shared" si="61"/>
        <v>0</v>
      </c>
      <c r="U282">
        <f t="shared" si="62"/>
        <v>0</v>
      </c>
      <c r="V282">
        <f t="shared" si="63"/>
        <v>0</v>
      </c>
      <c r="W282">
        <f t="shared" si="64"/>
        <v>0</v>
      </c>
      <c r="X282">
        <f t="shared" si="65"/>
        <v>0</v>
      </c>
      <c r="Y282">
        <f t="shared" si="66"/>
        <v>0</v>
      </c>
    </row>
    <row r="283" spans="1:25" hidden="1">
      <c r="A283" t="str">
        <f t="shared" si="67"/>
        <v>Lee 1977</v>
      </c>
      <c r="C283">
        <v>2482.5</v>
      </c>
      <c r="E283">
        <v>2.4580000000000001E-2</v>
      </c>
      <c r="H283">
        <f t="shared" si="70"/>
        <v>323.10000000000002</v>
      </c>
      <c r="I283">
        <f t="shared" si="58"/>
        <v>24.824999999999999</v>
      </c>
      <c r="J283">
        <v>0</v>
      </c>
      <c r="M283">
        <f t="shared" si="59"/>
        <v>2.4580000000000001E-2</v>
      </c>
      <c r="S283">
        <f t="shared" si="60"/>
        <v>1</v>
      </c>
      <c r="T283">
        <f t="shared" si="61"/>
        <v>0</v>
      </c>
      <c r="U283">
        <f t="shared" si="62"/>
        <v>0</v>
      </c>
      <c r="V283">
        <f t="shared" si="63"/>
        <v>0</v>
      </c>
      <c r="W283">
        <f t="shared" si="64"/>
        <v>0</v>
      </c>
      <c r="X283">
        <f t="shared" si="65"/>
        <v>0</v>
      </c>
      <c r="Y283">
        <f t="shared" si="66"/>
        <v>0</v>
      </c>
    </row>
    <row r="284" spans="1:25" hidden="1">
      <c r="A284" t="str">
        <f t="shared" si="67"/>
        <v>Lee 1977</v>
      </c>
      <c r="C284">
        <v>2518.3000000000002</v>
      </c>
      <c r="E284">
        <v>2.4369999999999999E-2</v>
      </c>
      <c r="H284">
        <f t="shared" si="70"/>
        <v>323.10000000000002</v>
      </c>
      <c r="I284">
        <f t="shared" si="58"/>
        <v>25.183000000000003</v>
      </c>
      <c r="J284">
        <v>0</v>
      </c>
      <c r="M284">
        <f t="shared" si="59"/>
        <v>2.4369999999999999E-2</v>
      </c>
      <c r="S284">
        <f t="shared" si="60"/>
        <v>1</v>
      </c>
      <c r="T284">
        <f t="shared" si="61"/>
        <v>0</v>
      </c>
      <c r="U284">
        <f t="shared" si="62"/>
        <v>0</v>
      </c>
      <c r="V284">
        <f t="shared" si="63"/>
        <v>0</v>
      </c>
      <c r="W284">
        <f t="shared" si="64"/>
        <v>0</v>
      </c>
      <c r="X284">
        <f t="shared" si="65"/>
        <v>0</v>
      </c>
      <c r="Y284">
        <f t="shared" si="66"/>
        <v>0</v>
      </c>
    </row>
    <row r="285" spans="1:25" hidden="1">
      <c r="A285" t="str">
        <f t="shared" si="67"/>
        <v>Lee 1977</v>
      </c>
      <c r="C285">
        <v>2637.1</v>
      </c>
      <c r="E285">
        <v>2.588E-2</v>
      </c>
      <c r="H285">
        <f t="shared" si="70"/>
        <v>323.10000000000002</v>
      </c>
      <c r="I285">
        <f t="shared" si="58"/>
        <v>26.370999999999999</v>
      </c>
      <c r="J285">
        <v>0</v>
      </c>
      <c r="M285">
        <f t="shared" si="59"/>
        <v>2.588E-2</v>
      </c>
      <c r="S285">
        <f t="shared" si="60"/>
        <v>1</v>
      </c>
      <c r="T285">
        <f t="shared" si="61"/>
        <v>0</v>
      </c>
      <c r="U285">
        <f t="shared" si="62"/>
        <v>0</v>
      </c>
      <c r="V285">
        <f t="shared" si="63"/>
        <v>0</v>
      </c>
      <c r="W285">
        <f t="shared" si="64"/>
        <v>0</v>
      </c>
      <c r="X285">
        <f t="shared" si="65"/>
        <v>0</v>
      </c>
      <c r="Y285">
        <f t="shared" si="66"/>
        <v>0</v>
      </c>
    </row>
    <row r="286" spans="1:25" hidden="1">
      <c r="A286" t="str">
        <f t="shared" si="67"/>
        <v>Lee 1977</v>
      </c>
      <c r="C286">
        <v>2637.1</v>
      </c>
      <c r="E286">
        <v>2.5940000000000001E-2</v>
      </c>
      <c r="H286">
        <f t="shared" si="70"/>
        <v>323.10000000000002</v>
      </c>
      <c r="I286">
        <f t="shared" ref="I286:I349" si="71">C286/100</f>
        <v>26.370999999999999</v>
      </c>
      <c r="J286">
        <v>0</v>
      </c>
      <c r="M286">
        <f t="shared" ref="M286:M349" si="72">E286</f>
        <v>2.5940000000000001E-2</v>
      </c>
      <c r="S286">
        <f t="shared" ref="S286:S349" si="73">S285</f>
        <v>1</v>
      </c>
      <c r="T286">
        <f t="shared" ref="T286:T349" si="74">T285</f>
        <v>0</v>
      </c>
      <c r="U286">
        <f t="shared" ref="U286:U349" si="75">U285</f>
        <v>0</v>
      </c>
      <c r="V286">
        <f t="shared" ref="V286:V349" si="76">V285</f>
        <v>0</v>
      </c>
      <c r="W286">
        <f t="shared" ref="W286:W349" si="77">W285</f>
        <v>0</v>
      </c>
      <c r="X286">
        <f t="shared" ref="X286:X349" si="78">X285</f>
        <v>0</v>
      </c>
      <c r="Y286">
        <f t="shared" ref="Y286:Y349" si="79">Y285</f>
        <v>0</v>
      </c>
    </row>
    <row r="287" spans="1:25" hidden="1">
      <c r="A287" t="str">
        <f t="shared" ref="A287:A350" si="80">A286</f>
        <v>Lee 1977</v>
      </c>
      <c r="C287">
        <v>2658.1</v>
      </c>
      <c r="E287">
        <v>2.564E-2</v>
      </c>
      <c r="H287">
        <f t="shared" si="70"/>
        <v>323.10000000000002</v>
      </c>
      <c r="I287">
        <f t="shared" si="71"/>
        <v>26.581</v>
      </c>
      <c r="J287">
        <v>0</v>
      </c>
      <c r="M287">
        <f t="shared" si="72"/>
        <v>2.564E-2</v>
      </c>
      <c r="S287">
        <f t="shared" si="73"/>
        <v>1</v>
      </c>
      <c r="T287">
        <f t="shared" si="74"/>
        <v>0</v>
      </c>
      <c r="U287">
        <f t="shared" si="75"/>
        <v>0</v>
      </c>
      <c r="V287">
        <f t="shared" si="76"/>
        <v>0</v>
      </c>
      <c r="W287">
        <f t="shared" si="77"/>
        <v>0</v>
      </c>
      <c r="X287">
        <f t="shared" si="78"/>
        <v>0</v>
      </c>
      <c r="Y287">
        <f t="shared" si="79"/>
        <v>0</v>
      </c>
    </row>
    <row r="288" spans="1:25" hidden="1">
      <c r="A288" t="str">
        <f t="shared" si="80"/>
        <v>Lee 1977</v>
      </c>
      <c r="C288">
        <v>2711.2</v>
      </c>
      <c r="E288">
        <v>2.64E-2</v>
      </c>
      <c r="H288">
        <f t="shared" si="70"/>
        <v>323.10000000000002</v>
      </c>
      <c r="I288">
        <f t="shared" si="71"/>
        <v>27.111999999999998</v>
      </c>
      <c r="J288">
        <v>0</v>
      </c>
      <c r="M288">
        <f t="shared" si="72"/>
        <v>2.64E-2</v>
      </c>
      <c r="S288">
        <f t="shared" si="73"/>
        <v>1</v>
      </c>
      <c r="T288">
        <f t="shared" si="74"/>
        <v>0</v>
      </c>
      <c r="U288">
        <f t="shared" si="75"/>
        <v>0</v>
      </c>
      <c r="V288">
        <f t="shared" si="76"/>
        <v>0</v>
      </c>
      <c r="W288">
        <f t="shared" si="77"/>
        <v>0</v>
      </c>
      <c r="X288">
        <f t="shared" si="78"/>
        <v>0</v>
      </c>
      <c r="Y288">
        <f t="shared" si="79"/>
        <v>0</v>
      </c>
    </row>
    <row r="289" spans="1:25" hidden="1">
      <c r="A289" t="str">
        <f t="shared" si="80"/>
        <v>Lee 1977</v>
      </c>
      <c r="C289">
        <v>2737.2</v>
      </c>
      <c r="E289">
        <v>2.6630000000000001E-2</v>
      </c>
      <c r="H289">
        <f t="shared" si="70"/>
        <v>323.10000000000002</v>
      </c>
      <c r="I289">
        <f t="shared" si="71"/>
        <v>27.372</v>
      </c>
      <c r="J289">
        <v>0</v>
      </c>
      <c r="M289">
        <f t="shared" si="72"/>
        <v>2.6630000000000001E-2</v>
      </c>
      <c r="S289">
        <f t="shared" si="73"/>
        <v>1</v>
      </c>
      <c r="T289">
        <f t="shared" si="74"/>
        <v>0</v>
      </c>
      <c r="U289">
        <f t="shared" si="75"/>
        <v>0</v>
      </c>
      <c r="V289">
        <f t="shared" si="76"/>
        <v>0</v>
      </c>
      <c r="W289">
        <f t="shared" si="77"/>
        <v>0</v>
      </c>
      <c r="X289">
        <f t="shared" si="78"/>
        <v>0</v>
      </c>
      <c r="Y289">
        <f t="shared" si="79"/>
        <v>0</v>
      </c>
    </row>
    <row r="290" spans="1:25" hidden="1">
      <c r="A290" t="str">
        <f t="shared" si="80"/>
        <v>Lee 1977</v>
      </c>
      <c r="C290">
        <v>2744.5</v>
      </c>
      <c r="E290">
        <v>2.743E-2</v>
      </c>
      <c r="H290">
        <f t="shared" si="70"/>
        <v>323.10000000000002</v>
      </c>
      <c r="I290">
        <f t="shared" si="71"/>
        <v>27.445</v>
      </c>
      <c r="J290">
        <v>0</v>
      </c>
      <c r="M290">
        <f t="shared" si="72"/>
        <v>2.743E-2</v>
      </c>
      <c r="S290">
        <f t="shared" si="73"/>
        <v>1</v>
      </c>
      <c r="T290">
        <f t="shared" si="74"/>
        <v>0</v>
      </c>
      <c r="U290">
        <f t="shared" si="75"/>
        <v>0</v>
      </c>
      <c r="V290">
        <f t="shared" si="76"/>
        <v>0</v>
      </c>
      <c r="W290">
        <f t="shared" si="77"/>
        <v>0</v>
      </c>
      <c r="X290">
        <f t="shared" si="78"/>
        <v>0</v>
      </c>
      <c r="Y290">
        <f t="shared" si="79"/>
        <v>0</v>
      </c>
    </row>
    <row r="291" spans="1:25" hidden="1">
      <c r="A291" t="str">
        <f t="shared" si="80"/>
        <v>Lee 1977</v>
      </c>
      <c r="C291">
        <v>2755.4</v>
      </c>
      <c r="E291">
        <v>2.7099999999999999E-2</v>
      </c>
      <c r="H291">
        <f t="shared" si="70"/>
        <v>323.10000000000002</v>
      </c>
      <c r="I291">
        <f t="shared" si="71"/>
        <v>27.554000000000002</v>
      </c>
      <c r="J291">
        <v>0</v>
      </c>
      <c r="M291">
        <f t="shared" si="72"/>
        <v>2.7099999999999999E-2</v>
      </c>
      <c r="S291">
        <f t="shared" si="73"/>
        <v>1</v>
      </c>
      <c r="T291">
        <f t="shared" si="74"/>
        <v>0</v>
      </c>
      <c r="U291">
        <f t="shared" si="75"/>
        <v>0</v>
      </c>
      <c r="V291">
        <f t="shared" si="76"/>
        <v>0</v>
      </c>
      <c r="W291">
        <f t="shared" si="77"/>
        <v>0</v>
      </c>
      <c r="X291">
        <f t="shared" si="78"/>
        <v>0</v>
      </c>
      <c r="Y291">
        <f t="shared" si="79"/>
        <v>0</v>
      </c>
    </row>
    <row r="292" spans="1:25" hidden="1">
      <c r="A292" t="str">
        <f t="shared" si="80"/>
        <v>Lee 1977</v>
      </c>
      <c r="C292">
        <v>2806.1</v>
      </c>
      <c r="E292">
        <v>2.7789999999999999E-2</v>
      </c>
      <c r="H292">
        <f t="shared" si="70"/>
        <v>323.10000000000002</v>
      </c>
      <c r="I292">
        <f t="shared" si="71"/>
        <v>28.061</v>
      </c>
      <c r="J292">
        <v>0</v>
      </c>
      <c r="M292">
        <f t="shared" si="72"/>
        <v>2.7789999999999999E-2</v>
      </c>
      <c r="S292">
        <f t="shared" si="73"/>
        <v>1</v>
      </c>
      <c r="T292">
        <f t="shared" si="74"/>
        <v>0</v>
      </c>
      <c r="U292">
        <f t="shared" si="75"/>
        <v>0</v>
      </c>
      <c r="V292">
        <f t="shared" si="76"/>
        <v>0</v>
      </c>
      <c r="W292">
        <f t="shared" si="77"/>
        <v>0</v>
      </c>
      <c r="X292">
        <f t="shared" si="78"/>
        <v>0</v>
      </c>
      <c r="Y292">
        <f t="shared" si="79"/>
        <v>0</v>
      </c>
    </row>
    <row r="293" spans="1:25" hidden="1">
      <c r="A293" t="str">
        <f t="shared" si="80"/>
        <v>Lee 1977</v>
      </c>
      <c r="C293">
        <v>2808.4</v>
      </c>
      <c r="E293">
        <v>2.742E-2</v>
      </c>
      <c r="H293">
        <f t="shared" si="70"/>
        <v>323.10000000000002</v>
      </c>
      <c r="I293">
        <f t="shared" si="71"/>
        <v>28.084</v>
      </c>
      <c r="J293">
        <v>0</v>
      </c>
      <c r="M293">
        <f t="shared" si="72"/>
        <v>2.742E-2</v>
      </c>
      <c r="S293">
        <f t="shared" si="73"/>
        <v>1</v>
      </c>
      <c r="T293">
        <f t="shared" si="74"/>
        <v>0</v>
      </c>
      <c r="U293">
        <f t="shared" si="75"/>
        <v>0</v>
      </c>
      <c r="V293">
        <f t="shared" si="76"/>
        <v>0</v>
      </c>
      <c r="W293">
        <f t="shared" si="77"/>
        <v>0</v>
      </c>
      <c r="X293">
        <f t="shared" si="78"/>
        <v>0</v>
      </c>
      <c r="Y293">
        <f t="shared" si="79"/>
        <v>0</v>
      </c>
    </row>
    <row r="294" spans="1:25" hidden="1">
      <c r="A294" t="str">
        <f t="shared" si="80"/>
        <v>Lee 1977</v>
      </c>
      <c r="C294">
        <v>2816.5</v>
      </c>
      <c r="E294">
        <v>2.7220000000000001E-2</v>
      </c>
      <c r="H294">
        <f t="shared" si="70"/>
        <v>323.10000000000002</v>
      </c>
      <c r="I294">
        <f t="shared" si="71"/>
        <v>28.164999999999999</v>
      </c>
      <c r="J294">
        <v>0</v>
      </c>
      <c r="M294">
        <f t="shared" si="72"/>
        <v>2.7220000000000001E-2</v>
      </c>
      <c r="S294">
        <f t="shared" si="73"/>
        <v>1</v>
      </c>
      <c r="T294">
        <f t="shared" si="74"/>
        <v>0</v>
      </c>
      <c r="U294">
        <f t="shared" si="75"/>
        <v>0</v>
      </c>
      <c r="V294">
        <f t="shared" si="76"/>
        <v>0</v>
      </c>
      <c r="W294">
        <f t="shared" si="77"/>
        <v>0</v>
      </c>
      <c r="X294">
        <f t="shared" si="78"/>
        <v>0</v>
      </c>
      <c r="Y294">
        <f t="shared" si="79"/>
        <v>0</v>
      </c>
    </row>
    <row r="295" spans="1:25" hidden="1">
      <c r="A295" t="str">
        <f t="shared" si="80"/>
        <v>Lee 1977</v>
      </c>
      <c r="C295">
        <v>2893.7</v>
      </c>
      <c r="E295">
        <v>2.8219999999999999E-2</v>
      </c>
      <c r="H295">
        <f t="shared" si="70"/>
        <v>323.10000000000002</v>
      </c>
      <c r="I295">
        <f t="shared" si="71"/>
        <v>28.936999999999998</v>
      </c>
      <c r="J295">
        <v>0</v>
      </c>
      <c r="M295">
        <f t="shared" si="72"/>
        <v>2.8219999999999999E-2</v>
      </c>
      <c r="S295">
        <f t="shared" si="73"/>
        <v>1</v>
      </c>
      <c r="T295">
        <f t="shared" si="74"/>
        <v>0</v>
      </c>
      <c r="U295">
        <f t="shared" si="75"/>
        <v>0</v>
      </c>
      <c r="V295">
        <f t="shared" si="76"/>
        <v>0</v>
      </c>
      <c r="W295">
        <f t="shared" si="77"/>
        <v>0</v>
      </c>
      <c r="X295">
        <f t="shared" si="78"/>
        <v>0</v>
      </c>
      <c r="Y295">
        <f t="shared" si="79"/>
        <v>0</v>
      </c>
    </row>
    <row r="296" spans="1:25" hidden="1">
      <c r="A296" t="str">
        <f t="shared" si="80"/>
        <v>Lee 1977</v>
      </c>
      <c r="C296">
        <v>240.6</v>
      </c>
      <c r="E296">
        <v>2.1099999999999999E-3</v>
      </c>
      <c r="H296">
        <v>333.2</v>
      </c>
      <c r="I296">
        <f t="shared" si="71"/>
        <v>2.4060000000000001</v>
      </c>
      <c r="J296">
        <v>0</v>
      </c>
      <c r="M296">
        <f t="shared" si="72"/>
        <v>2.1099999999999999E-3</v>
      </c>
      <c r="S296">
        <f t="shared" si="73"/>
        <v>1</v>
      </c>
      <c r="T296">
        <f t="shared" si="74"/>
        <v>0</v>
      </c>
      <c r="U296">
        <f t="shared" si="75"/>
        <v>0</v>
      </c>
      <c r="V296">
        <f t="shared" si="76"/>
        <v>0</v>
      </c>
      <c r="W296">
        <f t="shared" si="77"/>
        <v>0</v>
      </c>
      <c r="X296">
        <f t="shared" si="78"/>
        <v>0</v>
      </c>
      <c r="Y296">
        <f t="shared" si="79"/>
        <v>0</v>
      </c>
    </row>
    <row r="297" spans="1:25" hidden="1">
      <c r="A297" t="str">
        <f t="shared" si="80"/>
        <v>Lee 1977</v>
      </c>
      <c r="C297">
        <v>406.1</v>
      </c>
      <c r="E297">
        <v>3.65E-3</v>
      </c>
      <c r="H297">
        <f t="shared" ref="H297:H341" si="81">H296</f>
        <v>333.2</v>
      </c>
      <c r="I297">
        <f t="shared" si="71"/>
        <v>4.0609999999999999</v>
      </c>
      <c r="J297">
        <v>0</v>
      </c>
      <c r="M297">
        <f t="shared" si="72"/>
        <v>3.65E-3</v>
      </c>
      <c r="S297">
        <f t="shared" si="73"/>
        <v>1</v>
      </c>
      <c r="T297">
        <f t="shared" si="74"/>
        <v>0</v>
      </c>
      <c r="U297">
        <f t="shared" si="75"/>
        <v>0</v>
      </c>
      <c r="V297">
        <f t="shared" si="76"/>
        <v>0</v>
      </c>
      <c r="W297">
        <f t="shared" si="77"/>
        <v>0</v>
      </c>
      <c r="X297">
        <f t="shared" si="78"/>
        <v>0</v>
      </c>
      <c r="Y297">
        <f t="shared" si="79"/>
        <v>0</v>
      </c>
    </row>
    <row r="298" spans="1:25" hidden="1">
      <c r="A298" t="str">
        <f t="shared" si="80"/>
        <v>Lee 1977</v>
      </c>
      <c r="C298">
        <v>575</v>
      </c>
      <c r="E298">
        <v>5.3E-3</v>
      </c>
      <c r="H298">
        <f t="shared" si="81"/>
        <v>333.2</v>
      </c>
      <c r="I298">
        <f t="shared" si="71"/>
        <v>5.75</v>
      </c>
      <c r="J298">
        <v>0</v>
      </c>
      <c r="M298">
        <f t="shared" si="72"/>
        <v>5.3E-3</v>
      </c>
      <c r="S298">
        <f t="shared" si="73"/>
        <v>1</v>
      </c>
      <c r="T298">
        <f t="shared" si="74"/>
        <v>0</v>
      </c>
      <c r="U298">
        <f t="shared" si="75"/>
        <v>0</v>
      </c>
      <c r="V298">
        <f t="shared" si="76"/>
        <v>0</v>
      </c>
      <c r="W298">
        <f t="shared" si="77"/>
        <v>0</v>
      </c>
      <c r="X298">
        <f t="shared" si="78"/>
        <v>0</v>
      </c>
      <c r="Y298">
        <f t="shared" si="79"/>
        <v>0</v>
      </c>
    </row>
    <row r="299" spans="1:25" hidden="1">
      <c r="A299" t="str">
        <f t="shared" si="80"/>
        <v>Lee 1977</v>
      </c>
      <c r="C299">
        <v>836.9</v>
      </c>
      <c r="E299">
        <v>7.6899999999999998E-3</v>
      </c>
      <c r="H299">
        <f t="shared" si="81"/>
        <v>333.2</v>
      </c>
      <c r="I299">
        <f t="shared" si="71"/>
        <v>8.3689999999999998</v>
      </c>
      <c r="J299">
        <v>0</v>
      </c>
      <c r="M299">
        <f t="shared" si="72"/>
        <v>7.6899999999999998E-3</v>
      </c>
      <c r="S299">
        <f t="shared" si="73"/>
        <v>1</v>
      </c>
      <c r="T299">
        <f t="shared" si="74"/>
        <v>0</v>
      </c>
      <c r="U299">
        <f t="shared" si="75"/>
        <v>0</v>
      </c>
      <c r="V299">
        <f t="shared" si="76"/>
        <v>0</v>
      </c>
      <c r="W299">
        <f t="shared" si="77"/>
        <v>0</v>
      </c>
      <c r="X299">
        <f t="shared" si="78"/>
        <v>0</v>
      </c>
      <c r="Y299">
        <f t="shared" si="79"/>
        <v>0</v>
      </c>
    </row>
    <row r="300" spans="1:25" hidden="1">
      <c r="A300" t="str">
        <f t="shared" si="80"/>
        <v>Lee 1977</v>
      </c>
      <c r="C300">
        <v>1195.4000000000001</v>
      </c>
      <c r="E300">
        <v>1.0999999999999999E-2</v>
      </c>
      <c r="H300">
        <f t="shared" si="81"/>
        <v>333.2</v>
      </c>
      <c r="I300">
        <f t="shared" si="71"/>
        <v>11.954000000000001</v>
      </c>
      <c r="J300">
        <v>0</v>
      </c>
      <c r="M300">
        <f t="shared" si="72"/>
        <v>1.0999999999999999E-2</v>
      </c>
      <c r="S300">
        <f t="shared" si="73"/>
        <v>1</v>
      </c>
      <c r="T300">
        <f t="shared" si="74"/>
        <v>0</v>
      </c>
      <c r="U300">
        <f t="shared" si="75"/>
        <v>0</v>
      </c>
      <c r="V300">
        <f t="shared" si="76"/>
        <v>0</v>
      </c>
      <c r="W300">
        <f t="shared" si="77"/>
        <v>0</v>
      </c>
      <c r="X300">
        <f t="shared" si="78"/>
        <v>0</v>
      </c>
      <c r="Y300">
        <f t="shared" si="79"/>
        <v>0</v>
      </c>
    </row>
    <row r="301" spans="1:25" hidden="1">
      <c r="A301" t="str">
        <f t="shared" si="80"/>
        <v>Lee 1977</v>
      </c>
      <c r="C301">
        <v>1541.7</v>
      </c>
      <c r="E301">
        <v>1.4250000000000001E-2</v>
      </c>
      <c r="H301">
        <f t="shared" si="81"/>
        <v>333.2</v>
      </c>
      <c r="I301">
        <f t="shared" si="71"/>
        <v>15.417</v>
      </c>
      <c r="J301">
        <v>0</v>
      </c>
      <c r="M301">
        <f t="shared" si="72"/>
        <v>1.4250000000000001E-2</v>
      </c>
      <c r="S301">
        <f t="shared" si="73"/>
        <v>1</v>
      </c>
      <c r="T301">
        <f t="shared" si="74"/>
        <v>0</v>
      </c>
      <c r="U301">
        <f t="shared" si="75"/>
        <v>0</v>
      </c>
      <c r="V301">
        <f t="shared" si="76"/>
        <v>0</v>
      </c>
      <c r="W301">
        <f t="shared" si="77"/>
        <v>0</v>
      </c>
      <c r="X301">
        <f t="shared" si="78"/>
        <v>0</v>
      </c>
      <c r="Y301">
        <f t="shared" si="79"/>
        <v>0</v>
      </c>
    </row>
    <row r="302" spans="1:25" hidden="1">
      <c r="A302" t="str">
        <f t="shared" si="80"/>
        <v>Lee 1977</v>
      </c>
      <c r="C302">
        <v>1650.4</v>
      </c>
      <c r="E302">
        <v>1.546E-2</v>
      </c>
      <c r="H302">
        <f t="shared" si="81"/>
        <v>333.2</v>
      </c>
      <c r="I302">
        <f t="shared" si="71"/>
        <v>16.504000000000001</v>
      </c>
      <c r="J302">
        <v>0</v>
      </c>
      <c r="M302">
        <f t="shared" si="72"/>
        <v>1.546E-2</v>
      </c>
      <c r="S302">
        <f t="shared" si="73"/>
        <v>1</v>
      </c>
      <c r="T302">
        <f t="shared" si="74"/>
        <v>0</v>
      </c>
      <c r="U302">
        <f t="shared" si="75"/>
        <v>0</v>
      </c>
      <c r="V302">
        <f t="shared" si="76"/>
        <v>0</v>
      </c>
      <c r="W302">
        <f t="shared" si="77"/>
        <v>0</v>
      </c>
      <c r="X302">
        <f t="shared" si="78"/>
        <v>0</v>
      </c>
      <c r="Y302">
        <f t="shared" si="79"/>
        <v>0</v>
      </c>
    </row>
    <row r="303" spans="1:25" hidden="1">
      <c r="A303" t="str">
        <f t="shared" si="80"/>
        <v>Lee 1977</v>
      </c>
      <c r="C303">
        <v>1762.3</v>
      </c>
      <c r="E303">
        <v>1.626E-2</v>
      </c>
      <c r="H303">
        <f t="shared" si="81"/>
        <v>333.2</v>
      </c>
      <c r="I303">
        <f t="shared" si="71"/>
        <v>17.623000000000001</v>
      </c>
      <c r="J303">
        <v>0</v>
      </c>
      <c r="M303">
        <f t="shared" si="72"/>
        <v>1.626E-2</v>
      </c>
      <c r="S303">
        <f t="shared" si="73"/>
        <v>1</v>
      </c>
      <c r="T303">
        <f t="shared" si="74"/>
        <v>0</v>
      </c>
      <c r="U303">
        <f t="shared" si="75"/>
        <v>0</v>
      </c>
      <c r="V303">
        <f t="shared" si="76"/>
        <v>0</v>
      </c>
      <c r="W303">
        <f t="shared" si="77"/>
        <v>0</v>
      </c>
      <c r="X303">
        <f t="shared" si="78"/>
        <v>0</v>
      </c>
      <c r="Y303">
        <f t="shared" si="79"/>
        <v>0</v>
      </c>
    </row>
    <row r="304" spans="1:25" hidden="1">
      <c r="A304" t="str">
        <f t="shared" si="80"/>
        <v>Lee 1977</v>
      </c>
      <c r="C304">
        <v>1914</v>
      </c>
      <c r="E304">
        <v>1.779E-2</v>
      </c>
      <c r="H304">
        <f t="shared" si="81"/>
        <v>333.2</v>
      </c>
      <c r="I304">
        <f t="shared" si="71"/>
        <v>19.14</v>
      </c>
      <c r="J304">
        <v>0</v>
      </c>
      <c r="M304">
        <f t="shared" si="72"/>
        <v>1.779E-2</v>
      </c>
      <c r="S304">
        <f t="shared" si="73"/>
        <v>1</v>
      </c>
      <c r="T304">
        <f t="shared" si="74"/>
        <v>0</v>
      </c>
      <c r="U304">
        <f t="shared" si="75"/>
        <v>0</v>
      </c>
      <c r="V304">
        <f t="shared" si="76"/>
        <v>0</v>
      </c>
      <c r="W304">
        <f t="shared" si="77"/>
        <v>0</v>
      </c>
      <c r="X304">
        <f t="shared" si="78"/>
        <v>0</v>
      </c>
      <c r="Y304">
        <f t="shared" si="79"/>
        <v>0</v>
      </c>
    </row>
    <row r="305" spans="1:25" hidden="1">
      <c r="A305" t="str">
        <f t="shared" si="80"/>
        <v>Lee 1977</v>
      </c>
      <c r="C305">
        <v>2015.6</v>
      </c>
      <c r="E305">
        <v>1.8579999999999999E-2</v>
      </c>
      <c r="H305">
        <f t="shared" si="81"/>
        <v>333.2</v>
      </c>
      <c r="I305">
        <f t="shared" si="71"/>
        <v>20.155999999999999</v>
      </c>
      <c r="J305">
        <v>0</v>
      </c>
      <c r="M305">
        <f t="shared" si="72"/>
        <v>1.8579999999999999E-2</v>
      </c>
      <c r="S305">
        <f t="shared" si="73"/>
        <v>1</v>
      </c>
      <c r="T305">
        <f t="shared" si="74"/>
        <v>0</v>
      </c>
      <c r="U305">
        <f t="shared" si="75"/>
        <v>0</v>
      </c>
      <c r="V305">
        <f t="shared" si="76"/>
        <v>0</v>
      </c>
      <c r="W305">
        <f t="shared" si="77"/>
        <v>0</v>
      </c>
      <c r="X305">
        <f t="shared" si="78"/>
        <v>0</v>
      </c>
      <c r="Y305">
        <f t="shared" si="79"/>
        <v>0</v>
      </c>
    </row>
    <row r="306" spans="1:25" hidden="1">
      <c r="A306" t="str">
        <f t="shared" si="80"/>
        <v>Lee 1977</v>
      </c>
      <c r="C306">
        <v>2077.6</v>
      </c>
      <c r="E306">
        <v>1.9130000000000001E-2</v>
      </c>
      <c r="H306">
        <f t="shared" si="81"/>
        <v>333.2</v>
      </c>
      <c r="I306">
        <f t="shared" si="71"/>
        <v>20.776</v>
      </c>
      <c r="J306">
        <v>0</v>
      </c>
      <c r="M306">
        <f t="shared" si="72"/>
        <v>1.9130000000000001E-2</v>
      </c>
      <c r="S306">
        <f t="shared" si="73"/>
        <v>1</v>
      </c>
      <c r="T306">
        <f t="shared" si="74"/>
        <v>0</v>
      </c>
      <c r="U306">
        <f t="shared" si="75"/>
        <v>0</v>
      </c>
      <c r="V306">
        <f t="shared" si="76"/>
        <v>0</v>
      </c>
      <c r="W306">
        <f t="shared" si="77"/>
        <v>0</v>
      </c>
      <c r="X306">
        <f t="shared" si="78"/>
        <v>0</v>
      </c>
      <c r="Y306">
        <f t="shared" si="79"/>
        <v>0</v>
      </c>
    </row>
    <row r="307" spans="1:25" hidden="1">
      <c r="A307" t="str">
        <f t="shared" si="80"/>
        <v>Lee 1977</v>
      </c>
      <c r="C307">
        <v>2105.1999999999998</v>
      </c>
      <c r="E307">
        <v>1.951E-2</v>
      </c>
      <c r="H307">
        <f t="shared" si="81"/>
        <v>333.2</v>
      </c>
      <c r="I307">
        <f t="shared" si="71"/>
        <v>21.052</v>
      </c>
      <c r="J307">
        <v>0</v>
      </c>
      <c r="M307">
        <f t="shared" si="72"/>
        <v>1.951E-2</v>
      </c>
      <c r="S307">
        <f t="shared" si="73"/>
        <v>1</v>
      </c>
      <c r="T307">
        <f t="shared" si="74"/>
        <v>0</v>
      </c>
      <c r="U307">
        <f t="shared" si="75"/>
        <v>0</v>
      </c>
      <c r="V307">
        <f t="shared" si="76"/>
        <v>0</v>
      </c>
      <c r="W307">
        <f t="shared" si="77"/>
        <v>0</v>
      </c>
      <c r="X307">
        <f t="shared" si="78"/>
        <v>0</v>
      </c>
      <c r="Y307">
        <f t="shared" si="79"/>
        <v>0</v>
      </c>
    </row>
    <row r="308" spans="1:25" hidden="1">
      <c r="A308" t="str">
        <f t="shared" si="80"/>
        <v>Lee 1977</v>
      </c>
      <c r="C308">
        <v>2148.4</v>
      </c>
      <c r="E308">
        <v>1.967E-2</v>
      </c>
      <c r="H308">
        <f t="shared" si="81"/>
        <v>333.2</v>
      </c>
      <c r="I308">
        <f t="shared" si="71"/>
        <v>21.484000000000002</v>
      </c>
      <c r="J308">
        <v>0</v>
      </c>
      <c r="M308">
        <f t="shared" si="72"/>
        <v>1.967E-2</v>
      </c>
      <c r="S308">
        <f t="shared" si="73"/>
        <v>1</v>
      </c>
      <c r="T308">
        <f t="shared" si="74"/>
        <v>0</v>
      </c>
      <c r="U308">
        <f t="shared" si="75"/>
        <v>0</v>
      </c>
      <c r="V308">
        <f t="shared" si="76"/>
        <v>0</v>
      </c>
      <c r="W308">
        <f t="shared" si="77"/>
        <v>0</v>
      </c>
      <c r="X308">
        <f t="shared" si="78"/>
        <v>0</v>
      </c>
      <c r="Y308">
        <f t="shared" si="79"/>
        <v>0</v>
      </c>
    </row>
    <row r="309" spans="1:25" hidden="1">
      <c r="A309" t="str">
        <f t="shared" si="80"/>
        <v>Lee 1977</v>
      </c>
      <c r="C309">
        <v>2284.5</v>
      </c>
      <c r="E309">
        <v>2.1180000000000001E-2</v>
      </c>
      <c r="H309">
        <f t="shared" si="81"/>
        <v>333.2</v>
      </c>
      <c r="I309">
        <f t="shared" si="71"/>
        <v>22.844999999999999</v>
      </c>
      <c r="J309">
        <v>0</v>
      </c>
      <c r="M309">
        <f t="shared" si="72"/>
        <v>2.1180000000000001E-2</v>
      </c>
      <c r="S309">
        <f t="shared" si="73"/>
        <v>1</v>
      </c>
      <c r="T309">
        <f t="shared" si="74"/>
        <v>0</v>
      </c>
      <c r="U309">
        <f t="shared" si="75"/>
        <v>0</v>
      </c>
      <c r="V309">
        <f t="shared" si="76"/>
        <v>0</v>
      </c>
      <c r="W309">
        <f t="shared" si="77"/>
        <v>0</v>
      </c>
      <c r="X309">
        <f t="shared" si="78"/>
        <v>0</v>
      </c>
      <c r="Y309">
        <f t="shared" si="79"/>
        <v>0</v>
      </c>
    </row>
    <row r="310" spans="1:25" hidden="1">
      <c r="A310" t="str">
        <f t="shared" si="80"/>
        <v>Lee 1977</v>
      </c>
      <c r="C310">
        <v>2325.8000000000002</v>
      </c>
      <c r="E310">
        <v>2.1409999999999998E-2</v>
      </c>
      <c r="H310">
        <f t="shared" si="81"/>
        <v>333.2</v>
      </c>
      <c r="I310">
        <f t="shared" si="71"/>
        <v>23.258000000000003</v>
      </c>
      <c r="J310">
        <v>0</v>
      </c>
      <c r="M310">
        <f t="shared" si="72"/>
        <v>2.1409999999999998E-2</v>
      </c>
      <c r="S310">
        <f t="shared" si="73"/>
        <v>1</v>
      </c>
      <c r="T310">
        <f t="shared" si="74"/>
        <v>0</v>
      </c>
      <c r="U310">
        <f t="shared" si="75"/>
        <v>0</v>
      </c>
      <c r="V310">
        <f t="shared" si="76"/>
        <v>0</v>
      </c>
      <c r="W310">
        <f t="shared" si="77"/>
        <v>0</v>
      </c>
      <c r="X310">
        <f t="shared" si="78"/>
        <v>0</v>
      </c>
      <c r="Y310">
        <f t="shared" si="79"/>
        <v>0</v>
      </c>
    </row>
    <row r="311" spans="1:25" hidden="1">
      <c r="A311" t="str">
        <f t="shared" si="80"/>
        <v>Lee 1977</v>
      </c>
      <c r="C311">
        <v>2346.5</v>
      </c>
      <c r="E311">
        <v>2.1680000000000001E-2</v>
      </c>
      <c r="H311">
        <f t="shared" si="81"/>
        <v>333.2</v>
      </c>
      <c r="I311">
        <f t="shared" si="71"/>
        <v>23.465</v>
      </c>
      <c r="J311">
        <v>0</v>
      </c>
      <c r="M311">
        <f t="shared" si="72"/>
        <v>2.1680000000000001E-2</v>
      </c>
      <c r="S311">
        <f t="shared" si="73"/>
        <v>1</v>
      </c>
      <c r="T311">
        <f t="shared" si="74"/>
        <v>0</v>
      </c>
      <c r="U311">
        <f t="shared" si="75"/>
        <v>0</v>
      </c>
      <c r="V311">
        <f t="shared" si="76"/>
        <v>0</v>
      </c>
      <c r="W311">
        <f t="shared" si="77"/>
        <v>0</v>
      </c>
      <c r="X311">
        <f t="shared" si="78"/>
        <v>0</v>
      </c>
      <c r="Y311">
        <f t="shared" si="79"/>
        <v>0</v>
      </c>
    </row>
    <row r="312" spans="1:25" hidden="1">
      <c r="A312" t="str">
        <f t="shared" si="80"/>
        <v>Lee 1977</v>
      </c>
      <c r="C312">
        <v>2348.4</v>
      </c>
      <c r="E312">
        <v>2.1270000000000001E-2</v>
      </c>
      <c r="H312">
        <f t="shared" si="81"/>
        <v>333.2</v>
      </c>
      <c r="I312">
        <f t="shared" si="71"/>
        <v>23.484000000000002</v>
      </c>
      <c r="J312">
        <v>0</v>
      </c>
      <c r="M312">
        <f t="shared" si="72"/>
        <v>2.1270000000000001E-2</v>
      </c>
      <c r="S312">
        <f t="shared" si="73"/>
        <v>1</v>
      </c>
      <c r="T312">
        <f t="shared" si="74"/>
        <v>0</v>
      </c>
      <c r="U312">
        <f t="shared" si="75"/>
        <v>0</v>
      </c>
      <c r="V312">
        <f t="shared" si="76"/>
        <v>0</v>
      </c>
      <c r="W312">
        <f t="shared" si="77"/>
        <v>0</v>
      </c>
      <c r="X312">
        <f t="shared" si="78"/>
        <v>0</v>
      </c>
      <c r="Y312">
        <f t="shared" si="79"/>
        <v>0</v>
      </c>
    </row>
    <row r="313" spans="1:25" hidden="1">
      <c r="A313" t="str">
        <f t="shared" si="80"/>
        <v>Lee 1977</v>
      </c>
      <c r="C313">
        <v>2444</v>
      </c>
      <c r="E313">
        <v>2.2210000000000001E-2</v>
      </c>
      <c r="H313">
        <f t="shared" si="81"/>
        <v>333.2</v>
      </c>
      <c r="I313">
        <f t="shared" si="71"/>
        <v>24.44</v>
      </c>
      <c r="J313">
        <v>0</v>
      </c>
      <c r="M313">
        <f t="shared" si="72"/>
        <v>2.2210000000000001E-2</v>
      </c>
      <c r="S313">
        <f t="shared" si="73"/>
        <v>1</v>
      </c>
      <c r="T313">
        <f t="shared" si="74"/>
        <v>0</v>
      </c>
      <c r="U313">
        <f t="shared" si="75"/>
        <v>0</v>
      </c>
      <c r="V313">
        <f t="shared" si="76"/>
        <v>0</v>
      </c>
      <c r="W313">
        <f t="shared" si="77"/>
        <v>0</v>
      </c>
      <c r="X313">
        <f t="shared" si="78"/>
        <v>0</v>
      </c>
      <c r="Y313">
        <f t="shared" si="79"/>
        <v>0</v>
      </c>
    </row>
    <row r="314" spans="1:25" hidden="1">
      <c r="A314" t="str">
        <f t="shared" si="80"/>
        <v>Lee 1977</v>
      </c>
      <c r="C314">
        <v>2546.5</v>
      </c>
      <c r="E314">
        <v>2.3220000000000001E-2</v>
      </c>
      <c r="H314">
        <f t="shared" si="81"/>
        <v>333.2</v>
      </c>
      <c r="I314">
        <f t="shared" si="71"/>
        <v>25.465</v>
      </c>
      <c r="J314">
        <v>0</v>
      </c>
      <c r="M314">
        <f t="shared" si="72"/>
        <v>2.3220000000000001E-2</v>
      </c>
      <c r="S314">
        <f t="shared" si="73"/>
        <v>1</v>
      </c>
      <c r="T314">
        <f t="shared" si="74"/>
        <v>0</v>
      </c>
      <c r="U314">
        <f t="shared" si="75"/>
        <v>0</v>
      </c>
      <c r="V314">
        <f t="shared" si="76"/>
        <v>0</v>
      </c>
      <c r="W314">
        <f t="shared" si="77"/>
        <v>0</v>
      </c>
      <c r="X314">
        <f t="shared" si="78"/>
        <v>0</v>
      </c>
      <c r="Y314">
        <f t="shared" si="79"/>
        <v>0</v>
      </c>
    </row>
    <row r="315" spans="1:25" hidden="1">
      <c r="A315" t="str">
        <f t="shared" si="80"/>
        <v>Lee 1977</v>
      </c>
      <c r="C315">
        <v>2554.3000000000002</v>
      </c>
      <c r="E315">
        <v>2.3040000000000001E-2</v>
      </c>
      <c r="H315">
        <f t="shared" si="81"/>
        <v>333.2</v>
      </c>
      <c r="I315">
        <f t="shared" si="71"/>
        <v>25.543000000000003</v>
      </c>
      <c r="J315">
        <v>0</v>
      </c>
      <c r="M315">
        <f t="shared" si="72"/>
        <v>2.3040000000000001E-2</v>
      </c>
      <c r="S315">
        <f t="shared" si="73"/>
        <v>1</v>
      </c>
      <c r="T315">
        <f t="shared" si="74"/>
        <v>0</v>
      </c>
      <c r="U315">
        <f t="shared" si="75"/>
        <v>0</v>
      </c>
      <c r="V315">
        <f t="shared" si="76"/>
        <v>0</v>
      </c>
      <c r="W315">
        <f t="shared" si="77"/>
        <v>0</v>
      </c>
      <c r="X315">
        <f t="shared" si="78"/>
        <v>0</v>
      </c>
      <c r="Y315">
        <f t="shared" si="79"/>
        <v>0</v>
      </c>
    </row>
    <row r="316" spans="1:25" hidden="1">
      <c r="A316" t="str">
        <f t="shared" si="80"/>
        <v>Lee 1977</v>
      </c>
      <c r="C316">
        <v>2560.3000000000002</v>
      </c>
      <c r="E316">
        <v>2.2919999999999999E-2</v>
      </c>
      <c r="H316">
        <f t="shared" si="81"/>
        <v>333.2</v>
      </c>
      <c r="I316">
        <f t="shared" si="71"/>
        <v>25.603000000000002</v>
      </c>
      <c r="J316">
        <v>0</v>
      </c>
      <c r="M316">
        <f t="shared" si="72"/>
        <v>2.2919999999999999E-2</v>
      </c>
      <c r="S316">
        <f t="shared" si="73"/>
        <v>1</v>
      </c>
      <c r="T316">
        <f t="shared" si="74"/>
        <v>0</v>
      </c>
      <c r="U316">
        <f t="shared" si="75"/>
        <v>0</v>
      </c>
      <c r="V316">
        <f t="shared" si="76"/>
        <v>0</v>
      </c>
      <c r="W316">
        <f t="shared" si="77"/>
        <v>0</v>
      </c>
      <c r="X316">
        <f t="shared" si="78"/>
        <v>0</v>
      </c>
      <c r="Y316">
        <f t="shared" si="79"/>
        <v>0</v>
      </c>
    </row>
    <row r="317" spans="1:25" hidden="1">
      <c r="A317" t="str">
        <f t="shared" si="80"/>
        <v>Lee 1977</v>
      </c>
      <c r="C317">
        <v>2567.4</v>
      </c>
      <c r="E317">
        <v>2.333E-2</v>
      </c>
      <c r="H317">
        <f t="shared" si="81"/>
        <v>333.2</v>
      </c>
      <c r="I317">
        <f t="shared" si="71"/>
        <v>25.673999999999999</v>
      </c>
      <c r="J317">
        <v>0</v>
      </c>
      <c r="M317">
        <f t="shared" si="72"/>
        <v>2.333E-2</v>
      </c>
      <c r="S317">
        <f t="shared" si="73"/>
        <v>1</v>
      </c>
      <c r="T317">
        <f t="shared" si="74"/>
        <v>0</v>
      </c>
      <c r="U317">
        <f t="shared" si="75"/>
        <v>0</v>
      </c>
      <c r="V317">
        <f t="shared" si="76"/>
        <v>0</v>
      </c>
      <c r="W317">
        <f t="shared" si="77"/>
        <v>0</v>
      </c>
      <c r="X317">
        <f t="shared" si="78"/>
        <v>0</v>
      </c>
      <c r="Y317">
        <f t="shared" si="79"/>
        <v>0</v>
      </c>
    </row>
    <row r="318" spans="1:25" hidden="1">
      <c r="A318" t="str">
        <f t="shared" si="80"/>
        <v>Lee 1977</v>
      </c>
      <c r="C318">
        <v>2569</v>
      </c>
      <c r="E318">
        <v>2.3279999999999999E-2</v>
      </c>
      <c r="H318">
        <f t="shared" si="81"/>
        <v>333.2</v>
      </c>
      <c r="I318">
        <f t="shared" si="71"/>
        <v>25.69</v>
      </c>
      <c r="J318">
        <v>0</v>
      </c>
      <c r="M318">
        <f t="shared" si="72"/>
        <v>2.3279999999999999E-2</v>
      </c>
      <c r="S318">
        <f t="shared" si="73"/>
        <v>1</v>
      </c>
      <c r="T318">
        <f t="shared" si="74"/>
        <v>0</v>
      </c>
      <c r="U318">
        <f t="shared" si="75"/>
        <v>0</v>
      </c>
      <c r="V318">
        <f t="shared" si="76"/>
        <v>0</v>
      </c>
      <c r="W318">
        <f t="shared" si="77"/>
        <v>0</v>
      </c>
      <c r="X318">
        <f t="shared" si="78"/>
        <v>0</v>
      </c>
      <c r="Y318">
        <f t="shared" si="79"/>
        <v>0</v>
      </c>
    </row>
    <row r="319" spans="1:25" hidden="1">
      <c r="A319" t="str">
        <f t="shared" si="80"/>
        <v>Lee 1977</v>
      </c>
      <c r="C319">
        <v>2679.6</v>
      </c>
      <c r="E319">
        <v>2.436E-2</v>
      </c>
      <c r="H319">
        <f t="shared" si="81"/>
        <v>333.2</v>
      </c>
      <c r="I319">
        <f t="shared" si="71"/>
        <v>26.795999999999999</v>
      </c>
      <c r="J319">
        <v>0</v>
      </c>
      <c r="M319">
        <f t="shared" si="72"/>
        <v>2.436E-2</v>
      </c>
      <c r="S319">
        <f t="shared" si="73"/>
        <v>1</v>
      </c>
      <c r="T319">
        <f t="shared" si="74"/>
        <v>0</v>
      </c>
      <c r="U319">
        <f t="shared" si="75"/>
        <v>0</v>
      </c>
      <c r="V319">
        <f t="shared" si="76"/>
        <v>0</v>
      </c>
      <c r="W319">
        <f t="shared" si="77"/>
        <v>0</v>
      </c>
      <c r="X319">
        <f t="shared" si="78"/>
        <v>0</v>
      </c>
      <c r="Y319">
        <f t="shared" si="79"/>
        <v>0</v>
      </c>
    </row>
    <row r="320" spans="1:25" hidden="1">
      <c r="A320" t="str">
        <f t="shared" si="80"/>
        <v>Lee 1977</v>
      </c>
      <c r="C320">
        <v>2692</v>
      </c>
      <c r="E320">
        <v>2.4539999999999999E-2</v>
      </c>
      <c r="H320">
        <f t="shared" si="81"/>
        <v>333.2</v>
      </c>
      <c r="I320">
        <f t="shared" si="71"/>
        <v>26.92</v>
      </c>
      <c r="J320">
        <v>0</v>
      </c>
      <c r="M320">
        <f t="shared" si="72"/>
        <v>2.4539999999999999E-2</v>
      </c>
      <c r="S320">
        <f t="shared" si="73"/>
        <v>1</v>
      </c>
      <c r="T320">
        <f t="shared" si="74"/>
        <v>0</v>
      </c>
      <c r="U320">
        <f t="shared" si="75"/>
        <v>0</v>
      </c>
      <c r="V320">
        <f t="shared" si="76"/>
        <v>0</v>
      </c>
      <c r="W320">
        <f t="shared" si="77"/>
        <v>0</v>
      </c>
      <c r="X320">
        <f t="shared" si="78"/>
        <v>0</v>
      </c>
      <c r="Y320">
        <f t="shared" si="79"/>
        <v>0</v>
      </c>
    </row>
    <row r="321" spans="1:25" hidden="1">
      <c r="A321" t="str">
        <f t="shared" si="80"/>
        <v>Lee 1977</v>
      </c>
      <c r="C321">
        <v>2693.1</v>
      </c>
      <c r="E321">
        <v>2.4379999999999999E-2</v>
      </c>
      <c r="H321">
        <f t="shared" si="81"/>
        <v>333.2</v>
      </c>
      <c r="I321">
        <f t="shared" si="71"/>
        <v>26.930999999999997</v>
      </c>
      <c r="J321">
        <v>0</v>
      </c>
      <c r="M321">
        <f t="shared" si="72"/>
        <v>2.4379999999999999E-2</v>
      </c>
      <c r="S321">
        <f t="shared" si="73"/>
        <v>1</v>
      </c>
      <c r="T321">
        <f t="shared" si="74"/>
        <v>0</v>
      </c>
      <c r="U321">
        <f t="shared" si="75"/>
        <v>0</v>
      </c>
      <c r="V321">
        <f t="shared" si="76"/>
        <v>0</v>
      </c>
      <c r="W321">
        <f t="shared" si="77"/>
        <v>0</v>
      </c>
      <c r="X321">
        <f t="shared" si="78"/>
        <v>0</v>
      </c>
      <c r="Y321">
        <f t="shared" si="79"/>
        <v>0</v>
      </c>
    </row>
    <row r="322" spans="1:25" hidden="1">
      <c r="A322" t="str">
        <f t="shared" si="80"/>
        <v>Lee 1977</v>
      </c>
      <c r="C322">
        <v>2843.2</v>
      </c>
      <c r="E322">
        <v>2.562E-2</v>
      </c>
      <c r="H322">
        <f t="shared" si="81"/>
        <v>333.2</v>
      </c>
      <c r="I322">
        <f t="shared" si="71"/>
        <v>28.431999999999999</v>
      </c>
      <c r="J322">
        <v>0</v>
      </c>
      <c r="M322">
        <f t="shared" si="72"/>
        <v>2.562E-2</v>
      </c>
      <c r="S322">
        <f t="shared" si="73"/>
        <v>1</v>
      </c>
      <c r="T322">
        <f t="shared" si="74"/>
        <v>0</v>
      </c>
      <c r="U322">
        <f t="shared" si="75"/>
        <v>0</v>
      </c>
      <c r="V322">
        <f t="shared" si="76"/>
        <v>0</v>
      </c>
      <c r="W322">
        <f t="shared" si="77"/>
        <v>0</v>
      </c>
      <c r="X322">
        <f t="shared" si="78"/>
        <v>0</v>
      </c>
      <c r="Y322">
        <f t="shared" si="79"/>
        <v>0</v>
      </c>
    </row>
    <row r="323" spans="1:25" hidden="1">
      <c r="A323" t="str">
        <f t="shared" si="80"/>
        <v>Lee 1977</v>
      </c>
      <c r="C323">
        <v>2871.3</v>
      </c>
      <c r="E323">
        <v>2.615E-2</v>
      </c>
      <c r="H323">
        <f t="shared" si="81"/>
        <v>333.2</v>
      </c>
      <c r="I323">
        <f t="shared" si="71"/>
        <v>28.713000000000001</v>
      </c>
      <c r="J323">
        <v>0</v>
      </c>
      <c r="M323">
        <f t="shared" si="72"/>
        <v>2.615E-2</v>
      </c>
      <c r="S323">
        <f t="shared" si="73"/>
        <v>1</v>
      </c>
      <c r="T323">
        <f t="shared" si="74"/>
        <v>0</v>
      </c>
      <c r="U323">
        <f t="shared" si="75"/>
        <v>0</v>
      </c>
      <c r="V323">
        <f t="shared" si="76"/>
        <v>0</v>
      </c>
      <c r="W323">
        <f t="shared" si="77"/>
        <v>0</v>
      </c>
      <c r="X323">
        <f t="shared" si="78"/>
        <v>0</v>
      </c>
      <c r="Y323">
        <f t="shared" si="79"/>
        <v>0</v>
      </c>
    </row>
    <row r="324" spans="1:25" hidden="1">
      <c r="A324" t="str">
        <f t="shared" si="80"/>
        <v>Lee 1977</v>
      </c>
      <c r="C324">
        <v>3038.1</v>
      </c>
      <c r="E324">
        <v>2.717E-2</v>
      </c>
      <c r="H324">
        <f t="shared" si="81"/>
        <v>333.2</v>
      </c>
      <c r="I324">
        <f t="shared" si="71"/>
        <v>30.381</v>
      </c>
      <c r="J324">
        <v>0</v>
      </c>
      <c r="M324">
        <f t="shared" si="72"/>
        <v>2.717E-2</v>
      </c>
      <c r="S324">
        <f t="shared" si="73"/>
        <v>1</v>
      </c>
      <c r="T324">
        <f t="shared" si="74"/>
        <v>0</v>
      </c>
      <c r="U324">
        <f t="shared" si="75"/>
        <v>0</v>
      </c>
      <c r="V324">
        <f t="shared" si="76"/>
        <v>0</v>
      </c>
      <c r="W324">
        <f t="shared" si="77"/>
        <v>0</v>
      </c>
      <c r="X324">
        <f t="shared" si="78"/>
        <v>0</v>
      </c>
      <c r="Y324">
        <f t="shared" si="79"/>
        <v>0</v>
      </c>
    </row>
    <row r="325" spans="1:25" hidden="1">
      <c r="A325" t="str">
        <f t="shared" si="80"/>
        <v>Lee 1977</v>
      </c>
      <c r="C325">
        <v>3098.6</v>
      </c>
      <c r="E325">
        <v>2.7650000000000001E-2</v>
      </c>
      <c r="H325">
        <f t="shared" si="81"/>
        <v>333.2</v>
      </c>
      <c r="I325">
        <f t="shared" si="71"/>
        <v>30.986000000000001</v>
      </c>
      <c r="J325">
        <v>0</v>
      </c>
      <c r="M325">
        <f t="shared" si="72"/>
        <v>2.7650000000000001E-2</v>
      </c>
      <c r="S325">
        <f t="shared" si="73"/>
        <v>1</v>
      </c>
      <c r="T325">
        <f t="shared" si="74"/>
        <v>0</v>
      </c>
      <c r="U325">
        <f t="shared" si="75"/>
        <v>0</v>
      </c>
      <c r="V325">
        <f t="shared" si="76"/>
        <v>0</v>
      </c>
      <c r="W325">
        <f t="shared" si="77"/>
        <v>0</v>
      </c>
      <c r="X325">
        <f t="shared" si="78"/>
        <v>0</v>
      </c>
      <c r="Y325">
        <f t="shared" si="79"/>
        <v>0</v>
      </c>
    </row>
    <row r="326" spans="1:25" hidden="1">
      <c r="A326" t="str">
        <f t="shared" si="80"/>
        <v>Lee 1977</v>
      </c>
      <c r="C326">
        <v>3174.7</v>
      </c>
      <c r="E326">
        <v>2.8209999999999999E-2</v>
      </c>
      <c r="H326">
        <f t="shared" si="81"/>
        <v>333.2</v>
      </c>
      <c r="I326">
        <f t="shared" si="71"/>
        <v>31.747</v>
      </c>
      <c r="J326">
        <v>0</v>
      </c>
      <c r="M326">
        <f t="shared" si="72"/>
        <v>2.8209999999999999E-2</v>
      </c>
      <c r="S326">
        <f t="shared" si="73"/>
        <v>1</v>
      </c>
      <c r="T326">
        <f t="shared" si="74"/>
        <v>0</v>
      </c>
      <c r="U326">
        <f t="shared" si="75"/>
        <v>0</v>
      </c>
      <c r="V326">
        <f t="shared" si="76"/>
        <v>0</v>
      </c>
      <c r="W326">
        <f t="shared" si="77"/>
        <v>0</v>
      </c>
      <c r="X326">
        <f t="shared" si="78"/>
        <v>0</v>
      </c>
      <c r="Y326">
        <f t="shared" si="79"/>
        <v>0</v>
      </c>
    </row>
    <row r="327" spans="1:25" hidden="1">
      <c r="A327" t="str">
        <f t="shared" si="80"/>
        <v>Lee 1977</v>
      </c>
      <c r="C327">
        <v>3210.5</v>
      </c>
      <c r="E327">
        <v>2.8629999999999999E-2</v>
      </c>
      <c r="H327">
        <f t="shared" si="81"/>
        <v>333.2</v>
      </c>
      <c r="I327">
        <f t="shared" si="71"/>
        <v>32.104999999999997</v>
      </c>
      <c r="J327">
        <v>0</v>
      </c>
      <c r="M327">
        <f t="shared" si="72"/>
        <v>2.8629999999999999E-2</v>
      </c>
      <c r="S327">
        <f t="shared" si="73"/>
        <v>1</v>
      </c>
      <c r="T327">
        <f t="shared" si="74"/>
        <v>0</v>
      </c>
      <c r="U327">
        <f t="shared" si="75"/>
        <v>0</v>
      </c>
      <c r="V327">
        <f t="shared" si="76"/>
        <v>0</v>
      </c>
      <c r="W327">
        <f t="shared" si="77"/>
        <v>0</v>
      </c>
      <c r="X327">
        <f t="shared" si="78"/>
        <v>0</v>
      </c>
      <c r="Y327">
        <f t="shared" si="79"/>
        <v>0</v>
      </c>
    </row>
    <row r="328" spans="1:25" hidden="1">
      <c r="A328" t="str">
        <f t="shared" si="80"/>
        <v>Lee 1977</v>
      </c>
      <c r="C328">
        <v>3250</v>
      </c>
      <c r="E328">
        <v>2.9219999999999999E-2</v>
      </c>
      <c r="H328">
        <f t="shared" si="81"/>
        <v>333.2</v>
      </c>
      <c r="I328">
        <f t="shared" si="71"/>
        <v>32.5</v>
      </c>
      <c r="J328">
        <v>0</v>
      </c>
      <c r="M328">
        <f t="shared" si="72"/>
        <v>2.9219999999999999E-2</v>
      </c>
      <c r="S328">
        <f t="shared" si="73"/>
        <v>1</v>
      </c>
      <c r="T328">
        <f t="shared" si="74"/>
        <v>0</v>
      </c>
      <c r="U328">
        <f t="shared" si="75"/>
        <v>0</v>
      </c>
      <c r="V328">
        <f t="shared" si="76"/>
        <v>0</v>
      </c>
      <c r="W328">
        <f t="shared" si="77"/>
        <v>0</v>
      </c>
      <c r="X328">
        <f t="shared" si="78"/>
        <v>0</v>
      </c>
      <c r="Y328">
        <f t="shared" si="79"/>
        <v>0</v>
      </c>
    </row>
    <row r="329" spans="1:25" hidden="1">
      <c r="A329" t="str">
        <f t="shared" si="80"/>
        <v>Lee 1977</v>
      </c>
      <c r="C329">
        <v>3257.1</v>
      </c>
      <c r="E329">
        <v>2.8850000000000001E-2</v>
      </c>
      <c r="H329">
        <f t="shared" si="81"/>
        <v>333.2</v>
      </c>
      <c r="I329">
        <f t="shared" si="71"/>
        <v>32.570999999999998</v>
      </c>
      <c r="J329">
        <v>0</v>
      </c>
      <c r="M329">
        <f t="shared" si="72"/>
        <v>2.8850000000000001E-2</v>
      </c>
      <c r="S329">
        <f t="shared" si="73"/>
        <v>1</v>
      </c>
      <c r="T329">
        <f t="shared" si="74"/>
        <v>0</v>
      </c>
      <c r="U329">
        <f t="shared" si="75"/>
        <v>0</v>
      </c>
      <c r="V329">
        <f t="shared" si="76"/>
        <v>0</v>
      </c>
      <c r="W329">
        <f t="shared" si="77"/>
        <v>0</v>
      </c>
      <c r="X329">
        <f t="shared" si="78"/>
        <v>0</v>
      </c>
      <c r="Y329">
        <f t="shared" si="79"/>
        <v>0</v>
      </c>
    </row>
    <row r="330" spans="1:25" hidden="1">
      <c r="A330" t="str">
        <f t="shared" si="80"/>
        <v>Lee 1977</v>
      </c>
      <c r="C330">
        <v>3326.1</v>
      </c>
      <c r="E330">
        <v>2.9739999999999999E-2</v>
      </c>
      <c r="H330">
        <f t="shared" si="81"/>
        <v>333.2</v>
      </c>
      <c r="I330">
        <f t="shared" si="71"/>
        <v>33.260999999999996</v>
      </c>
      <c r="J330">
        <v>0</v>
      </c>
      <c r="M330">
        <f t="shared" si="72"/>
        <v>2.9739999999999999E-2</v>
      </c>
      <c r="S330">
        <f t="shared" si="73"/>
        <v>1</v>
      </c>
      <c r="T330">
        <f t="shared" si="74"/>
        <v>0</v>
      </c>
      <c r="U330">
        <f t="shared" si="75"/>
        <v>0</v>
      </c>
      <c r="V330">
        <f t="shared" si="76"/>
        <v>0</v>
      </c>
      <c r="W330">
        <f t="shared" si="77"/>
        <v>0</v>
      </c>
      <c r="X330">
        <f t="shared" si="78"/>
        <v>0</v>
      </c>
      <c r="Y330">
        <f t="shared" si="79"/>
        <v>0</v>
      </c>
    </row>
    <row r="331" spans="1:25" hidden="1">
      <c r="A331" t="str">
        <f t="shared" si="80"/>
        <v>Lee 1977</v>
      </c>
      <c r="C331">
        <v>3415.7</v>
      </c>
      <c r="E331">
        <v>3.0460000000000001E-2</v>
      </c>
      <c r="H331">
        <f t="shared" si="81"/>
        <v>333.2</v>
      </c>
      <c r="I331">
        <f t="shared" si="71"/>
        <v>34.156999999999996</v>
      </c>
      <c r="J331">
        <v>0</v>
      </c>
      <c r="M331">
        <f t="shared" si="72"/>
        <v>3.0460000000000001E-2</v>
      </c>
      <c r="S331">
        <f t="shared" si="73"/>
        <v>1</v>
      </c>
      <c r="T331">
        <f t="shared" si="74"/>
        <v>0</v>
      </c>
      <c r="U331">
        <f t="shared" si="75"/>
        <v>0</v>
      </c>
      <c r="V331">
        <f t="shared" si="76"/>
        <v>0</v>
      </c>
      <c r="W331">
        <f t="shared" si="77"/>
        <v>0</v>
      </c>
      <c r="X331">
        <f t="shared" si="78"/>
        <v>0</v>
      </c>
      <c r="Y331">
        <f t="shared" si="79"/>
        <v>0</v>
      </c>
    </row>
    <row r="332" spans="1:25" hidden="1">
      <c r="A332" t="str">
        <f t="shared" si="80"/>
        <v>Lee 1977</v>
      </c>
      <c r="C332">
        <v>3457.1</v>
      </c>
      <c r="E332">
        <v>3.0519999999999999E-2</v>
      </c>
      <c r="H332">
        <f t="shared" si="81"/>
        <v>333.2</v>
      </c>
      <c r="I332">
        <f t="shared" si="71"/>
        <v>34.570999999999998</v>
      </c>
      <c r="J332">
        <v>0</v>
      </c>
      <c r="M332">
        <f t="shared" si="72"/>
        <v>3.0519999999999999E-2</v>
      </c>
      <c r="S332">
        <f t="shared" si="73"/>
        <v>1</v>
      </c>
      <c r="T332">
        <f t="shared" si="74"/>
        <v>0</v>
      </c>
      <c r="U332">
        <f t="shared" si="75"/>
        <v>0</v>
      </c>
      <c r="V332">
        <f t="shared" si="76"/>
        <v>0</v>
      </c>
      <c r="W332">
        <f t="shared" si="77"/>
        <v>0</v>
      </c>
      <c r="X332">
        <f t="shared" si="78"/>
        <v>0</v>
      </c>
      <c r="Y332">
        <f t="shared" si="79"/>
        <v>0</v>
      </c>
    </row>
    <row r="333" spans="1:25" hidden="1">
      <c r="A333" t="str">
        <f t="shared" si="80"/>
        <v>Lee 1977</v>
      </c>
      <c r="C333">
        <v>3498.7</v>
      </c>
      <c r="E333">
        <v>3.1019999999999999E-2</v>
      </c>
      <c r="H333">
        <f t="shared" si="81"/>
        <v>333.2</v>
      </c>
      <c r="I333">
        <f t="shared" si="71"/>
        <v>34.986999999999995</v>
      </c>
      <c r="J333">
        <v>0</v>
      </c>
      <c r="M333">
        <f t="shared" si="72"/>
        <v>3.1019999999999999E-2</v>
      </c>
      <c r="S333">
        <f t="shared" si="73"/>
        <v>1</v>
      </c>
      <c r="T333">
        <f t="shared" si="74"/>
        <v>0</v>
      </c>
      <c r="U333">
        <f t="shared" si="75"/>
        <v>0</v>
      </c>
      <c r="V333">
        <f t="shared" si="76"/>
        <v>0</v>
      </c>
      <c r="W333">
        <f t="shared" si="77"/>
        <v>0</v>
      </c>
      <c r="X333">
        <f t="shared" si="78"/>
        <v>0</v>
      </c>
      <c r="Y333">
        <f t="shared" si="79"/>
        <v>0</v>
      </c>
    </row>
    <row r="334" spans="1:25" hidden="1">
      <c r="A334" t="str">
        <f t="shared" si="80"/>
        <v>Lee 1977</v>
      </c>
      <c r="C334">
        <v>3961.9</v>
      </c>
      <c r="E334">
        <v>3.4020000000000002E-2</v>
      </c>
      <c r="H334">
        <f t="shared" si="81"/>
        <v>333.2</v>
      </c>
      <c r="I334">
        <f t="shared" si="71"/>
        <v>39.619</v>
      </c>
      <c r="J334">
        <v>0</v>
      </c>
      <c r="M334">
        <f t="shared" si="72"/>
        <v>3.4020000000000002E-2</v>
      </c>
      <c r="S334">
        <f t="shared" si="73"/>
        <v>1</v>
      </c>
      <c r="T334">
        <f t="shared" si="74"/>
        <v>0</v>
      </c>
      <c r="U334">
        <f t="shared" si="75"/>
        <v>0</v>
      </c>
      <c r="V334">
        <f t="shared" si="76"/>
        <v>0</v>
      </c>
      <c r="W334">
        <f t="shared" si="77"/>
        <v>0</v>
      </c>
      <c r="X334">
        <f t="shared" si="78"/>
        <v>0</v>
      </c>
      <c r="Y334">
        <f t="shared" si="79"/>
        <v>0</v>
      </c>
    </row>
    <row r="335" spans="1:25" hidden="1">
      <c r="A335" t="str">
        <f t="shared" si="80"/>
        <v>Lee 1977</v>
      </c>
      <c r="C335">
        <v>4003.6</v>
      </c>
      <c r="E335">
        <v>3.4250000000000003E-2</v>
      </c>
      <c r="H335">
        <f t="shared" si="81"/>
        <v>333.2</v>
      </c>
      <c r="I335">
        <f t="shared" si="71"/>
        <v>40.036000000000001</v>
      </c>
      <c r="J335">
        <v>0</v>
      </c>
      <c r="M335">
        <f t="shared" si="72"/>
        <v>3.4250000000000003E-2</v>
      </c>
      <c r="S335">
        <f t="shared" si="73"/>
        <v>1</v>
      </c>
      <c r="T335">
        <f t="shared" si="74"/>
        <v>0</v>
      </c>
      <c r="U335">
        <f t="shared" si="75"/>
        <v>0</v>
      </c>
      <c r="V335">
        <f t="shared" si="76"/>
        <v>0</v>
      </c>
      <c r="W335">
        <f t="shared" si="77"/>
        <v>0</v>
      </c>
      <c r="X335">
        <f t="shared" si="78"/>
        <v>0</v>
      </c>
      <c r="Y335">
        <f t="shared" si="79"/>
        <v>0</v>
      </c>
    </row>
    <row r="336" spans="1:25" hidden="1">
      <c r="A336" t="str">
        <f t="shared" si="80"/>
        <v>Lee 1977</v>
      </c>
      <c r="C336">
        <v>4111.8</v>
      </c>
      <c r="E336">
        <v>3.4869999999999998E-2</v>
      </c>
      <c r="H336">
        <f t="shared" si="81"/>
        <v>333.2</v>
      </c>
      <c r="I336">
        <f t="shared" si="71"/>
        <v>41.118000000000002</v>
      </c>
      <c r="J336">
        <v>0</v>
      </c>
      <c r="M336">
        <f t="shared" si="72"/>
        <v>3.4869999999999998E-2</v>
      </c>
      <c r="S336">
        <f t="shared" si="73"/>
        <v>1</v>
      </c>
      <c r="T336">
        <f t="shared" si="74"/>
        <v>0</v>
      </c>
      <c r="U336">
        <f t="shared" si="75"/>
        <v>0</v>
      </c>
      <c r="V336">
        <f t="shared" si="76"/>
        <v>0</v>
      </c>
      <c r="W336">
        <f t="shared" si="77"/>
        <v>0</v>
      </c>
      <c r="X336">
        <f t="shared" si="78"/>
        <v>0</v>
      </c>
      <c r="Y336">
        <f t="shared" si="79"/>
        <v>0</v>
      </c>
    </row>
    <row r="337" spans="1:25" hidden="1">
      <c r="A337" t="str">
        <f t="shared" si="80"/>
        <v>Lee 1977</v>
      </c>
      <c r="C337">
        <v>4160.6000000000004</v>
      </c>
      <c r="E337">
        <v>3.4970000000000001E-2</v>
      </c>
      <c r="H337">
        <f t="shared" si="81"/>
        <v>333.2</v>
      </c>
      <c r="I337">
        <f t="shared" si="71"/>
        <v>41.606000000000002</v>
      </c>
      <c r="J337">
        <v>0</v>
      </c>
      <c r="M337">
        <f t="shared" si="72"/>
        <v>3.4970000000000001E-2</v>
      </c>
      <c r="S337">
        <f t="shared" si="73"/>
        <v>1</v>
      </c>
      <c r="T337">
        <f t="shared" si="74"/>
        <v>0</v>
      </c>
      <c r="U337">
        <f t="shared" si="75"/>
        <v>0</v>
      </c>
      <c r="V337">
        <f t="shared" si="76"/>
        <v>0</v>
      </c>
      <c r="W337">
        <f t="shared" si="77"/>
        <v>0</v>
      </c>
      <c r="X337">
        <f t="shared" si="78"/>
        <v>0</v>
      </c>
      <c r="Y337">
        <f t="shared" si="79"/>
        <v>0</v>
      </c>
    </row>
    <row r="338" spans="1:25" hidden="1">
      <c r="A338" t="str">
        <f t="shared" si="80"/>
        <v>Lee 1977</v>
      </c>
      <c r="C338">
        <v>4160.7</v>
      </c>
      <c r="E338">
        <v>3.5159999999999997E-2</v>
      </c>
      <c r="H338">
        <f t="shared" si="81"/>
        <v>333.2</v>
      </c>
      <c r="I338">
        <f t="shared" si="71"/>
        <v>41.606999999999999</v>
      </c>
      <c r="J338">
        <v>0</v>
      </c>
      <c r="M338">
        <f t="shared" si="72"/>
        <v>3.5159999999999997E-2</v>
      </c>
      <c r="S338">
        <f t="shared" si="73"/>
        <v>1</v>
      </c>
      <c r="T338">
        <f t="shared" si="74"/>
        <v>0</v>
      </c>
      <c r="U338">
        <f t="shared" si="75"/>
        <v>0</v>
      </c>
      <c r="V338">
        <f t="shared" si="76"/>
        <v>0</v>
      </c>
      <c r="W338">
        <f t="shared" si="77"/>
        <v>0</v>
      </c>
      <c r="X338">
        <f t="shared" si="78"/>
        <v>0</v>
      </c>
      <c r="Y338">
        <f t="shared" si="79"/>
        <v>0</v>
      </c>
    </row>
    <row r="339" spans="1:25" hidden="1">
      <c r="A339" t="str">
        <f t="shared" si="80"/>
        <v>Lee 1977</v>
      </c>
      <c r="C339">
        <v>4217.2</v>
      </c>
      <c r="E339">
        <v>3.5569999999999997E-2</v>
      </c>
      <c r="H339">
        <f t="shared" si="81"/>
        <v>333.2</v>
      </c>
      <c r="I339">
        <f t="shared" si="71"/>
        <v>42.171999999999997</v>
      </c>
      <c r="J339">
        <v>0</v>
      </c>
      <c r="M339">
        <f t="shared" si="72"/>
        <v>3.5569999999999997E-2</v>
      </c>
      <c r="S339">
        <f t="shared" si="73"/>
        <v>1</v>
      </c>
      <c r="T339">
        <f t="shared" si="74"/>
        <v>0</v>
      </c>
      <c r="U339">
        <f t="shared" si="75"/>
        <v>0</v>
      </c>
      <c r="V339">
        <f t="shared" si="76"/>
        <v>0</v>
      </c>
      <c r="W339">
        <f t="shared" si="77"/>
        <v>0</v>
      </c>
      <c r="X339">
        <f t="shared" si="78"/>
        <v>0</v>
      </c>
      <c r="Y339">
        <f t="shared" si="79"/>
        <v>0</v>
      </c>
    </row>
    <row r="340" spans="1:25" hidden="1">
      <c r="A340" t="str">
        <f t="shared" si="80"/>
        <v>Lee 1977</v>
      </c>
      <c r="C340">
        <v>4223.6000000000004</v>
      </c>
      <c r="E340">
        <v>3.5529999999999999E-2</v>
      </c>
      <c r="H340">
        <f t="shared" si="81"/>
        <v>333.2</v>
      </c>
      <c r="I340">
        <f t="shared" si="71"/>
        <v>42.236000000000004</v>
      </c>
      <c r="J340">
        <v>0</v>
      </c>
      <c r="M340">
        <f t="shared" si="72"/>
        <v>3.5529999999999999E-2</v>
      </c>
      <c r="S340">
        <f t="shared" si="73"/>
        <v>1</v>
      </c>
      <c r="T340">
        <f t="shared" si="74"/>
        <v>0</v>
      </c>
      <c r="U340">
        <f t="shared" si="75"/>
        <v>0</v>
      </c>
      <c r="V340">
        <f t="shared" si="76"/>
        <v>0</v>
      </c>
      <c r="W340">
        <f t="shared" si="77"/>
        <v>0</v>
      </c>
      <c r="X340">
        <f t="shared" si="78"/>
        <v>0</v>
      </c>
      <c r="Y340">
        <f t="shared" si="79"/>
        <v>0</v>
      </c>
    </row>
    <row r="341" spans="1:25" hidden="1">
      <c r="A341" t="str">
        <f t="shared" si="80"/>
        <v>Lee 1977</v>
      </c>
      <c r="C341">
        <v>4224.1000000000004</v>
      </c>
      <c r="E341">
        <v>3.5249999999999997E-2</v>
      </c>
      <c r="H341">
        <f t="shared" si="81"/>
        <v>333.2</v>
      </c>
      <c r="I341">
        <f t="shared" si="71"/>
        <v>42.241000000000007</v>
      </c>
      <c r="J341">
        <v>0</v>
      </c>
      <c r="M341">
        <f t="shared" si="72"/>
        <v>3.5249999999999997E-2</v>
      </c>
      <c r="S341">
        <f t="shared" si="73"/>
        <v>1</v>
      </c>
      <c r="T341">
        <f t="shared" si="74"/>
        <v>0</v>
      </c>
      <c r="U341">
        <f t="shared" si="75"/>
        <v>0</v>
      </c>
      <c r="V341">
        <f t="shared" si="76"/>
        <v>0</v>
      </c>
      <c r="W341">
        <f t="shared" si="77"/>
        <v>0</v>
      </c>
      <c r="X341">
        <f t="shared" si="78"/>
        <v>0</v>
      </c>
      <c r="Y341">
        <f t="shared" si="79"/>
        <v>0</v>
      </c>
    </row>
    <row r="342" spans="1:25" hidden="1">
      <c r="A342" t="str">
        <f t="shared" si="80"/>
        <v>Lee 1977</v>
      </c>
      <c r="C342">
        <v>374.8</v>
      </c>
      <c r="E342">
        <v>2.7699999999999999E-3</v>
      </c>
      <c r="H342">
        <v>344.2</v>
      </c>
      <c r="I342">
        <f t="shared" si="71"/>
        <v>3.7480000000000002</v>
      </c>
      <c r="J342">
        <v>0</v>
      </c>
      <c r="M342">
        <f t="shared" si="72"/>
        <v>2.7699999999999999E-3</v>
      </c>
      <c r="S342">
        <f t="shared" si="73"/>
        <v>1</v>
      </c>
      <c r="T342">
        <f t="shared" si="74"/>
        <v>0</v>
      </c>
      <c r="U342">
        <f t="shared" si="75"/>
        <v>0</v>
      </c>
      <c r="V342">
        <f t="shared" si="76"/>
        <v>0</v>
      </c>
      <c r="W342">
        <f t="shared" si="77"/>
        <v>0</v>
      </c>
      <c r="X342">
        <f t="shared" si="78"/>
        <v>0</v>
      </c>
      <c r="Y342">
        <f t="shared" si="79"/>
        <v>0</v>
      </c>
    </row>
    <row r="343" spans="1:25" hidden="1">
      <c r="A343" t="str">
        <f t="shared" si="80"/>
        <v>Lee 1977</v>
      </c>
      <c r="C343">
        <v>546.29999999999995</v>
      </c>
      <c r="E343">
        <v>4.2100000000000002E-3</v>
      </c>
      <c r="H343">
        <f t="shared" ref="H343:H371" si="82">H342</f>
        <v>344.2</v>
      </c>
      <c r="I343">
        <f t="shared" si="71"/>
        <v>5.4629999999999992</v>
      </c>
      <c r="J343">
        <v>0</v>
      </c>
      <c r="M343">
        <f t="shared" si="72"/>
        <v>4.2100000000000002E-3</v>
      </c>
      <c r="S343">
        <f t="shared" si="73"/>
        <v>1</v>
      </c>
      <c r="T343">
        <f t="shared" si="74"/>
        <v>0</v>
      </c>
      <c r="U343">
        <f t="shared" si="75"/>
        <v>0</v>
      </c>
      <c r="V343">
        <f t="shared" si="76"/>
        <v>0</v>
      </c>
      <c r="W343">
        <f t="shared" si="77"/>
        <v>0</v>
      </c>
      <c r="X343">
        <f t="shared" si="78"/>
        <v>0</v>
      </c>
      <c r="Y343">
        <f t="shared" si="79"/>
        <v>0</v>
      </c>
    </row>
    <row r="344" spans="1:25" hidden="1">
      <c r="A344" t="str">
        <f t="shared" si="80"/>
        <v>Lee 1977</v>
      </c>
      <c r="C344">
        <v>760.9</v>
      </c>
      <c r="E344">
        <v>5.8300000000000001E-3</v>
      </c>
      <c r="H344">
        <f t="shared" si="82"/>
        <v>344.2</v>
      </c>
      <c r="I344">
        <f t="shared" si="71"/>
        <v>7.609</v>
      </c>
      <c r="J344">
        <v>0</v>
      </c>
      <c r="M344">
        <f t="shared" si="72"/>
        <v>5.8300000000000001E-3</v>
      </c>
      <c r="S344">
        <f t="shared" si="73"/>
        <v>1</v>
      </c>
      <c r="T344">
        <f t="shared" si="74"/>
        <v>0</v>
      </c>
      <c r="U344">
        <f t="shared" si="75"/>
        <v>0</v>
      </c>
      <c r="V344">
        <f t="shared" si="76"/>
        <v>0</v>
      </c>
      <c r="W344">
        <f t="shared" si="77"/>
        <v>0</v>
      </c>
      <c r="X344">
        <f t="shared" si="78"/>
        <v>0</v>
      </c>
      <c r="Y344">
        <f t="shared" si="79"/>
        <v>0</v>
      </c>
    </row>
    <row r="345" spans="1:25" hidden="1">
      <c r="A345" t="str">
        <f t="shared" si="80"/>
        <v>Lee 1977</v>
      </c>
      <c r="C345">
        <v>802.2</v>
      </c>
      <c r="E345">
        <v>6.2199999999999998E-3</v>
      </c>
      <c r="H345">
        <f t="shared" si="82"/>
        <v>344.2</v>
      </c>
      <c r="I345">
        <f t="shared" si="71"/>
        <v>8.0220000000000002</v>
      </c>
      <c r="J345">
        <v>0</v>
      </c>
      <c r="M345">
        <f t="shared" si="72"/>
        <v>6.2199999999999998E-3</v>
      </c>
      <c r="S345">
        <f t="shared" si="73"/>
        <v>1</v>
      </c>
      <c r="T345">
        <f t="shared" si="74"/>
        <v>0</v>
      </c>
      <c r="U345">
        <f t="shared" si="75"/>
        <v>0</v>
      </c>
      <c r="V345">
        <f t="shared" si="76"/>
        <v>0</v>
      </c>
      <c r="W345">
        <f t="shared" si="77"/>
        <v>0</v>
      </c>
      <c r="X345">
        <f t="shared" si="78"/>
        <v>0</v>
      </c>
      <c r="Y345">
        <f t="shared" si="79"/>
        <v>0</v>
      </c>
    </row>
    <row r="346" spans="1:25" hidden="1">
      <c r="A346" t="str">
        <f t="shared" si="80"/>
        <v>Lee 1977</v>
      </c>
      <c r="C346">
        <v>829</v>
      </c>
      <c r="E346">
        <v>6.4700000000000001E-3</v>
      </c>
      <c r="H346">
        <f t="shared" si="82"/>
        <v>344.2</v>
      </c>
      <c r="I346">
        <f t="shared" si="71"/>
        <v>8.2899999999999991</v>
      </c>
      <c r="J346">
        <v>0</v>
      </c>
      <c r="M346">
        <f t="shared" si="72"/>
        <v>6.4700000000000001E-3</v>
      </c>
      <c r="S346">
        <f t="shared" si="73"/>
        <v>1</v>
      </c>
      <c r="T346">
        <f t="shared" si="74"/>
        <v>0</v>
      </c>
      <c r="U346">
        <f t="shared" si="75"/>
        <v>0</v>
      </c>
      <c r="V346">
        <f t="shared" si="76"/>
        <v>0</v>
      </c>
      <c r="W346">
        <f t="shared" si="77"/>
        <v>0</v>
      </c>
      <c r="X346">
        <f t="shared" si="78"/>
        <v>0</v>
      </c>
      <c r="Y346">
        <f t="shared" si="79"/>
        <v>0</v>
      </c>
    </row>
    <row r="347" spans="1:25" hidden="1">
      <c r="A347" t="str">
        <f t="shared" si="80"/>
        <v>Lee 1977</v>
      </c>
      <c r="C347">
        <v>1022.9</v>
      </c>
      <c r="E347">
        <v>7.8300000000000002E-3</v>
      </c>
      <c r="H347">
        <f t="shared" si="82"/>
        <v>344.2</v>
      </c>
      <c r="I347">
        <f t="shared" si="71"/>
        <v>10.228999999999999</v>
      </c>
      <c r="J347">
        <v>0</v>
      </c>
      <c r="M347">
        <f t="shared" si="72"/>
        <v>7.8300000000000002E-3</v>
      </c>
      <c r="S347">
        <f t="shared" si="73"/>
        <v>1</v>
      </c>
      <c r="T347">
        <f t="shared" si="74"/>
        <v>0</v>
      </c>
      <c r="U347">
        <f t="shared" si="75"/>
        <v>0</v>
      </c>
      <c r="V347">
        <f t="shared" si="76"/>
        <v>0</v>
      </c>
      <c r="W347">
        <f t="shared" si="77"/>
        <v>0</v>
      </c>
      <c r="X347">
        <f t="shared" si="78"/>
        <v>0</v>
      </c>
      <c r="Y347">
        <f t="shared" si="79"/>
        <v>0</v>
      </c>
    </row>
    <row r="348" spans="1:25" hidden="1">
      <c r="A348" t="str">
        <f t="shared" si="80"/>
        <v>Lee 1977</v>
      </c>
      <c r="C348">
        <v>1050.5</v>
      </c>
      <c r="E348">
        <v>8.1399999999999997E-3</v>
      </c>
      <c r="H348">
        <f t="shared" si="82"/>
        <v>344.2</v>
      </c>
      <c r="I348">
        <f t="shared" si="71"/>
        <v>10.505000000000001</v>
      </c>
      <c r="J348">
        <v>0</v>
      </c>
      <c r="M348">
        <f t="shared" si="72"/>
        <v>8.1399999999999997E-3</v>
      </c>
      <c r="S348">
        <f t="shared" si="73"/>
        <v>1</v>
      </c>
      <c r="T348">
        <f t="shared" si="74"/>
        <v>0</v>
      </c>
      <c r="U348">
        <f t="shared" si="75"/>
        <v>0</v>
      </c>
      <c r="V348">
        <f t="shared" si="76"/>
        <v>0</v>
      </c>
      <c r="W348">
        <f t="shared" si="77"/>
        <v>0</v>
      </c>
      <c r="X348">
        <f t="shared" si="78"/>
        <v>0</v>
      </c>
      <c r="Y348">
        <f t="shared" si="79"/>
        <v>0</v>
      </c>
    </row>
    <row r="349" spans="1:25" hidden="1">
      <c r="A349" t="str">
        <f t="shared" si="80"/>
        <v>Lee 1977</v>
      </c>
      <c r="C349">
        <v>1132.4000000000001</v>
      </c>
      <c r="E349">
        <v>9.1400000000000006E-3</v>
      </c>
      <c r="H349">
        <f t="shared" si="82"/>
        <v>344.2</v>
      </c>
      <c r="I349">
        <f t="shared" si="71"/>
        <v>11.324000000000002</v>
      </c>
      <c r="J349">
        <v>0</v>
      </c>
      <c r="M349">
        <f t="shared" si="72"/>
        <v>9.1400000000000006E-3</v>
      </c>
      <c r="S349">
        <f t="shared" si="73"/>
        <v>1</v>
      </c>
      <c r="T349">
        <f t="shared" si="74"/>
        <v>0</v>
      </c>
      <c r="U349">
        <f t="shared" si="75"/>
        <v>0</v>
      </c>
      <c r="V349">
        <f t="shared" si="76"/>
        <v>0</v>
      </c>
      <c r="W349">
        <f t="shared" si="77"/>
        <v>0</v>
      </c>
      <c r="X349">
        <f t="shared" si="78"/>
        <v>0</v>
      </c>
      <c r="Y349">
        <f t="shared" si="79"/>
        <v>0</v>
      </c>
    </row>
    <row r="350" spans="1:25" hidden="1">
      <c r="A350" t="str">
        <f t="shared" si="80"/>
        <v>Lee 1977</v>
      </c>
      <c r="C350">
        <v>1450.3</v>
      </c>
      <c r="E350">
        <v>1.1469999999999999E-2</v>
      </c>
      <c r="H350">
        <f t="shared" si="82"/>
        <v>344.2</v>
      </c>
      <c r="I350">
        <f t="shared" ref="I350:I413" si="83">C350/100</f>
        <v>14.503</v>
      </c>
      <c r="J350">
        <v>0</v>
      </c>
      <c r="M350">
        <f t="shared" ref="M350:M413" si="84">E350</f>
        <v>1.1469999999999999E-2</v>
      </c>
      <c r="S350">
        <f t="shared" ref="S350:S413" si="85">S349</f>
        <v>1</v>
      </c>
      <c r="T350">
        <f t="shared" ref="T350:T413" si="86">T349</f>
        <v>0</v>
      </c>
      <c r="U350">
        <f t="shared" ref="U350:U413" si="87">U349</f>
        <v>0</v>
      </c>
      <c r="V350">
        <f t="shared" ref="V350:V413" si="88">V349</f>
        <v>0</v>
      </c>
      <c r="W350">
        <f t="shared" ref="W350:W413" si="89">W349</f>
        <v>0</v>
      </c>
      <c r="X350">
        <f t="shared" ref="X350:X413" si="90">X349</f>
        <v>0</v>
      </c>
      <c r="Y350">
        <f t="shared" ref="Y350:Y413" si="91">Y349</f>
        <v>0</v>
      </c>
    </row>
    <row r="351" spans="1:25" hidden="1">
      <c r="A351" t="str">
        <f t="shared" ref="A351:A414" si="92">A350</f>
        <v>Lee 1977</v>
      </c>
      <c r="C351">
        <v>1492</v>
      </c>
      <c r="E351">
        <v>1.184E-2</v>
      </c>
      <c r="H351">
        <f t="shared" si="82"/>
        <v>344.2</v>
      </c>
      <c r="I351">
        <f t="shared" si="83"/>
        <v>14.92</v>
      </c>
      <c r="J351">
        <v>0</v>
      </c>
      <c r="M351">
        <f t="shared" si="84"/>
        <v>1.184E-2</v>
      </c>
      <c r="S351">
        <f t="shared" si="85"/>
        <v>1</v>
      </c>
      <c r="T351">
        <f t="shared" si="86"/>
        <v>0</v>
      </c>
      <c r="U351">
        <f t="shared" si="87"/>
        <v>0</v>
      </c>
      <c r="V351">
        <f t="shared" si="88"/>
        <v>0</v>
      </c>
      <c r="W351">
        <f t="shared" si="89"/>
        <v>0</v>
      </c>
      <c r="X351">
        <f t="shared" si="90"/>
        <v>0</v>
      </c>
      <c r="Y351">
        <f t="shared" si="91"/>
        <v>0</v>
      </c>
    </row>
    <row r="352" spans="1:25" hidden="1">
      <c r="A352" t="str">
        <f t="shared" si="92"/>
        <v>Lee 1977</v>
      </c>
      <c r="C352">
        <v>1518.5</v>
      </c>
      <c r="E352">
        <v>1.21E-2</v>
      </c>
      <c r="H352">
        <f t="shared" si="82"/>
        <v>344.2</v>
      </c>
      <c r="I352">
        <f t="shared" si="83"/>
        <v>15.185</v>
      </c>
      <c r="J352">
        <v>0</v>
      </c>
      <c r="M352">
        <f t="shared" si="84"/>
        <v>1.21E-2</v>
      </c>
      <c r="S352">
        <f t="shared" si="85"/>
        <v>1</v>
      </c>
      <c r="T352">
        <f t="shared" si="86"/>
        <v>0</v>
      </c>
      <c r="U352">
        <f t="shared" si="87"/>
        <v>0</v>
      </c>
      <c r="V352">
        <f t="shared" si="88"/>
        <v>0</v>
      </c>
      <c r="W352">
        <f t="shared" si="89"/>
        <v>0</v>
      </c>
      <c r="X352">
        <f t="shared" si="90"/>
        <v>0</v>
      </c>
      <c r="Y352">
        <f t="shared" si="91"/>
        <v>0</v>
      </c>
    </row>
    <row r="353" spans="1:25" hidden="1">
      <c r="A353" t="str">
        <f t="shared" si="92"/>
        <v>Lee 1977</v>
      </c>
      <c r="C353">
        <v>1780.5</v>
      </c>
      <c r="E353">
        <v>1.4290000000000001E-2</v>
      </c>
      <c r="H353">
        <f t="shared" si="82"/>
        <v>344.2</v>
      </c>
      <c r="I353">
        <f t="shared" si="83"/>
        <v>17.805</v>
      </c>
      <c r="J353">
        <v>0</v>
      </c>
      <c r="M353">
        <f t="shared" si="84"/>
        <v>1.4290000000000001E-2</v>
      </c>
      <c r="S353">
        <f t="shared" si="85"/>
        <v>1</v>
      </c>
      <c r="T353">
        <f t="shared" si="86"/>
        <v>0</v>
      </c>
      <c r="U353">
        <f t="shared" si="87"/>
        <v>0</v>
      </c>
      <c r="V353">
        <f t="shared" si="88"/>
        <v>0</v>
      </c>
      <c r="W353">
        <f t="shared" si="89"/>
        <v>0</v>
      </c>
      <c r="X353">
        <f t="shared" si="90"/>
        <v>0</v>
      </c>
      <c r="Y353">
        <f t="shared" si="91"/>
        <v>0</v>
      </c>
    </row>
    <row r="354" spans="1:25" hidden="1">
      <c r="A354" t="str">
        <f t="shared" si="92"/>
        <v>Lee 1977</v>
      </c>
      <c r="C354">
        <v>1905.7</v>
      </c>
      <c r="E354">
        <v>1.478E-2</v>
      </c>
      <c r="H354">
        <f t="shared" si="82"/>
        <v>344.2</v>
      </c>
      <c r="I354">
        <f t="shared" si="83"/>
        <v>19.057000000000002</v>
      </c>
      <c r="J354">
        <v>0</v>
      </c>
      <c r="M354">
        <f t="shared" si="84"/>
        <v>1.478E-2</v>
      </c>
      <c r="S354">
        <f t="shared" si="85"/>
        <v>1</v>
      </c>
      <c r="T354">
        <f t="shared" si="86"/>
        <v>0</v>
      </c>
      <c r="U354">
        <f t="shared" si="87"/>
        <v>0</v>
      </c>
      <c r="V354">
        <f t="shared" si="88"/>
        <v>0</v>
      </c>
      <c r="W354">
        <f t="shared" si="89"/>
        <v>0</v>
      </c>
      <c r="X354">
        <f t="shared" si="90"/>
        <v>0</v>
      </c>
      <c r="Y354">
        <f t="shared" si="91"/>
        <v>0</v>
      </c>
    </row>
    <row r="355" spans="1:25" hidden="1">
      <c r="A355" t="str">
        <f t="shared" si="92"/>
        <v>Lee 1977</v>
      </c>
      <c r="C355">
        <v>2181.4</v>
      </c>
      <c r="E355">
        <v>1.72E-2</v>
      </c>
      <c r="H355">
        <f t="shared" si="82"/>
        <v>344.2</v>
      </c>
      <c r="I355">
        <f t="shared" si="83"/>
        <v>21.814</v>
      </c>
      <c r="J355">
        <v>0</v>
      </c>
      <c r="M355">
        <f t="shared" si="84"/>
        <v>1.72E-2</v>
      </c>
      <c r="S355">
        <f t="shared" si="85"/>
        <v>1</v>
      </c>
      <c r="T355">
        <f t="shared" si="86"/>
        <v>0</v>
      </c>
      <c r="U355">
        <f t="shared" si="87"/>
        <v>0</v>
      </c>
      <c r="V355">
        <f t="shared" si="88"/>
        <v>0</v>
      </c>
      <c r="W355">
        <f t="shared" si="89"/>
        <v>0</v>
      </c>
      <c r="X355">
        <f t="shared" si="90"/>
        <v>0</v>
      </c>
      <c r="Y355">
        <f t="shared" si="91"/>
        <v>0</v>
      </c>
    </row>
    <row r="356" spans="1:25" hidden="1">
      <c r="A356" t="str">
        <f t="shared" si="92"/>
        <v>Lee 1977</v>
      </c>
      <c r="C356">
        <v>2214.9</v>
      </c>
      <c r="E356">
        <v>1.7350000000000001E-2</v>
      </c>
      <c r="H356">
        <f t="shared" si="82"/>
        <v>344.2</v>
      </c>
      <c r="I356">
        <f t="shared" si="83"/>
        <v>22.149000000000001</v>
      </c>
      <c r="J356">
        <v>0</v>
      </c>
      <c r="M356">
        <f t="shared" si="84"/>
        <v>1.7350000000000001E-2</v>
      </c>
      <c r="S356">
        <f t="shared" si="85"/>
        <v>1</v>
      </c>
      <c r="T356">
        <f t="shared" si="86"/>
        <v>0</v>
      </c>
      <c r="U356">
        <f t="shared" si="87"/>
        <v>0</v>
      </c>
      <c r="V356">
        <f t="shared" si="88"/>
        <v>0</v>
      </c>
      <c r="W356">
        <f t="shared" si="89"/>
        <v>0</v>
      </c>
      <c r="X356">
        <f t="shared" si="90"/>
        <v>0</v>
      </c>
      <c r="Y356">
        <f t="shared" si="91"/>
        <v>0</v>
      </c>
    </row>
    <row r="357" spans="1:25" hidden="1">
      <c r="A357" t="str">
        <f t="shared" si="92"/>
        <v>Lee 1977</v>
      </c>
      <c r="C357">
        <v>2511.3000000000002</v>
      </c>
      <c r="E357">
        <v>1.9810000000000001E-2</v>
      </c>
      <c r="H357">
        <f t="shared" si="82"/>
        <v>344.2</v>
      </c>
      <c r="I357">
        <f t="shared" si="83"/>
        <v>25.113000000000003</v>
      </c>
      <c r="J357">
        <v>0</v>
      </c>
      <c r="M357">
        <f t="shared" si="84"/>
        <v>1.9810000000000001E-2</v>
      </c>
      <c r="S357">
        <f t="shared" si="85"/>
        <v>1</v>
      </c>
      <c r="T357">
        <f t="shared" si="86"/>
        <v>0</v>
      </c>
      <c r="U357">
        <f t="shared" si="87"/>
        <v>0</v>
      </c>
      <c r="V357">
        <f t="shared" si="88"/>
        <v>0</v>
      </c>
      <c r="W357">
        <f t="shared" si="89"/>
        <v>0</v>
      </c>
      <c r="X357">
        <f t="shared" si="90"/>
        <v>0</v>
      </c>
      <c r="Y357">
        <f t="shared" si="91"/>
        <v>0</v>
      </c>
    </row>
    <row r="358" spans="1:25" hidden="1">
      <c r="A358" t="str">
        <f t="shared" si="92"/>
        <v>Lee 1977</v>
      </c>
      <c r="C358">
        <v>2636.5</v>
      </c>
      <c r="E358">
        <v>2.0119999999999999E-2</v>
      </c>
      <c r="H358">
        <f t="shared" si="82"/>
        <v>344.2</v>
      </c>
      <c r="I358">
        <f t="shared" si="83"/>
        <v>26.364999999999998</v>
      </c>
      <c r="J358">
        <v>0</v>
      </c>
      <c r="M358">
        <f t="shared" si="84"/>
        <v>2.0119999999999999E-2</v>
      </c>
      <c r="S358">
        <f t="shared" si="85"/>
        <v>1</v>
      </c>
      <c r="T358">
        <f t="shared" si="86"/>
        <v>0</v>
      </c>
      <c r="U358">
        <f t="shared" si="87"/>
        <v>0</v>
      </c>
      <c r="V358">
        <f t="shared" si="88"/>
        <v>0</v>
      </c>
      <c r="W358">
        <f t="shared" si="89"/>
        <v>0</v>
      </c>
      <c r="X358">
        <f t="shared" si="90"/>
        <v>0</v>
      </c>
      <c r="Y358">
        <f t="shared" si="91"/>
        <v>0</v>
      </c>
    </row>
    <row r="359" spans="1:25" hidden="1">
      <c r="A359" t="str">
        <f t="shared" si="92"/>
        <v>Lee 1977</v>
      </c>
      <c r="C359">
        <v>2877.5</v>
      </c>
      <c r="E359">
        <v>2.23E-2</v>
      </c>
      <c r="H359">
        <f t="shared" si="82"/>
        <v>344.2</v>
      </c>
      <c r="I359">
        <f t="shared" si="83"/>
        <v>28.774999999999999</v>
      </c>
      <c r="J359">
        <v>0</v>
      </c>
      <c r="M359">
        <f t="shared" si="84"/>
        <v>2.23E-2</v>
      </c>
      <c r="S359">
        <f t="shared" si="85"/>
        <v>1</v>
      </c>
      <c r="T359">
        <f t="shared" si="86"/>
        <v>0</v>
      </c>
      <c r="U359">
        <f t="shared" si="87"/>
        <v>0</v>
      </c>
      <c r="V359">
        <f t="shared" si="88"/>
        <v>0</v>
      </c>
      <c r="W359">
        <f t="shared" si="89"/>
        <v>0</v>
      </c>
      <c r="X359">
        <f t="shared" si="90"/>
        <v>0</v>
      </c>
      <c r="Y359">
        <f t="shared" si="91"/>
        <v>0</v>
      </c>
    </row>
    <row r="360" spans="1:25" hidden="1">
      <c r="A360" t="str">
        <f t="shared" si="92"/>
        <v>Lee 1977</v>
      </c>
      <c r="C360">
        <v>2919.2</v>
      </c>
      <c r="E360">
        <v>2.2800000000000001E-2</v>
      </c>
      <c r="H360">
        <f t="shared" si="82"/>
        <v>344.2</v>
      </c>
      <c r="I360">
        <f t="shared" si="83"/>
        <v>29.191999999999997</v>
      </c>
      <c r="J360">
        <v>0</v>
      </c>
      <c r="M360">
        <f t="shared" si="84"/>
        <v>2.2800000000000001E-2</v>
      </c>
      <c r="S360">
        <f t="shared" si="85"/>
        <v>1</v>
      </c>
      <c r="T360">
        <f t="shared" si="86"/>
        <v>0</v>
      </c>
      <c r="U360">
        <f t="shared" si="87"/>
        <v>0</v>
      </c>
      <c r="V360">
        <f t="shared" si="88"/>
        <v>0</v>
      </c>
      <c r="W360">
        <f t="shared" si="89"/>
        <v>0</v>
      </c>
      <c r="X360">
        <f t="shared" si="90"/>
        <v>0</v>
      </c>
      <c r="Y360">
        <f t="shared" si="91"/>
        <v>0</v>
      </c>
    </row>
    <row r="361" spans="1:25" hidden="1">
      <c r="A361" t="str">
        <f t="shared" si="92"/>
        <v>Lee 1977</v>
      </c>
      <c r="C361">
        <v>3091.5</v>
      </c>
      <c r="E361">
        <v>2.4060000000000002E-2</v>
      </c>
      <c r="H361">
        <f t="shared" si="82"/>
        <v>344.2</v>
      </c>
      <c r="I361">
        <f t="shared" si="83"/>
        <v>30.914999999999999</v>
      </c>
      <c r="J361">
        <v>0</v>
      </c>
      <c r="M361">
        <f t="shared" si="84"/>
        <v>2.4060000000000002E-2</v>
      </c>
      <c r="S361">
        <f t="shared" si="85"/>
        <v>1</v>
      </c>
      <c r="T361">
        <f t="shared" si="86"/>
        <v>0</v>
      </c>
      <c r="U361">
        <f t="shared" si="87"/>
        <v>0</v>
      </c>
      <c r="V361">
        <f t="shared" si="88"/>
        <v>0</v>
      </c>
      <c r="W361">
        <f t="shared" si="89"/>
        <v>0</v>
      </c>
      <c r="X361">
        <f t="shared" si="90"/>
        <v>0</v>
      </c>
      <c r="Y361">
        <f t="shared" si="91"/>
        <v>0</v>
      </c>
    </row>
    <row r="362" spans="1:25" hidden="1">
      <c r="A362" t="str">
        <f t="shared" si="92"/>
        <v>Lee 1977</v>
      </c>
      <c r="C362">
        <v>3215.4</v>
      </c>
      <c r="E362">
        <v>2.5149999999999999E-2</v>
      </c>
      <c r="H362">
        <f t="shared" si="82"/>
        <v>344.2</v>
      </c>
      <c r="I362">
        <f t="shared" si="83"/>
        <v>32.154000000000003</v>
      </c>
      <c r="J362">
        <v>0</v>
      </c>
      <c r="M362">
        <f t="shared" si="84"/>
        <v>2.5149999999999999E-2</v>
      </c>
      <c r="S362">
        <f t="shared" si="85"/>
        <v>1</v>
      </c>
      <c r="T362">
        <f t="shared" si="86"/>
        <v>0</v>
      </c>
      <c r="U362">
        <f t="shared" si="87"/>
        <v>0</v>
      </c>
      <c r="V362">
        <f t="shared" si="88"/>
        <v>0</v>
      </c>
      <c r="W362">
        <f t="shared" si="89"/>
        <v>0</v>
      </c>
      <c r="X362">
        <f t="shared" si="90"/>
        <v>0</v>
      </c>
      <c r="Y362">
        <f t="shared" si="91"/>
        <v>0</v>
      </c>
    </row>
    <row r="363" spans="1:25" hidden="1">
      <c r="A363" t="str">
        <f t="shared" si="92"/>
        <v>Lee 1977</v>
      </c>
      <c r="C363">
        <v>3381.1</v>
      </c>
      <c r="E363">
        <v>2.622E-2</v>
      </c>
      <c r="H363">
        <f t="shared" si="82"/>
        <v>344.2</v>
      </c>
      <c r="I363">
        <f t="shared" si="83"/>
        <v>33.811</v>
      </c>
      <c r="J363">
        <v>0</v>
      </c>
      <c r="M363">
        <f t="shared" si="84"/>
        <v>2.622E-2</v>
      </c>
      <c r="S363">
        <f t="shared" si="85"/>
        <v>1</v>
      </c>
      <c r="T363">
        <f t="shared" si="86"/>
        <v>0</v>
      </c>
      <c r="U363">
        <f t="shared" si="87"/>
        <v>0</v>
      </c>
      <c r="V363">
        <f t="shared" si="88"/>
        <v>0</v>
      </c>
      <c r="W363">
        <f t="shared" si="89"/>
        <v>0</v>
      </c>
      <c r="X363">
        <f t="shared" si="90"/>
        <v>0</v>
      </c>
      <c r="Y363">
        <f t="shared" si="91"/>
        <v>0</v>
      </c>
    </row>
    <row r="364" spans="1:25" hidden="1">
      <c r="A364" t="str">
        <f t="shared" si="92"/>
        <v>Lee 1977</v>
      </c>
      <c r="C364">
        <v>3546.3</v>
      </c>
      <c r="E364">
        <v>2.6460000000000001E-2</v>
      </c>
      <c r="H364">
        <f t="shared" si="82"/>
        <v>344.2</v>
      </c>
      <c r="I364">
        <f t="shared" si="83"/>
        <v>35.463000000000001</v>
      </c>
      <c r="J364">
        <v>0</v>
      </c>
      <c r="M364">
        <f t="shared" si="84"/>
        <v>2.6460000000000001E-2</v>
      </c>
      <c r="S364">
        <f t="shared" si="85"/>
        <v>1</v>
      </c>
      <c r="T364">
        <f t="shared" si="86"/>
        <v>0</v>
      </c>
      <c r="U364">
        <f t="shared" si="87"/>
        <v>0</v>
      </c>
      <c r="V364">
        <f t="shared" si="88"/>
        <v>0</v>
      </c>
      <c r="W364">
        <f t="shared" si="89"/>
        <v>0</v>
      </c>
      <c r="X364">
        <f t="shared" si="90"/>
        <v>0</v>
      </c>
      <c r="Y364">
        <f t="shared" si="91"/>
        <v>0</v>
      </c>
    </row>
    <row r="365" spans="1:25" hidden="1">
      <c r="A365" t="str">
        <f t="shared" si="92"/>
        <v>Lee 1977</v>
      </c>
      <c r="C365">
        <v>3911.7</v>
      </c>
      <c r="E365">
        <v>3.0290000000000001E-2</v>
      </c>
      <c r="H365">
        <f t="shared" si="82"/>
        <v>344.2</v>
      </c>
      <c r="I365">
        <f t="shared" si="83"/>
        <v>39.116999999999997</v>
      </c>
      <c r="J365">
        <v>0</v>
      </c>
      <c r="M365">
        <f t="shared" si="84"/>
        <v>3.0290000000000001E-2</v>
      </c>
      <c r="S365">
        <f t="shared" si="85"/>
        <v>1</v>
      </c>
      <c r="T365">
        <f t="shared" si="86"/>
        <v>0</v>
      </c>
      <c r="U365">
        <f t="shared" si="87"/>
        <v>0</v>
      </c>
      <c r="V365">
        <f t="shared" si="88"/>
        <v>0</v>
      </c>
      <c r="W365">
        <f t="shared" si="89"/>
        <v>0</v>
      </c>
      <c r="X365">
        <f t="shared" si="90"/>
        <v>0</v>
      </c>
      <c r="Y365">
        <f t="shared" si="91"/>
        <v>0</v>
      </c>
    </row>
    <row r="366" spans="1:25" hidden="1">
      <c r="A366" t="str">
        <f t="shared" si="92"/>
        <v>Lee 1977</v>
      </c>
      <c r="C366">
        <v>4194.3999999999996</v>
      </c>
      <c r="E366">
        <v>3.1960000000000002E-2</v>
      </c>
      <c r="H366">
        <f t="shared" si="82"/>
        <v>344.2</v>
      </c>
      <c r="I366">
        <f t="shared" si="83"/>
        <v>41.943999999999996</v>
      </c>
      <c r="J366">
        <v>0</v>
      </c>
      <c r="M366">
        <f t="shared" si="84"/>
        <v>3.1960000000000002E-2</v>
      </c>
      <c r="S366">
        <f t="shared" si="85"/>
        <v>1</v>
      </c>
      <c r="T366">
        <f t="shared" si="86"/>
        <v>0</v>
      </c>
      <c r="U366">
        <f t="shared" si="87"/>
        <v>0</v>
      </c>
      <c r="V366">
        <f t="shared" si="88"/>
        <v>0</v>
      </c>
      <c r="W366">
        <f t="shared" si="89"/>
        <v>0</v>
      </c>
      <c r="X366">
        <f t="shared" si="90"/>
        <v>0</v>
      </c>
      <c r="Y366">
        <f t="shared" si="91"/>
        <v>0</v>
      </c>
    </row>
    <row r="367" spans="1:25" hidden="1">
      <c r="A367" t="str">
        <f t="shared" si="92"/>
        <v>Lee 1977</v>
      </c>
      <c r="C367">
        <v>4711.5</v>
      </c>
      <c r="E367">
        <v>3.5459999999999998E-2</v>
      </c>
      <c r="H367">
        <f t="shared" si="82"/>
        <v>344.2</v>
      </c>
      <c r="I367">
        <f t="shared" si="83"/>
        <v>47.115000000000002</v>
      </c>
      <c r="J367">
        <v>0</v>
      </c>
      <c r="M367">
        <f t="shared" si="84"/>
        <v>3.5459999999999998E-2</v>
      </c>
      <c r="S367">
        <f t="shared" si="85"/>
        <v>1</v>
      </c>
      <c r="T367">
        <f t="shared" si="86"/>
        <v>0</v>
      </c>
      <c r="U367">
        <f t="shared" si="87"/>
        <v>0</v>
      </c>
      <c r="V367">
        <f t="shared" si="88"/>
        <v>0</v>
      </c>
      <c r="W367">
        <f t="shared" si="89"/>
        <v>0</v>
      </c>
      <c r="X367">
        <f t="shared" si="90"/>
        <v>0</v>
      </c>
      <c r="Y367">
        <f t="shared" si="91"/>
        <v>0</v>
      </c>
    </row>
    <row r="368" spans="1:25" hidden="1">
      <c r="A368" t="str">
        <f t="shared" si="92"/>
        <v>Lee 1977</v>
      </c>
      <c r="C368">
        <v>4757.3</v>
      </c>
      <c r="E368">
        <v>3.5180000000000003E-2</v>
      </c>
      <c r="H368">
        <f t="shared" si="82"/>
        <v>344.2</v>
      </c>
      <c r="I368">
        <f t="shared" si="83"/>
        <v>47.573</v>
      </c>
      <c r="J368">
        <v>0</v>
      </c>
      <c r="M368">
        <f t="shared" si="84"/>
        <v>3.5180000000000003E-2</v>
      </c>
      <c r="S368">
        <f t="shared" si="85"/>
        <v>1</v>
      </c>
      <c r="T368">
        <f t="shared" si="86"/>
        <v>0</v>
      </c>
      <c r="U368">
        <f t="shared" si="87"/>
        <v>0</v>
      </c>
      <c r="V368">
        <f t="shared" si="88"/>
        <v>0</v>
      </c>
      <c r="W368">
        <f t="shared" si="89"/>
        <v>0</v>
      </c>
      <c r="X368">
        <f t="shared" si="90"/>
        <v>0</v>
      </c>
      <c r="Y368">
        <f t="shared" si="91"/>
        <v>0</v>
      </c>
    </row>
    <row r="369" spans="1:25" hidden="1">
      <c r="A369" t="str">
        <f t="shared" si="92"/>
        <v>Lee 1977</v>
      </c>
      <c r="C369">
        <v>5091.7</v>
      </c>
      <c r="E369">
        <v>3.662E-2</v>
      </c>
      <c r="H369">
        <f t="shared" si="82"/>
        <v>344.2</v>
      </c>
      <c r="I369">
        <f t="shared" si="83"/>
        <v>50.917000000000002</v>
      </c>
      <c r="J369">
        <v>0</v>
      </c>
      <c r="M369">
        <f t="shared" si="84"/>
        <v>3.662E-2</v>
      </c>
      <c r="S369">
        <f t="shared" si="85"/>
        <v>1</v>
      </c>
      <c r="T369">
        <f t="shared" si="86"/>
        <v>0</v>
      </c>
      <c r="U369">
        <f t="shared" si="87"/>
        <v>0</v>
      </c>
      <c r="V369">
        <f t="shared" si="88"/>
        <v>0</v>
      </c>
      <c r="W369">
        <f t="shared" si="89"/>
        <v>0</v>
      </c>
      <c r="X369">
        <f t="shared" si="90"/>
        <v>0</v>
      </c>
      <c r="Y369">
        <f t="shared" si="91"/>
        <v>0</v>
      </c>
    </row>
    <row r="370" spans="1:25" hidden="1">
      <c r="A370" t="str">
        <f t="shared" si="92"/>
        <v>Lee 1977</v>
      </c>
      <c r="C370">
        <v>5112.3</v>
      </c>
      <c r="E370">
        <v>3.6940000000000001E-2</v>
      </c>
      <c r="H370">
        <f t="shared" si="82"/>
        <v>344.2</v>
      </c>
      <c r="I370">
        <f t="shared" si="83"/>
        <v>51.123000000000005</v>
      </c>
      <c r="J370">
        <v>0</v>
      </c>
      <c r="M370">
        <f t="shared" si="84"/>
        <v>3.6940000000000001E-2</v>
      </c>
      <c r="S370">
        <f t="shared" si="85"/>
        <v>1</v>
      </c>
      <c r="T370">
        <f t="shared" si="86"/>
        <v>0</v>
      </c>
      <c r="U370">
        <f t="shared" si="87"/>
        <v>0</v>
      </c>
      <c r="V370">
        <f t="shared" si="88"/>
        <v>0</v>
      </c>
      <c r="W370">
        <f t="shared" si="89"/>
        <v>0</v>
      </c>
      <c r="X370">
        <f t="shared" si="90"/>
        <v>0</v>
      </c>
      <c r="Y370">
        <f t="shared" si="91"/>
        <v>0</v>
      </c>
    </row>
    <row r="371" spans="1:25" hidden="1">
      <c r="A371" t="str">
        <f t="shared" si="92"/>
        <v>Lee 1977</v>
      </c>
      <c r="C371">
        <v>5126.1000000000004</v>
      </c>
      <c r="E371">
        <v>3.7150000000000002E-2</v>
      </c>
      <c r="H371">
        <f t="shared" si="82"/>
        <v>344.2</v>
      </c>
      <c r="I371">
        <f t="shared" si="83"/>
        <v>51.261000000000003</v>
      </c>
      <c r="J371">
        <v>0</v>
      </c>
      <c r="M371">
        <f t="shared" si="84"/>
        <v>3.7150000000000002E-2</v>
      </c>
      <c r="S371">
        <f t="shared" si="85"/>
        <v>1</v>
      </c>
      <c r="T371">
        <f t="shared" si="86"/>
        <v>0</v>
      </c>
      <c r="U371">
        <f t="shared" si="87"/>
        <v>0</v>
      </c>
      <c r="V371">
        <f t="shared" si="88"/>
        <v>0</v>
      </c>
      <c r="W371">
        <f t="shared" si="89"/>
        <v>0</v>
      </c>
      <c r="X371">
        <f t="shared" si="90"/>
        <v>0</v>
      </c>
      <c r="Y371">
        <f t="shared" si="91"/>
        <v>0</v>
      </c>
    </row>
    <row r="372" spans="1:25" hidden="1">
      <c r="A372" t="str">
        <f t="shared" si="92"/>
        <v>Lee 1977</v>
      </c>
      <c r="C372">
        <v>238.2</v>
      </c>
      <c r="E372">
        <v>1.2600000000000001E-3</v>
      </c>
      <c r="H372">
        <v>363.2</v>
      </c>
      <c r="I372">
        <f t="shared" si="83"/>
        <v>2.3819999999999997</v>
      </c>
      <c r="J372">
        <v>0</v>
      </c>
      <c r="M372">
        <f t="shared" si="84"/>
        <v>1.2600000000000001E-3</v>
      </c>
      <c r="S372">
        <f t="shared" si="85"/>
        <v>1</v>
      </c>
      <c r="T372">
        <f t="shared" si="86"/>
        <v>0</v>
      </c>
      <c r="U372">
        <f t="shared" si="87"/>
        <v>0</v>
      </c>
      <c r="V372">
        <f t="shared" si="88"/>
        <v>0</v>
      </c>
      <c r="W372">
        <f t="shared" si="89"/>
        <v>0</v>
      </c>
      <c r="X372">
        <f t="shared" si="90"/>
        <v>0</v>
      </c>
      <c r="Y372">
        <f t="shared" si="91"/>
        <v>0</v>
      </c>
    </row>
    <row r="373" spans="1:25" hidden="1">
      <c r="A373" t="str">
        <f t="shared" si="92"/>
        <v>Lee 1977</v>
      </c>
      <c r="C373">
        <v>514</v>
      </c>
      <c r="E373">
        <v>3.1700000000000001E-3</v>
      </c>
      <c r="H373">
        <f t="shared" ref="H373:H414" si="93">H372</f>
        <v>363.2</v>
      </c>
      <c r="I373">
        <f t="shared" si="83"/>
        <v>5.14</v>
      </c>
      <c r="J373">
        <v>0</v>
      </c>
      <c r="M373">
        <f t="shared" si="84"/>
        <v>3.1700000000000001E-3</v>
      </c>
      <c r="S373">
        <f t="shared" si="85"/>
        <v>1</v>
      </c>
      <c r="T373">
        <f t="shared" si="86"/>
        <v>0</v>
      </c>
      <c r="U373">
        <f t="shared" si="87"/>
        <v>0</v>
      </c>
      <c r="V373">
        <f t="shared" si="88"/>
        <v>0</v>
      </c>
      <c r="W373">
        <f t="shared" si="89"/>
        <v>0</v>
      </c>
      <c r="X373">
        <f t="shared" si="90"/>
        <v>0</v>
      </c>
      <c r="Y373">
        <f t="shared" si="91"/>
        <v>0</v>
      </c>
    </row>
    <row r="374" spans="1:25" hidden="1">
      <c r="A374" t="str">
        <f t="shared" si="92"/>
        <v>Lee 1977</v>
      </c>
      <c r="C374">
        <v>896.5</v>
      </c>
      <c r="E374">
        <v>5.77E-3</v>
      </c>
      <c r="H374">
        <f t="shared" si="93"/>
        <v>363.2</v>
      </c>
      <c r="I374">
        <f t="shared" si="83"/>
        <v>8.9649999999999999</v>
      </c>
      <c r="J374">
        <v>0</v>
      </c>
      <c r="M374">
        <f t="shared" si="84"/>
        <v>5.77E-3</v>
      </c>
      <c r="S374">
        <f t="shared" si="85"/>
        <v>1</v>
      </c>
      <c r="T374">
        <f t="shared" si="86"/>
        <v>0</v>
      </c>
      <c r="U374">
        <f t="shared" si="87"/>
        <v>0</v>
      </c>
      <c r="V374">
        <f t="shared" si="88"/>
        <v>0</v>
      </c>
      <c r="W374">
        <f t="shared" si="89"/>
        <v>0</v>
      </c>
      <c r="X374">
        <f t="shared" si="90"/>
        <v>0</v>
      </c>
      <c r="Y374">
        <f t="shared" si="91"/>
        <v>0</v>
      </c>
    </row>
    <row r="375" spans="1:25" hidden="1">
      <c r="A375" t="str">
        <f t="shared" si="92"/>
        <v>Lee 1977</v>
      </c>
      <c r="C375">
        <v>1217.0999999999999</v>
      </c>
      <c r="E375">
        <v>7.9299999999999995E-3</v>
      </c>
      <c r="H375">
        <f t="shared" si="93"/>
        <v>363.2</v>
      </c>
      <c r="I375">
        <f t="shared" si="83"/>
        <v>12.170999999999999</v>
      </c>
      <c r="J375">
        <v>0</v>
      </c>
      <c r="M375">
        <f t="shared" si="84"/>
        <v>7.9299999999999995E-3</v>
      </c>
      <c r="S375">
        <f t="shared" si="85"/>
        <v>1</v>
      </c>
      <c r="T375">
        <f t="shared" si="86"/>
        <v>0</v>
      </c>
      <c r="U375">
        <f t="shared" si="87"/>
        <v>0</v>
      </c>
      <c r="V375">
        <f t="shared" si="88"/>
        <v>0</v>
      </c>
      <c r="W375">
        <f t="shared" si="89"/>
        <v>0</v>
      </c>
      <c r="X375">
        <f t="shared" si="90"/>
        <v>0</v>
      </c>
      <c r="Y375">
        <f t="shared" si="91"/>
        <v>0</v>
      </c>
    </row>
    <row r="376" spans="1:25" hidden="1">
      <c r="A376" t="str">
        <f t="shared" si="92"/>
        <v>Lee 1977</v>
      </c>
      <c r="C376">
        <v>1530.8</v>
      </c>
      <c r="E376">
        <v>1.0120000000000001E-2</v>
      </c>
      <c r="H376">
        <f t="shared" si="93"/>
        <v>363.2</v>
      </c>
      <c r="I376">
        <f t="shared" si="83"/>
        <v>15.308</v>
      </c>
      <c r="J376">
        <v>0</v>
      </c>
      <c r="M376">
        <f t="shared" si="84"/>
        <v>1.0120000000000001E-2</v>
      </c>
      <c r="S376">
        <f t="shared" si="85"/>
        <v>1</v>
      </c>
      <c r="T376">
        <f t="shared" si="86"/>
        <v>0</v>
      </c>
      <c r="U376">
        <f t="shared" si="87"/>
        <v>0</v>
      </c>
      <c r="V376">
        <f t="shared" si="88"/>
        <v>0</v>
      </c>
      <c r="W376">
        <f t="shared" si="89"/>
        <v>0</v>
      </c>
      <c r="X376">
        <f t="shared" si="90"/>
        <v>0</v>
      </c>
      <c r="Y376">
        <f t="shared" si="91"/>
        <v>0</v>
      </c>
    </row>
    <row r="377" spans="1:25" hidden="1">
      <c r="A377" t="str">
        <f t="shared" si="92"/>
        <v>Lee 1977</v>
      </c>
      <c r="C377">
        <v>1834.2</v>
      </c>
      <c r="E377">
        <v>1.217E-2</v>
      </c>
      <c r="H377">
        <f t="shared" si="93"/>
        <v>363.2</v>
      </c>
      <c r="I377">
        <f t="shared" si="83"/>
        <v>18.341999999999999</v>
      </c>
      <c r="J377">
        <v>0</v>
      </c>
      <c r="M377">
        <f t="shared" si="84"/>
        <v>1.217E-2</v>
      </c>
      <c r="S377">
        <f t="shared" si="85"/>
        <v>1</v>
      </c>
      <c r="T377">
        <f t="shared" si="86"/>
        <v>0</v>
      </c>
      <c r="U377">
        <f t="shared" si="87"/>
        <v>0</v>
      </c>
      <c r="V377">
        <f t="shared" si="88"/>
        <v>0</v>
      </c>
      <c r="W377">
        <f t="shared" si="89"/>
        <v>0</v>
      </c>
      <c r="X377">
        <f t="shared" si="90"/>
        <v>0</v>
      </c>
      <c r="Y377">
        <f t="shared" si="91"/>
        <v>0</v>
      </c>
    </row>
    <row r="378" spans="1:25" hidden="1">
      <c r="A378" t="str">
        <f t="shared" si="92"/>
        <v>Lee 1977</v>
      </c>
      <c r="C378">
        <v>2120.3000000000002</v>
      </c>
      <c r="E378">
        <v>1.37E-2</v>
      </c>
      <c r="H378">
        <f t="shared" si="93"/>
        <v>363.2</v>
      </c>
      <c r="I378">
        <f t="shared" si="83"/>
        <v>21.203000000000003</v>
      </c>
      <c r="J378">
        <v>0</v>
      </c>
      <c r="M378">
        <f t="shared" si="84"/>
        <v>1.37E-2</v>
      </c>
      <c r="S378">
        <f t="shared" si="85"/>
        <v>1</v>
      </c>
      <c r="T378">
        <f t="shared" si="86"/>
        <v>0</v>
      </c>
      <c r="U378">
        <f t="shared" si="87"/>
        <v>0</v>
      </c>
      <c r="V378">
        <f t="shared" si="88"/>
        <v>0</v>
      </c>
      <c r="W378">
        <f t="shared" si="89"/>
        <v>0</v>
      </c>
      <c r="X378">
        <f t="shared" si="90"/>
        <v>0</v>
      </c>
      <c r="Y378">
        <f t="shared" si="91"/>
        <v>0</v>
      </c>
    </row>
    <row r="379" spans="1:25" hidden="1">
      <c r="A379" t="str">
        <f t="shared" si="92"/>
        <v>Lee 1977</v>
      </c>
      <c r="C379">
        <v>2341</v>
      </c>
      <c r="E379">
        <v>1.5219999999999999E-2</v>
      </c>
      <c r="H379">
        <f t="shared" si="93"/>
        <v>363.2</v>
      </c>
      <c r="I379">
        <f t="shared" si="83"/>
        <v>23.41</v>
      </c>
      <c r="J379">
        <v>0</v>
      </c>
      <c r="M379">
        <f t="shared" si="84"/>
        <v>1.5219999999999999E-2</v>
      </c>
      <c r="S379">
        <f t="shared" si="85"/>
        <v>1</v>
      </c>
      <c r="T379">
        <f t="shared" si="86"/>
        <v>0</v>
      </c>
      <c r="U379">
        <f t="shared" si="87"/>
        <v>0</v>
      </c>
      <c r="V379">
        <f t="shared" si="88"/>
        <v>0</v>
      </c>
      <c r="W379">
        <f t="shared" si="89"/>
        <v>0</v>
      </c>
      <c r="X379">
        <f t="shared" si="90"/>
        <v>0</v>
      </c>
      <c r="Y379">
        <f t="shared" si="91"/>
        <v>0</v>
      </c>
    </row>
    <row r="380" spans="1:25" hidden="1">
      <c r="A380" t="str">
        <f t="shared" si="92"/>
        <v>Lee 1977</v>
      </c>
      <c r="C380">
        <v>2616.6</v>
      </c>
      <c r="E380">
        <v>1.729E-2</v>
      </c>
      <c r="H380">
        <f t="shared" si="93"/>
        <v>363.2</v>
      </c>
      <c r="I380">
        <f t="shared" si="83"/>
        <v>26.166</v>
      </c>
      <c r="J380">
        <v>0</v>
      </c>
      <c r="M380">
        <f t="shared" si="84"/>
        <v>1.729E-2</v>
      </c>
      <c r="S380">
        <f t="shared" si="85"/>
        <v>1</v>
      </c>
      <c r="T380">
        <f t="shared" si="86"/>
        <v>0</v>
      </c>
      <c r="U380">
        <f t="shared" si="87"/>
        <v>0</v>
      </c>
      <c r="V380">
        <f t="shared" si="88"/>
        <v>0</v>
      </c>
      <c r="W380">
        <f t="shared" si="89"/>
        <v>0</v>
      </c>
      <c r="X380">
        <f t="shared" si="90"/>
        <v>0</v>
      </c>
      <c r="Y380">
        <f t="shared" si="91"/>
        <v>0</v>
      </c>
    </row>
    <row r="381" spans="1:25" hidden="1">
      <c r="A381" t="str">
        <f t="shared" si="92"/>
        <v>Lee 1977</v>
      </c>
      <c r="C381">
        <v>2733.6</v>
      </c>
      <c r="E381">
        <v>1.7860000000000001E-2</v>
      </c>
      <c r="H381">
        <f t="shared" si="93"/>
        <v>363.2</v>
      </c>
      <c r="I381">
        <f t="shared" si="83"/>
        <v>27.335999999999999</v>
      </c>
      <c r="J381">
        <v>0</v>
      </c>
      <c r="M381">
        <f t="shared" si="84"/>
        <v>1.7860000000000001E-2</v>
      </c>
      <c r="S381">
        <f t="shared" si="85"/>
        <v>1</v>
      </c>
      <c r="T381">
        <f t="shared" si="86"/>
        <v>0</v>
      </c>
      <c r="U381">
        <f t="shared" si="87"/>
        <v>0</v>
      </c>
      <c r="V381">
        <f t="shared" si="88"/>
        <v>0</v>
      </c>
      <c r="W381">
        <f t="shared" si="89"/>
        <v>0</v>
      </c>
      <c r="X381">
        <f t="shared" si="90"/>
        <v>0</v>
      </c>
      <c r="Y381">
        <f t="shared" si="91"/>
        <v>0</v>
      </c>
    </row>
    <row r="382" spans="1:25" hidden="1">
      <c r="A382" t="str">
        <f t="shared" si="92"/>
        <v>Lee 1977</v>
      </c>
      <c r="C382">
        <v>2774.9</v>
      </c>
      <c r="E382">
        <v>1.823E-2</v>
      </c>
      <c r="H382">
        <f t="shared" si="93"/>
        <v>363.2</v>
      </c>
      <c r="I382">
        <f t="shared" si="83"/>
        <v>27.749000000000002</v>
      </c>
      <c r="J382">
        <v>0</v>
      </c>
      <c r="M382">
        <f t="shared" si="84"/>
        <v>1.823E-2</v>
      </c>
      <c r="S382">
        <f t="shared" si="85"/>
        <v>1</v>
      </c>
      <c r="T382">
        <f t="shared" si="86"/>
        <v>0</v>
      </c>
      <c r="U382">
        <f t="shared" si="87"/>
        <v>0</v>
      </c>
      <c r="V382">
        <f t="shared" si="88"/>
        <v>0</v>
      </c>
      <c r="W382">
        <f t="shared" si="89"/>
        <v>0</v>
      </c>
      <c r="X382">
        <f t="shared" si="90"/>
        <v>0</v>
      </c>
      <c r="Y382">
        <f t="shared" si="91"/>
        <v>0</v>
      </c>
    </row>
    <row r="383" spans="1:25" hidden="1">
      <c r="A383" t="str">
        <f t="shared" si="92"/>
        <v>Lee 1977</v>
      </c>
      <c r="C383">
        <v>2850.8</v>
      </c>
      <c r="E383">
        <v>1.8550000000000001E-2</v>
      </c>
      <c r="H383">
        <f t="shared" si="93"/>
        <v>363.2</v>
      </c>
      <c r="I383">
        <f t="shared" si="83"/>
        <v>28.508000000000003</v>
      </c>
      <c r="J383">
        <v>0</v>
      </c>
      <c r="M383">
        <f t="shared" si="84"/>
        <v>1.8550000000000001E-2</v>
      </c>
      <c r="S383">
        <f t="shared" si="85"/>
        <v>1</v>
      </c>
      <c r="T383">
        <f t="shared" si="86"/>
        <v>0</v>
      </c>
      <c r="U383">
        <f t="shared" si="87"/>
        <v>0</v>
      </c>
      <c r="V383">
        <f t="shared" si="88"/>
        <v>0</v>
      </c>
      <c r="W383">
        <f t="shared" si="89"/>
        <v>0</v>
      </c>
      <c r="X383">
        <f t="shared" si="90"/>
        <v>0</v>
      </c>
      <c r="Y383">
        <f t="shared" si="91"/>
        <v>0</v>
      </c>
    </row>
    <row r="384" spans="1:25" hidden="1">
      <c r="A384" t="str">
        <f t="shared" si="92"/>
        <v>Lee 1977</v>
      </c>
      <c r="C384">
        <v>2988.9</v>
      </c>
      <c r="E384">
        <v>1.959E-2</v>
      </c>
      <c r="H384">
        <f t="shared" si="93"/>
        <v>363.2</v>
      </c>
      <c r="I384">
        <f t="shared" si="83"/>
        <v>29.888999999999999</v>
      </c>
      <c r="J384">
        <v>0</v>
      </c>
      <c r="M384">
        <f t="shared" si="84"/>
        <v>1.959E-2</v>
      </c>
      <c r="S384">
        <f t="shared" si="85"/>
        <v>1</v>
      </c>
      <c r="T384">
        <f t="shared" si="86"/>
        <v>0</v>
      </c>
      <c r="U384">
        <f t="shared" si="87"/>
        <v>0</v>
      </c>
      <c r="V384">
        <f t="shared" si="88"/>
        <v>0</v>
      </c>
      <c r="W384">
        <f t="shared" si="89"/>
        <v>0</v>
      </c>
      <c r="X384">
        <f t="shared" si="90"/>
        <v>0</v>
      </c>
      <c r="Y384">
        <f t="shared" si="91"/>
        <v>0</v>
      </c>
    </row>
    <row r="385" spans="1:25" hidden="1">
      <c r="A385" t="str">
        <f t="shared" si="92"/>
        <v>Lee 1977</v>
      </c>
      <c r="C385">
        <v>3216.4</v>
      </c>
      <c r="E385">
        <v>2.0920000000000001E-2</v>
      </c>
      <c r="H385">
        <f t="shared" si="93"/>
        <v>363.2</v>
      </c>
      <c r="I385">
        <f t="shared" si="83"/>
        <v>32.164000000000001</v>
      </c>
      <c r="J385">
        <v>0</v>
      </c>
      <c r="M385">
        <f t="shared" si="84"/>
        <v>2.0920000000000001E-2</v>
      </c>
      <c r="S385">
        <f t="shared" si="85"/>
        <v>1</v>
      </c>
      <c r="T385">
        <f t="shared" si="86"/>
        <v>0</v>
      </c>
      <c r="U385">
        <f t="shared" si="87"/>
        <v>0</v>
      </c>
      <c r="V385">
        <f t="shared" si="88"/>
        <v>0</v>
      </c>
      <c r="W385">
        <f t="shared" si="89"/>
        <v>0</v>
      </c>
      <c r="X385">
        <f t="shared" si="90"/>
        <v>0</v>
      </c>
      <c r="Y385">
        <f t="shared" si="91"/>
        <v>0</v>
      </c>
    </row>
    <row r="386" spans="1:25" hidden="1">
      <c r="A386" t="str">
        <f t="shared" si="92"/>
        <v>Lee 1977</v>
      </c>
      <c r="C386">
        <v>3264.4</v>
      </c>
      <c r="E386">
        <v>2.1420000000000002E-2</v>
      </c>
      <c r="H386">
        <f t="shared" si="93"/>
        <v>363.2</v>
      </c>
      <c r="I386">
        <f t="shared" si="83"/>
        <v>32.643999999999998</v>
      </c>
      <c r="J386">
        <v>0</v>
      </c>
      <c r="M386">
        <f t="shared" si="84"/>
        <v>2.1420000000000002E-2</v>
      </c>
      <c r="S386">
        <f t="shared" si="85"/>
        <v>1</v>
      </c>
      <c r="T386">
        <f t="shared" si="86"/>
        <v>0</v>
      </c>
      <c r="U386">
        <f t="shared" si="87"/>
        <v>0</v>
      </c>
      <c r="V386">
        <f t="shared" si="88"/>
        <v>0</v>
      </c>
      <c r="W386">
        <f t="shared" si="89"/>
        <v>0</v>
      </c>
      <c r="X386">
        <f t="shared" si="90"/>
        <v>0</v>
      </c>
      <c r="Y386">
        <f t="shared" si="91"/>
        <v>0</v>
      </c>
    </row>
    <row r="387" spans="1:25" hidden="1">
      <c r="A387" t="str">
        <f t="shared" si="92"/>
        <v>Lee 1977</v>
      </c>
      <c r="C387">
        <v>3436.4</v>
      </c>
      <c r="E387">
        <v>2.231E-2</v>
      </c>
      <c r="H387">
        <f t="shared" si="93"/>
        <v>363.2</v>
      </c>
      <c r="I387">
        <f t="shared" si="83"/>
        <v>34.364000000000004</v>
      </c>
      <c r="J387">
        <v>0</v>
      </c>
      <c r="M387">
        <f t="shared" si="84"/>
        <v>2.231E-2</v>
      </c>
      <c r="S387">
        <f t="shared" si="85"/>
        <v>1</v>
      </c>
      <c r="T387">
        <f t="shared" si="86"/>
        <v>0</v>
      </c>
      <c r="U387">
        <f t="shared" si="87"/>
        <v>0</v>
      </c>
      <c r="V387">
        <f t="shared" si="88"/>
        <v>0</v>
      </c>
      <c r="W387">
        <f t="shared" si="89"/>
        <v>0</v>
      </c>
      <c r="X387">
        <f t="shared" si="90"/>
        <v>0</v>
      </c>
      <c r="Y387">
        <f t="shared" si="91"/>
        <v>0</v>
      </c>
    </row>
    <row r="388" spans="1:25" hidden="1">
      <c r="A388" t="str">
        <f t="shared" si="92"/>
        <v>Lee 1977</v>
      </c>
      <c r="C388">
        <v>3532.7</v>
      </c>
      <c r="E388">
        <v>2.299E-2</v>
      </c>
      <c r="H388">
        <f t="shared" si="93"/>
        <v>363.2</v>
      </c>
      <c r="I388">
        <f t="shared" si="83"/>
        <v>35.326999999999998</v>
      </c>
      <c r="J388">
        <v>0</v>
      </c>
      <c r="M388">
        <f t="shared" si="84"/>
        <v>2.299E-2</v>
      </c>
      <c r="S388">
        <f t="shared" si="85"/>
        <v>1</v>
      </c>
      <c r="T388">
        <f t="shared" si="86"/>
        <v>0</v>
      </c>
      <c r="U388">
        <f t="shared" si="87"/>
        <v>0</v>
      </c>
      <c r="V388">
        <f t="shared" si="88"/>
        <v>0</v>
      </c>
      <c r="W388">
        <f t="shared" si="89"/>
        <v>0</v>
      </c>
      <c r="X388">
        <f t="shared" si="90"/>
        <v>0</v>
      </c>
      <c r="Y388">
        <f t="shared" si="91"/>
        <v>0</v>
      </c>
    </row>
    <row r="389" spans="1:25" hidden="1">
      <c r="A389" t="str">
        <f t="shared" si="92"/>
        <v>Lee 1977</v>
      </c>
      <c r="C389">
        <v>3533.3</v>
      </c>
      <c r="E389">
        <v>2.3E-2</v>
      </c>
      <c r="H389">
        <f t="shared" si="93"/>
        <v>363.2</v>
      </c>
      <c r="I389">
        <f t="shared" si="83"/>
        <v>35.332999999999998</v>
      </c>
      <c r="J389">
        <v>0</v>
      </c>
      <c r="M389">
        <f t="shared" si="84"/>
        <v>2.3E-2</v>
      </c>
      <c r="S389">
        <f t="shared" si="85"/>
        <v>1</v>
      </c>
      <c r="T389">
        <f t="shared" si="86"/>
        <v>0</v>
      </c>
      <c r="U389">
        <f t="shared" si="87"/>
        <v>0</v>
      </c>
      <c r="V389">
        <f t="shared" si="88"/>
        <v>0</v>
      </c>
      <c r="W389">
        <f t="shared" si="89"/>
        <v>0</v>
      </c>
      <c r="X389">
        <f t="shared" si="90"/>
        <v>0</v>
      </c>
      <c r="Y389">
        <f t="shared" si="91"/>
        <v>0</v>
      </c>
    </row>
    <row r="390" spans="1:25" hidden="1">
      <c r="A390" t="str">
        <f t="shared" si="92"/>
        <v>Lee 1977</v>
      </c>
      <c r="C390">
        <v>3698.4</v>
      </c>
      <c r="E390">
        <v>2.4029999999999999E-2</v>
      </c>
      <c r="H390">
        <f t="shared" si="93"/>
        <v>363.2</v>
      </c>
      <c r="I390">
        <f t="shared" si="83"/>
        <v>36.984000000000002</v>
      </c>
      <c r="J390">
        <v>0</v>
      </c>
      <c r="M390">
        <f t="shared" si="84"/>
        <v>2.4029999999999999E-2</v>
      </c>
      <c r="S390">
        <f t="shared" si="85"/>
        <v>1</v>
      </c>
      <c r="T390">
        <f t="shared" si="86"/>
        <v>0</v>
      </c>
      <c r="U390">
        <f t="shared" si="87"/>
        <v>0</v>
      </c>
      <c r="V390">
        <f t="shared" si="88"/>
        <v>0</v>
      </c>
      <c r="W390">
        <f t="shared" si="89"/>
        <v>0</v>
      </c>
      <c r="X390">
        <f t="shared" si="90"/>
        <v>0</v>
      </c>
      <c r="Y390">
        <f t="shared" si="91"/>
        <v>0</v>
      </c>
    </row>
    <row r="391" spans="1:25" hidden="1">
      <c r="A391" t="str">
        <f t="shared" si="92"/>
        <v>Lee 1977</v>
      </c>
      <c r="C391">
        <v>3843.2</v>
      </c>
      <c r="E391">
        <v>2.4809999999999999E-2</v>
      </c>
      <c r="H391">
        <f t="shared" si="93"/>
        <v>363.2</v>
      </c>
      <c r="I391">
        <f t="shared" si="83"/>
        <v>38.431999999999995</v>
      </c>
      <c r="J391">
        <v>0</v>
      </c>
      <c r="M391">
        <f t="shared" si="84"/>
        <v>2.4809999999999999E-2</v>
      </c>
      <c r="S391">
        <f t="shared" si="85"/>
        <v>1</v>
      </c>
      <c r="T391">
        <f t="shared" si="86"/>
        <v>0</v>
      </c>
      <c r="U391">
        <f t="shared" si="87"/>
        <v>0</v>
      </c>
      <c r="V391">
        <f t="shared" si="88"/>
        <v>0</v>
      </c>
      <c r="W391">
        <f t="shared" si="89"/>
        <v>0</v>
      </c>
      <c r="X391">
        <f t="shared" si="90"/>
        <v>0</v>
      </c>
      <c r="Y391">
        <f t="shared" si="91"/>
        <v>0</v>
      </c>
    </row>
    <row r="392" spans="1:25" hidden="1">
      <c r="A392" t="str">
        <f t="shared" si="92"/>
        <v>Lee 1977</v>
      </c>
      <c r="C392">
        <v>4029.3</v>
      </c>
      <c r="E392">
        <v>2.6200000000000001E-2</v>
      </c>
      <c r="H392">
        <f t="shared" si="93"/>
        <v>363.2</v>
      </c>
      <c r="I392">
        <f t="shared" si="83"/>
        <v>40.292999999999999</v>
      </c>
      <c r="J392">
        <v>0</v>
      </c>
      <c r="M392">
        <f t="shared" si="84"/>
        <v>2.6200000000000001E-2</v>
      </c>
      <c r="S392">
        <f t="shared" si="85"/>
        <v>1</v>
      </c>
      <c r="T392">
        <f t="shared" si="86"/>
        <v>0</v>
      </c>
      <c r="U392">
        <f t="shared" si="87"/>
        <v>0</v>
      </c>
      <c r="V392">
        <f t="shared" si="88"/>
        <v>0</v>
      </c>
      <c r="W392">
        <f t="shared" si="89"/>
        <v>0</v>
      </c>
      <c r="X392">
        <f t="shared" si="90"/>
        <v>0</v>
      </c>
      <c r="Y392">
        <f t="shared" si="91"/>
        <v>0</v>
      </c>
    </row>
    <row r="393" spans="1:25" hidden="1">
      <c r="A393" t="str">
        <f t="shared" si="92"/>
        <v>Lee 1977</v>
      </c>
      <c r="C393">
        <v>4222.3999999999996</v>
      </c>
      <c r="E393">
        <v>2.7490000000000001E-2</v>
      </c>
      <c r="H393">
        <f t="shared" si="93"/>
        <v>363.2</v>
      </c>
      <c r="I393">
        <f t="shared" si="83"/>
        <v>42.223999999999997</v>
      </c>
      <c r="J393">
        <v>0</v>
      </c>
      <c r="M393">
        <f t="shared" si="84"/>
        <v>2.7490000000000001E-2</v>
      </c>
      <c r="S393">
        <f t="shared" si="85"/>
        <v>1</v>
      </c>
      <c r="T393">
        <f t="shared" si="86"/>
        <v>0</v>
      </c>
      <c r="U393">
        <f t="shared" si="87"/>
        <v>0</v>
      </c>
      <c r="V393">
        <f t="shared" si="88"/>
        <v>0</v>
      </c>
      <c r="W393">
        <f t="shared" si="89"/>
        <v>0</v>
      </c>
      <c r="X393">
        <f t="shared" si="90"/>
        <v>0</v>
      </c>
      <c r="Y393">
        <f t="shared" si="91"/>
        <v>0</v>
      </c>
    </row>
    <row r="394" spans="1:25" hidden="1">
      <c r="A394" t="str">
        <f t="shared" si="92"/>
        <v>Lee 1977</v>
      </c>
      <c r="C394">
        <v>4256.8999999999996</v>
      </c>
      <c r="E394">
        <v>2.7560000000000001E-2</v>
      </c>
      <c r="H394">
        <f t="shared" si="93"/>
        <v>363.2</v>
      </c>
      <c r="I394">
        <f t="shared" si="83"/>
        <v>42.568999999999996</v>
      </c>
      <c r="J394">
        <v>0</v>
      </c>
      <c r="M394">
        <f t="shared" si="84"/>
        <v>2.7560000000000001E-2</v>
      </c>
      <c r="S394">
        <f t="shared" si="85"/>
        <v>1</v>
      </c>
      <c r="T394">
        <f t="shared" si="86"/>
        <v>0</v>
      </c>
      <c r="U394">
        <f t="shared" si="87"/>
        <v>0</v>
      </c>
      <c r="V394">
        <f t="shared" si="88"/>
        <v>0</v>
      </c>
      <c r="W394">
        <f t="shared" si="89"/>
        <v>0</v>
      </c>
      <c r="X394">
        <f t="shared" si="90"/>
        <v>0</v>
      </c>
      <c r="Y394">
        <f t="shared" si="91"/>
        <v>0</v>
      </c>
    </row>
    <row r="395" spans="1:25" hidden="1">
      <c r="A395" t="str">
        <f t="shared" si="92"/>
        <v>Lee 1977</v>
      </c>
      <c r="C395">
        <v>4470.6000000000004</v>
      </c>
      <c r="E395">
        <v>2.8410000000000001E-2</v>
      </c>
      <c r="H395">
        <f t="shared" si="93"/>
        <v>363.2</v>
      </c>
      <c r="I395">
        <f t="shared" si="83"/>
        <v>44.706000000000003</v>
      </c>
      <c r="J395">
        <v>0</v>
      </c>
      <c r="M395">
        <f t="shared" si="84"/>
        <v>2.8410000000000001E-2</v>
      </c>
      <c r="S395">
        <f t="shared" si="85"/>
        <v>1</v>
      </c>
      <c r="T395">
        <f t="shared" si="86"/>
        <v>0</v>
      </c>
      <c r="U395">
        <f t="shared" si="87"/>
        <v>0</v>
      </c>
      <c r="V395">
        <f t="shared" si="88"/>
        <v>0</v>
      </c>
      <c r="W395">
        <f t="shared" si="89"/>
        <v>0</v>
      </c>
      <c r="X395">
        <f t="shared" si="90"/>
        <v>0</v>
      </c>
      <c r="Y395">
        <f t="shared" si="91"/>
        <v>0</v>
      </c>
    </row>
    <row r="396" spans="1:25" hidden="1">
      <c r="A396" t="str">
        <f t="shared" si="92"/>
        <v>Lee 1977</v>
      </c>
      <c r="C396">
        <v>4574</v>
      </c>
      <c r="E396">
        <v>2.9250000000000002E-2</v>
      </c>
      <c r="H396">
        <f t="shared" si="93"/>
        <v>363.2</v>
      </c>
      <c r="I396">
        <f t="shared" si="83"/>
        <v>45.74</v>
      </c>
      <c r="J396">
        <v>0</v>
      </c>
      <c r="M396">
        <f t="shared" si="84"/>
        <v>2.9250000000000002E-2</v>
      </c>
      <c r="S396">
        <f t="shared" si="85"/>
        <v>1</v>
      </c>
      <c r="T396">
        <f t="shared" si="86"/>
        <v>0</v>
      </c>
      <c r="U396">
        <f t="shared" si="87"/>
        <v>0</v>
      </c>
      <c r="V396">
        <f t="shared" si="88"/>
        <v>0</v>
      </c>
      <c r="W396">
        <f t="shared" si="89"/>
        <v>0</v>
      </c>
      <c r="X396">
        <f t="shared" si="90"/>
        <v>0</v>
      </c>
      <c r="Y396">
        <f t="shared" si="91"/>
        <v>0</v>
      </c>
    </row>
    <row r="397" spans="1:25" hidden="1">
      <c r="A397" t="str">
        <f t="shared" si="92"/>
        <v>Lee 1977</v>
      </c>
      <c r="C397">
        <v>4733.5</v>
      </c>
      <c r="E397">
        <v>3.006E-2</v>
      </c>
      <c r="H397">
        <f t="shared" si="93"/>
        <v>363.2</v>
      </c>
      <c r="I397">
        <f t="shared" si="83"/>
        <v>47.335000000000001</v>
      </c>
      <c r="J397">
        <v>0</v>
      </c>
      <c r="M397">
        <f t="shared" si="84"/>
        <v>3.006E-2</v>
      </c>
      <c r="S397">
        <f t="shared" si="85"/>
        <v>1</v>
      </c>
      <c r="T397">
        <f t="shared" si="86"/>
        <v>0</v>
      </c>
      <c r="U397">
        <f t="shared" si="87"/>
        <v>0</v>
      </c>
      <c r="V397">
        <f t="shared" si="88"/>
        <v>0</v>
      </c>
      <c r="W397">
        <f t="shared" si="89"/>
        <v>0</v>
      </c>
      <c r="X397">
        <f t="shared" si="90"/>
        <v>0</v>
      </c>
      <c r="Y397">
        <f t="shared" si="91"/>
        <v>0</v>
      </c>
    </row>
    <row r="398" spans="1:25" hidden="1">
      <c r="A398" t="str">
        <f t="shared" si="92"/>
        <v>Lee 1977</v>
      </c>
      <c r="C398">
        <v>4939.3999999999996</v>
      </c>
      <c r="E398">
        <v>3.1320000000000001E-2</v>
      </c>
      <c r="H398">
        <f t="shared" si="93"/>
        <v>363.2</v>
      </c>
      <c r="I398">
        <f t="shared" si="83"/>
        <v>49.393999999999998</v>
      </c>
      <c r="J398">
        <v>0</v>
      </c>
      <c r="M398">
        <f t="shared" si="84"/>
        <v>3.1320000000000001E-2</v>
      </c>
      <c r="S398">
        <f t="shared" si="85"/>
        <v>1</v>
      </c>
      <c r="T398">
        <f t="shared" si="86"/>
        <v>0</v>
      </c>
      <c r="U398">
        <f t="shared" si="87"/>
        <v>0</v>
      </c>
      <c r="V398">
        <f t="shared" si="88"/>
        <v>0</v>
      </c>
      <c r="W398">
        <f t="shared" si="89"/>
        <v>0</v>
      </c>
      <c r="X398">
        <f t="shared" si="90"/>
        <v>0</v>
      </c>
      <c r="Y398">
        <f t="shared" si="91"/>
        <v>0</v>
      </c>
    </row>
    <row r="399" spans="1:25" hidden="1">
      <c r="A399" t="str">
        <f t="shared" si="92"/>
        <v>Lee 1977</v>
      </c>
      <c r="C399">
        <v>4954.2</v>
      </c>
      <c r="E399">
        <v>3.1289999999999998E-2</v>
      </c>
      <c r="H399">
        <f t="shared" si="93"/>
        <v>363.2</v>
      </c>
      <c r="I399">
        <f t="shared" si="83"/>
        <v>49.542000000000002</v>
      </c>
      <c r="J399">
        <v>0</v>
      </c>
      <c r="M399">
        <f t="shared" si="84"/>
        <v>3.1289999999999998E-2</v>
      </c>
      <c r="S399">
        <f t="shared" si="85"/>
        <v>1</v>
      </c>
      <c r="T399">
        <f t="shared" si="86"/>
        <v>0</v>
      </c>
      <c r="U399">
        <f t="shared" si="87"/>
        <v>0</v>
      </c>
      <c r="V399">
        <f t="shared" si="88"/>
        <v>0</v>
      </c>
      <c r="W399">
        <f t="shared" si="89"/>
        <v>0</v>
      </c>
      <c r="X399">
        <f t="shared" si="90"/>
        <v>0</v>
      </c>
      <c r="Y399">
        <f t="shared" si="91"/>
        <v>0</v>
      </c>
    </row>
    <row r="400" spans="1:25" hidden="1">
      <c r="A400" t="str">
        <f t="shared" si="92"/>
        <v>Lee 1977</v>
      </c>
      <c r="C400">
        <v>5091.1000000000004</v>
      </c>
      <c r="E400">
        <v>3.2050000000000002E-2</v>
      </c>
      <c r="H400">
        <f t="shared" si="93"/>
        <v>363.2</v>
      </c>
      <c r="I400">
        <f t="shared" si="83"/>
        <v>50.911000000000001</v>
      </c>
      <c r="J400">
        <v>0</v>
      </c>
      <c r="M400">
        <f t="shared" si="84"/>
        <v>3.2050000000000002E-2</v>
      </c>
      <c r="S400">
        <f t="shared" si="85"/>
        <v>1</v>
      </c>
      <c r="T400">
        <f t="shared" si="86"/>
        <v>0</v>
      </c>
      <c r="U400">
        <f t="shared" si="87"/>
        <v>0</v>
      </c>
      <c r="V400">
        <f t="shared" si="88"/>
        <v>0</v>
      </c>
      <c r="W400">
        <f t="shared" si="89"/>
        <v>0</v>
      </c>
      <c r="X400">
        <f t="shared" si="90"/>
        <v>0</v>
      </c>
      <c r="Y400">
        <f t="shared" si="91"/>
        <v>0</v>
      </c>
    </row>
    <row r="401" spans="1:25" hidden="1">
      <c r="A401" t="str">
        <f t="shared" si="92"/>
        <v>Lee 1977</v>
      </c>
      <c r="C401">
        <v>5126.5</v>
      </c>
      <c r="E401">
        <v>3.2230000000000002E-2</v>
      </c>
      <c r="H401">
        <f t="shared" si="93"/>
        <v>363.2</v>
      </c>
      <c r="I401">
        <f t="shared" si="83"/>
        <v>51.265000000000001</v>
      </c>
      <c r="J401">
        <v>0</v>
      </c>
      <c r="M401">
        <f t="shared" si="84"/>
        <v>3.2230000000000002E-2</v>
      </c>
      <c r="S401">
        <f t="shared" si="85"/>
        <v>1</v>
      </c>
      <c r="T401">
        <f t="shared" si="86"/>
        <v>0</v>
      </c>
      <c r="U401">
        <f t="shared" si="87"/>
        <v>0</v>
      </c>
      <c r="V401">
        <f t="shared" si="88"/>
        <v>0</v>
      </c>
      <c r="W401">
        <f t="shared" si="89"/>
        <v>0</v>
      </c>
      <c r="X401">
        <f t="shared" si="90"/>
        <v>0</v>
      </c>
      <c r="Y401">
        <f t="shared" si="91"/>
        <v>0</v>
      </c>
    </row>
    <row r="402" spans="1:25" hidden="1">
      <c r="A402" t="str">
        <f t="shared" si="92"/>
        <v>Lee 1977</v>
      </c>
      <c r="C402">
        <v>5229</v>
      </c>
      <c r="E402">
        <v>3.3110000000000001E-2</v>
      </c>
      <c r="H402">
        <f t="shared" si="93"/>
        <v>363.2</v>
      </c>
      <c r="I402">
        <f t="shared" si="83"/>
        <v>52.29</v>
      </c>
      <c r="J402">
        <v>0</v>
      </c>
      <c r="M402">
        <f t="shared" si="84"/>
        <v>3.3110000000000001E-2</v>
      </c>
      <c r="S402">
        <f t="shared" si="85"/>
        <v>1</v>
      </c>
      <c r="T402">
        <f t="shared" si="86"/>
        <v>0</v>
      </c>
      <c r="U402">
        <f t="shared" si="87"/>
        <v>0</v>
      </c>
      <c r="V402">
        <f t="shared" si="88"/>
        <v>0</v>
      </c>
      <c r="W402">
        <f t="shared" si="89"/>
        <v>0</v>
      </c>
      <c r="X402">
        <f t="shared" si="90"/>
        <v>0</v>
      </c>
      <c r="Y402">
        <f t="shared" si="91"/>
        <v>0</v>
      </c>
    </row>
    <row r="403" spans="1:25" hidden="1">
      <c r="A403" t="str">
        <f t="shared" si="92"/>
        <v>Lee 1977</v>
      </c>
      <c r="C403">
        <v>5264.4</v>
      </c>
      <c r="E403">
        <v>3.3230000000000003E-2</v>
      </c>
      <c r="H403">
        <f t="shared" si="93"/>
        <v>363.2</v>
      </c>
      <c r="I403">
        <f t="shared" si="83"/>
        <v>52.643999999999998</v>
      </c>
      <c r="J403">
        <v>0</v>
      </c>
      <c r="M403">
        <f t="shared" si="84"/>
        <v>3.3230000000000003E-2</v>
      </c>
      <c r="S403">
        <f t="shared" si="85"/>
        <v>1</v>
      </c>
      <c r="T403">
        <f t="shared" si="86"/>
        <v>0</v>
      </c>
      <c r="U403">
        <f t="shared" si="87"/>
        <v>0</v>
      </c>
      <c r="V403">
        <f t="shared" si="88"/>
        <v>0</v>
      </c>
      <c r="W403">
        <f t="shared" si="89"/>
        <v>0</v>
      </c>
      <c r="X403">
        <f t="shared" si="90"/>
        <v>0</v>
      </c>
      <c r="Y403">
        <f t="shared" si="91"/>
        <v>0</v>
      </c>
    </row>
    <row r="404" spans="1:25" hidden="1">
      <c r="A404" t="str">
        <f t="shared" si="92"/>
        <v>Lee 1977</v>
      </c>
      <c r="C404">
        <v>5277.3</v>
      </c>
      <c r="E404">
        <v>3.3169999999999998E-2</v>
      </c>
      <c r="H404">
        <f t="shared" si="93"/>
        <v>363.2</v>
      </c>
      <c r="I404">
        <f t="shared" si="83"/>
        <v>52.773000000000003</v>
      </c>
      <c r="J404">
        <v>0</v>
      </c>
      <c r="M404">
        <f t="shared" si="84"/>
        <v>3.3169999999999998E-2</v>
      </c>
      <c r="S404">
        <f t="shared" si="85"/>
        <v>1</v>
      </c>
      <c r="T404">
        <f t="shared" si="86"/>
        <v>0</v>
      </c>
      <c r="U404">
        <f t="shared" si="87"/>
        <v>0</v>
      </c>
      <c r="V404">
        <f t="shared" si="88"/>
        <v>0</v>
      </c>
      <c r="W404">
        <f t="shared" si="89"/>
        <v>0</v>
      </c>
      <c r="X404">
        <f t="shared" si="90"/>
        <v>0</v>
      </c>
      <c r="Y404">
        <f t="shared" si="91"/>
        <v>0</v>
      </c>
    </row>
    <row r="405" spans="1:25" hidden="1">
      <c r="A405" t="str">
        <f t="shared" si="92"/>
        <v>Lee 1977</v>
      </c>
      <c r="C405">
        <v>5526</v>
      </c>
      <c r="E405">
        <v>3.4380000000000001E-2</v>
      </c>
      <c r="H405">
        <f t="shared" si="93"/>
        <v>363.2</v>
      </c>
      <c r="I405">
        <f t="shared" si="83"/>
        <v>55.26</v>
      </c>
      <c r="J405">
        <v>0</v>
      </c>
      <c r="M405">
        <f t="shared" si="84"/>
        <v>3.4380000000000001E-2</v>
      </c>
      <c r="S405">
        <f t="shared" si="85"/>
        <v>1</v>
      </c>
      <c r="T405">
        <f t="shared" si="86"/>
        <v>0</v>
      </c>
      <c r="U405">
        <f t="shared" si="87"/>
        <v>0</v>
      </c>
      <c r="V405">
        <f t="shared" si="88"/>
        <v>0</v>
      </c>
      <c r="W405">
        <f t="shared" si="89"/>
        <v>0</v>
      </c>
      <c r="X405">
        <f t="shared" si="90"/>
        <v>0</v>
      </c>
      <c r="Y405">
        <f t="shared" si="91"/>
        <v>0</v>
      </c>
    </row>
    <row r="406" spans="1:25" hidden="1">
      <c r="A406" t="str">
        <f t="shared" si="92"/>
        <v>Lee 1977</v>
      </c>
      <c r="C406">
        <v>5608.8</v>
      </c>
      <c r="E406">
        <v>3.456E-2</v>
      </c>
      <c r="H406">
        <f t="shared" si="93"/>
        <v>363.2</v>
      </c>
      <c r="I406">
        <f t="shared" si="83"/>
        <v>56.088000000000001</v>
      </c>
      <c r="J406">
        <v>0</v>
      </c>
      <c r="M406">
        <f t="shared" si="84"/>
        <v>3.456E-2</v>
      </c>
      <c r="S406">
        <f t="shared" si="85"/>
        <v>1</v>
      </c>
      <c r="T406">
        <f t="shared" si="86"/>
        <v>0</v>
      </c>
      <c r="U406">
        <f t="shared" si="87"/>
        <v>0</v>
      </c>
      <c r="V406">
        <f t="shared" si="88"/>
        <v>0</v>
      </c>
      <c r="W406">
        <f t="shared" si="89"/>
        <v>0</v>
      </c>
      <c r="X406">
        <f t="shared" si="90"/>
        <v>0</v>
      </c>
      <c r="Y406">
        <f t="shared" si="91"/>
        <v>0</v>
      </c>
    </row>
    <row r="407" spans="1:25" hidden="1">
      <c r="A407" t="str">
        <f t="shared" si="92"/>
        <v>Lee 1977</v>
      </c>
      <c r="C407">
        <v>5609.2</v>
      </c>
      <c r="E407">
        <v>3.4689999999999999E-2</v>
      </c>
      <c r="H407">
        <f t="shared" si="93"/>
        <v>363.2</v>
      </c>
      <c r="I407">
        <f t="shared" si="83"/>
        <v>56.091999999999999</v>
      </c>
      <c r="J407">
        <v>0</v>
      </c>
      <c r="M407">
        <f t="shared" si="84"/>
        <v>3.4689999999999999E-2</v>
      </c>
      <c r="S407">
        <f t="shared" si="85"/>
        <v>1</v>
      </c>
      <c r="T407">
        <f t="shared" si="86"/>
        <v>0</v>
      </c>
      <c r="U407">
        <f t="shared" si="87"/>
        <v>0</v>
      </c>
      <c r="V407">
        <f t="shared" si="88"/>
        <v>0</v>
      </c>
      <c r="W407">
        <f t="shared" si="89"/>
        <v>0</v>
      </c>
      <c r="X407">
        <f t="shared" si="90"/>
        <v>0</v>
      </c>
      <c r="Y407">
        <f t="shared" si="91"/>
        <v>0</v>
      </c>
    </row>
    <row r="408" spans="1:25" hidden="1">
      <c r="A408" t="str">
        <f t="shared" si="92"/>
        <v>Lee 1977</v>
      </c>
      <c r="C408">
        <v>5622.5</v>
      </c>
      <c r="E408">
        <v>3.5000000000000003E-2</v>
      </c>
      <c r="H408">
        <f t="shared" si="93"/>
        <v>363.2</v>
      </c>
      <c r="I408">
        <f t="shared" si="83"/>
        <v>56.225000000000001</v>
      </c>
      <c r="J408">
        <v>0</v>
      </c>
      <c r="M408">
        <f t="shared" si="84"/>
        <v>3.5000000000000003E-2</v>
      </c>
      <c r="S408">
        <f t="shared" si="85"/>
        <v>1</v>
      </c>
      <c r="T408">
        <f t="shared" si="86"/>
        <v>0</v>
      </c>
      <c r="U408">
        <f t="shared" si="87"/>
        <v>0</v>
      </c>
      <c r="V408">
        <f t="shared" si="88"/>
        <v>0</v>
      </c>
      <c r="W408">
        <f t="shared" si="89"/>
        <v>0</v>
      </c>
      <c r="X408">
        <f t="shared" si="90"/>
        <v>0</v>
      </c>
      <c r="Y408">
        <f t="shared" si="91"/>
        <v>0</v>
      </c>
    </row>
    <row r="409" spans="1:25" hidden="1">
      <c r="A409" t="str">
        <f t="shared" si="92"/>
        <v>Lee 1977</v>
      </c>
      <c r="C409">
        <v>5642.7</v>
      </c>
      <c r="E409">
        <v>3.5000000000000003E-2</v>
      </c>
      <c r="H409">
        <f t="shared" si="93"/>
        <v>363.2</v>
      </c>
      <c r="I409">
        <f t="shared" si="83"/>
        <v>56.427</v>
      </c>
      <c r="J409">
        <v>0</v>
      </c>
      <c r="M409">
        <f t="shared" si="84"/>
        <v>3.5000000000000003E-2</v>
      </c>
      <c r="S409">
        <f t="shared" si="85"/>
        <v>1</v>
      </c>
      <c r="T409">
        <f t="shared" si="86"/>
        <v>0</v>
      </c>
      <c r="U409">
        <f t="shared" si="87"/>
        <v>0</v>
      </c>
      <c r="V409">
        <f t="shared" si="88"/>
        <v>0</v>
      </c>
      <c r="W409">
        <f t="shared" si="89"/>
        <v>0</v>
      </c>
      <c r="X409">
        <f t="shared" si="90"/>
        <v>0</v>
      </c>
      <c r="Y409">
        <f t="shared" si="91"/>
        <v>0</v>
      </c>
    </row>
    <row r="410" spans="1:25" hidden="1">
      <c r="A410" t="str">
        <f t="shared" si="92"/>
        <v>Lee 1977</v>
      </c>
      <c r="C410">
        <v>5712.6</v>
      </c>
      <c r="E410">
        <v>3.533E-2</v>
      </c>
      <c r="H410">
        <f t="shared" si="93"/>
        <v>363.2</v>
      </c>
      <c r="I410">
        <f t="shared" si="83"/>
        <v>57.126000000000005</v>
      </c>
      <c r="J410">
        <v>0</v>
      </c>
      <c r="M410">
        <f t="shared" si="84"/>
        <v>3.533E-2</v>
      </c>
      <c r="S410">
        <f t="shared" si="85"/>
        <v>1</v>
      </c>
      <c r="T410">
        <f t="shared" si="86"/>
        <v>0</v>
      </c>
      <c r="U410">
        <f t="shared" si="87"/>
        <v>0</v>
      </c>
      <c r="V410">
        <f t="shared" si="88"/>
        <v>0</v>
      </c>
      <c r="W410">
        <f t="shared" si="89"/>
        <v>0</v>
      </c>
      <c r="X410">
        <f t="shared" si="90"/>
        <v>0</v>
      </c>
      <c r="Y410">
        <f t="shared" si="91"/>
        <v>0</v>
      </c>
    </row>
    <row r="411" spans="1:25" hidden="1">
      <c r="A411" t="str">
        <f t="shared" si="92"/>
        <v>Lee 1977</v>
      </c>
      <c r="C411">
        <v>5828.8</v>
      </c>
      <c r="E411">
        <v>3.61E-2</v>
      </c>
      <c r="H411">
        <f t="shared" si="93"/>
        <v>363.2</v>
      </c>
      <c r="I411">
        <f t="shared" si="83"/>
        <v>58.288000000000004</v>
      </c>
      <c r="J411">
        <v>0</v>
      </c>
      <c r="M411">
        <f t="shared" si="84"/>
        <v>3.61E-2</v>
      </c>
      <c r="S411">
        <f t="shared" si="85"/>
        <v>1</v>
      </c>
      <c r="T411">
        <f t="shared" si="86"/>
        <v>0</v>
      </c>
      <c r="U411">
        <f t="shared" si="87"/>
        <v>0</v>
      </c>
      <c r="V411">
        <f t="shared" si="88"/>
        <v>0</v>
      </c>
      <c r="W411">
        <f t="shared" si="89"/>
        <v>0</v>
      </c>
      <c r="X411">
        <f t="shared" si="90"/>
        <v>0</v>
      </c>
      <c r="Y411">
        <f t="shared" si="91"/>
        <v>0</v>
      </c>
    </row>
    <row r="412" spans="1:25" hidden="1">
      <c r="A412" t="str">
        <f t="shared" si="92"/>
        <v>Lee 1977</v>
      </c>
      <c r="C412">
        <v>6043.1</v>
      </c>
      <c r="E412">
        <v>3.7089999999999998E-2</v>
      </c>
      <c r="H412">
        <f t="shared" si="93"/>
        <v>363.2</v>
      </c>
      <c r="I412">
        <f t="shared" si="83"/>
        <v>60.431000000000004</v>
      </c>
      <c r="J412">
        <v>0</v>
      </c>
      <c r="M412">
        <f t="shared" si="84"/>
        <v>3.7089999999999998E-2</v>
      </c>
      <c r="S412">
        <f t="shared" si="85"/>
        <v>1</v>
      </c>
      <c r="T412">
        <f t="shared" si="86"/>
        <v>0</v>
      </c>
      <c r="U412">
        <f t="shared" si="87"/>
        <v>0</v>
      </c>
      <c r="V412">
        <f t="shared" si="88"/>
        <v>0</v>
      </c>
      <c r="W412">
        <f t="shared" si="89"/>
        <v>0</v>
      </c>
      <c r="X412">
        <f t="shared" si="90"/>
        <v>0</v>
      </c>
      <c r="Y412">
        <f t="shared" si="91"/>
        <v>0</v>
      </c>
    </row>
    <row r="413" spans="1:25" hidden="1">
      <c r="A413" t="str">
        <f t="shared" si="92"/>
        <v>Lee 1977</v>
      </c>
      <c r="C413">
        <v>6332.7</v>
      </c>
      <c r="E413">
        <v>3.8039999999999997E-2</v>
      </c>
      <c r="H413">
        <f t="shared" si="93"/>
        <v>363.2</v>
      </c>
      <c r="I413">
        <f t="shared" si="83"/>
        <v>63.326999999999998</v>
      </c>
      <c r="J413">
        <v>0</v>
      </c>
      <c r="M413">
        <f t="shared" si="84"/>
        <v>3.8039999999999997E-2</v>
      </c>
      <c r="S413">
        <f t="shared" si="85"/>
        <v>1</v>
      </c>
      <c r="T413">
        <f t="shared" si="86"/>
        <v>0</v>
      </c>
      <c r="U413">
        <f t="shared" si="87"/>
        <v>0</v>
      </c>
      <c r="V413">
        <f t="shared" si="88"/>
        <v>0</v>
      </c>
      <c r="W413">
        <f t="shared" si="89"/>
        <v>0</v>
      </c>
      <c r="X413">
        <f t="shared" si="90"/>
        <v>0</v>
      </c>
      <c r="Y413">
        <f t="shared" si="91"/>
        <v>0</v>
      </c>
    </row>
    <row r="414" spans="1:25" hidden="1">
      <c r="A414" t="str">
        <f t="shared" si="92"/>
        <v>Lee 1977</v>
      </c>
      <c r="C414">
        <v>6574</v>
      </c>
      <c r="E414">
        <v>3.943E-2</v>
      </c>
      <c r="H414">
        <f t="shared" si="93"/>
        <v>363.2</v>
      </c>
      <c r="I414">
        <f t="shared" ref="I414:I477" si="94">C414/100</f>
        <v>65.739999999999995</v>
      </c>
      <c r="J414">
        <v>0</v>
      </c>
      <c r="M414">
        <f t="shared" ref="M414:M477" si="95">E414</f>
        <v>3.943E-2</v>
      </c>
      <c r="S414">
        <f t="shared" ref="S414:S477" si="96">S413</f>
        <v>1</v>
      </c>
      <c r="T414">
        <f t="shared" ref="T414:T477" si="97">T413</f>
        <v>0</v>
      </c>
      <c r="U414">
        <f t="shared" ref="U414:U477" si="98">U413</f>
        <v>0</v>
      </c>
      <c r="V414">
        <f t="shared" ref="V414:V477" si="99">V413</f>
        <v>0</v>
      </c>
      <c r="W414">
        <f t="shared" ref="W414:W477" si="100">W413</f>
        <v>0</v>
      </c>
      <c r="X414">
        <f t="shared" ref="X414:X477" si="101">X413</f>
        <v>0</v>
      </c>
      <c r="Y414">
        <f t="shared" ref="Y414:Y477" si="102">Y413</f>
        <v>0</v>
      </c>
    </row>
    <row r="415" spans="1:25" hidden="1">
      <c r="A415" t="str">
        <f t="shared" ref="A415:A478" si="103">A414</f>
        <v>Lee 1977</v>
      </c>
      <c r="C415">
        <v>496.2</v>
      </c>
      <c r="E415">
        <v>1.64E-3</v>
      </c>
      <c r="H415">
        <v>393.2</v>
      </c>
      <c r="I415">
        <f t="shared" si="94"/>
        <v>4.9619999999999997</v>
      </c>
      <c r="J415">
        <v>0</v>
      </c>
      <c r="M415">
        <f t="shared" si="95"/>
        <v>1.64E-3</v>
      </c>
      <c r="S415">
        <f t="shared" si="96"/>
        <v>1</v>
      </c>
      <c r="T415">
        <f t="shared" si="97"/>
        <v>0</v>
      </c>
      <c r="U415">
        <f t="shared" si="98"/>
        <v>0</v>
      </c>
      <c r="V415">
        <f t="shared" si="99"/>
        <v>0</v>
      </c>
      <c r="W415">
        <f t="shared" si="100"/>
        <v>0</v>
      </c>
      <c r="X415">
        <f t="shared" si="101"/>
        <v>0</v>
      </c>
      <c r="Y415">
        <f t="shared" si="102"/>
        <v>0</v>
      </c>
    </row>
    <row r="416" spans="1:25" hidden="1">
      <c r="A416" t="str">
        <f t="shared" si="103"/>
        <v>Lee 1977</v>
      </c>
      <c r="C416">
        <v>858.2</v>
      </c>
      <c r="E416">
        <v>3.7499999999999999E-3</v>
      </c>
      <c r="H416">
        <f t="shared" ref="H416:H435" si="104">H415</f>
        <v>393.2</v>
      </c>
      <c r="I416">
        <f t="shared" si="94"/>
        <v>8.5820000000000007</v>
      </c>
      <c r="J416">
        <v>0</v>
      </c>
      <c r="M416">
        <f t="shared" si="95"/>
        <v>3.7499999999999999E-3</v>
      </c>
      <c r="S416">
        <f t="shared" si="96"/>
        <v>1</v>
      </c>
      <c r="T416">
        <f t="shared" si="97"/>
        <v>0</v>
      </c>
      <c r="U416">
        <f t="shared" si="98"/>
        <v>0</v>
      </c>
      <c r="V416">
        <f t="shared" si="99"/>
        <v>0</v>
      </c>
      <c r="W416">
        <f t="shared" si="100"/>
        <v>0</v>
      </c>
      <c r="X416">
        <f t="shared" si="101"/>
        <v>0</v>
      </c>
      <c r="Y416">
        <f t="shared" si="102"/>
        <v>0</v>
      </c>
    </row>
    <row r="417" spans="1:25" hidden="1">
      <c r="A417" t="str">
        <f t="shared" si="103"/>
        <v>Lee 1977</v>
      </c>
      <c r="C417">
        <v>1154.7</v>
      </c>
      <c r="E417">
        <v>5.47E-3</v>
      </c>
      <c r="H417">
        <f t="shared" si="104"/>
        <v>393.2</v>
      </c>
      <c r="I417">
        <f t="shared" si="94"/>
        <v>11.547000000000001</v>
      </c>
      <c r="J417">
        <v>0</v>
      </c>
      <c r="M417">
        <f t="shared" si="95"/>
        <v>5.47E-3</v>
      </c>
      <c r="S417">
        <f t="shared" si="96"/>
        <v>1</v>
      </c>
      <c r="T417">
        <f t="shared" si="97"/>
        <v>0</v>
      </c>
      <c r="U417">
        <f t="shared" si="98"/>
        <v>0</v>
      </c>
      <c r="V417">
        <f t="shared" si="99"/>
        <v>0</v>
      </c>
      <c r="W417">
        <f t="shared" si="100"/>
        <v>0</v>
      </c>
      <c r="X417">
        <f t="shared" si="101"/>
        <v>0</v>
      </c>
      <c r="Y417">
        <f t="shared" si="102"/>
        <v>0</v>
      </c>
    </row>
    <row r="418" spans="1:25" hidden="1">
      <c r="A418" t="str">
        <f t="shared" si="103"/>
        <v>Lee 1977</v>
      </c>
      <c r="C418">
        <v>1499.4</v>
      </c>
      <c r="E418">
        <v>7.0699999999999999E-3</v>
      </c>
      <c r="H418">
        <f t="shared" si="104"/>
        <v>393.2</v>
      </c>
      <c r="I418">
        <f t="shared" si="94"/>
        <v>14.994000000000002</v>
      </c>
      <c r="J418">
        <v>0</v>
      </c>
      <c r="M418">
        <f t="shared" si="95"/>
        <v>7.0699999999999999E-3</v>
      </c>
      <c r="S418">
        <f t="shared" si="96"/>
        <v>1</v>
      </c>
      <c r="T418">
        <f t="shared" si="97"/>
        <v>0</v>
      </c>
      <c r="U418">
        <f t="shared" si="98"/>
        <v>0</v>
      </c>
      <c r="V418">
        <f t="shared" si="99"/>
        <v>0</v>
      </c>
      <c r="W418">
        <f t="shared" si="100"/>
        <v>0</v>
      </c>
      <c r="X418">
        <f t="shared" si="101"/>
        <v>0</v>
      </c>
      <c r="Y418">
        <f t="shared" si="102"/>
        <v>0</v>
      </c>
    </row>
    <row r="419" spans="1:25" hidden="1">
      <c r="A419" t="str">
        <f t="shared" si="103"/>
        <v>Lee 1977</v>
      </c>
      <c r="C419">
        <v>1762.1</v>
      </c>
      <c r="E419">
        <v>8.6E-3</v>
      </c>
      <c r="H419">
        <f t="shared" si="104"/>
        <v>393.2</v>
      </c>
      <c r="I419">
        <f t="shared" si="94"/>
        <v>17.620999999999999</v>
      </c>
      <c r="J419">
        <v>0</v>
      </c>
      <c r="M419">
        <f t="shared" si="95"/>
        <v>8.6E-3</v>
      </c>
      <c r="S419">
        <f t="shared" si="96"/>
        <v>1</v>
      </c>
      <c r="T419">
        <f t="shared" si="97"/>
        <v>0</v>
      </c>
      <c r="U419">
        <f t="shared" si="98"/>
        <v>0</v>
      </c>
      <c r="V419">
        <f t="shared" si="99"/>
        <v>0</v>
      </c>
      <c r="W419">
        <f t="shared" si="100"/>
        <v>0</v>
      </c>
      <c r="X419">
        <f t="shared" si="101"/>
        <v>0</v>
      </c>
      <c r="Y419">
        <f t="shared" si="102"/>
        <v>0</v>
      </c>
    </row>
    <row r="420" spans="1:25" hidden="1">
      <c r="A420" t="str">
        <f t="shared" si="103"/>
        <v>Lee 1977</v>
      </c>
      <c r="C420">
        <v>2072.3000000000002</v>
      </c>
      <c r="E420">
        <v>1.0500000000000001E-2</v>
      </c>
      <c r="H420">
        <f t="shared" si="104"/>
        <v>393.2</v>
      </c>
      <c r="I420">
        <f t="shared" si="94"/>
        <v>20.723000000000003</v>
      </c>
      <c r="J420">
        <v>0</v>
      </c>
      <c r="M420">
        <f t="shared" si="95"/>
        <v>1.0500000000000001E-2</v>
      </c>
      <c r="S420">
        <f t="shared" si="96"/>
        <v>1</v>
      </c>
      <c r="T420">
        <f t="shared" si="97"/>
        <v>0</v>
      </c>
      <c r="U420">
        <f t="shared" si="98"/>
        <v>0</v>
      </c>
      <c r="V420">
        <f t="shared" si="99"/>
        <v>0</v>
      </c>
      <c r="W420">
        <f t="shared" si="100"/>
        <v>0</v>
      </c>
      <c r="X420">
        <f t="shared" si="101"/>
        <v>0</v>
      </c>
      <c r="Y420">
        <f t="shared" si="102"/>
        <v>0</v>
      </c>
    </row>
    <row r="421" spans="1:25" hidden="1">
      <c r="A421" t="str">
        <f t="shared" si="103"/>
        <v>Lee 1977</v>
      </c>
      <c r="C421">
        <v>2427.4</v>
      </c>
      <c r="E421">
        <v>1.2359999999999999E-2</v>
      </c>
      <c r="H421">
        <f t="shared" si="104"/>
        <v>393.2</v>
      </c>
      <c r="I421">
        <f t="shared" si="94"/>
        <v>24.274000000000001</v>
      </c>
      <c r="J421">
        <v>0</v>
      </c>
      <c r="M421">
        <f t="shared" si="95"/>
        <v>1.2359999999999999E-2</v>
      </c>
      <c r="S421">
        <f t="shared" si="96"/>
        <v>1</v>
      </c>
      <c r="T421">
        <f t="shared" si="97"/>
        <v>0</v>
      </c>
      <c r="U421">
        <f t="shared" si="98"/>
        <v>0</v>
      </c>
      <c r="V421">
        <f t="shared" si="99"/>
        <v>0</v>
      </c>
      <c r="W421">
        <f t="shared" si="100"/>
        <v>0</v>
      </c>
      <c r="X421">
        <f t="shared" si="101"/>
        <v>0</v>
      </c>
      <c r="Y421">
        <f t="shared" si="102"/>
        <v>0</v>
      </c>
    </row>
    <row r="422" spans="1:25" hidden="1">
      <c r="A422" t="str">
        <f t="shared" si="103"/>
        <v>Lee 1977</v>
      </c>
      <c r="C422">
        <v>2617</v>
      </c>
      <c r="E422">
        <v>1.367E-2</v>
      </c>
      <c r="H422">
        <f t="shared" si="104"/>
        <v>393.2</v>
      </c>
      <c r="I422">
        <f t="shared" si="94"/>
        <v>26.17</v>
      </c>
      <c r="J422">
        <v>0</v>
      </c>
      <c r="M422">
        <f t="shared" si="95"/>
        <v>1.367E-2</v>
      </c>
      <c r="S422">
        <f t="shared" si="96"/>
        <v>1</v>
      </c>
      <c r="T422">
        <f t="shared" si="97"/>
        <v>0</v>
      </c>
      <c r="U422">
        <f t="shared" si="98"/>
        <v>0</v>
      </c>
      <c r="V422">
        <f t="shared" si="99"/>
        <v>0</v>
      </c>
      <c r="W422">
        <f t="shared" si="100"/>
        <v>0</v>
      </c>
      <c r="X422">
        <f t="shared" si="101"/>
        <v>0</v>
      </c>
      <c r="Y422">
        <f t="shared" si="102"/>
        <v>0</v>
      </c>
    </row>
    <row r="423" spans="1:25" hidden="1">
      <c r="A423" t="str">
        <f t="shared" si="103"/>
        <v>Lee 1977</v>
      </c>
      <c r="C423">
        <v>2941.2</v>
      </c>
      <c r="E423">
        <v>1.536E-2</v>
      </c>
      <c r="H423">
        <f t="shared" si="104"/>
        <v>393.2</v>
      </c>
      <c r="I423">
        <f t="shared" si="94"/>
        <v>29.411999999999999</v>
      </c>
      <c r="J423">
        <v>0</v>
      </c>
      <c r="M423">
        <f t="shared" si="95"/>
        <v>1.536E-2</v>
      </c>
      <c r="S423">
        <f t="shared" si="96"/>
        <v>1</v>
      </c>
      <c r="T423">
        <f t="shared" si="97"/>
        <v>0</v>
      </c>
      <c r="U423">
        <f t="shared" si="98"/>
        <v>0</v>
      </c>
      <c r="V423">
        <f t="shared" si="99"/>
        <v>0</v>
      </c>
      <c r="W423">
        <f t="shared" si="100"/>
        <v>0</v>
      </c>
      <c r="X423">
        <f t="shared" si="101"/>
        <v>0</v>
      </c>
      <c r="Y423">
        <f t="shared" si="102"/>
        <v>0</v>
      </c>
    </row>
    <row r="424" spans="1:25" hidden="1">
      <c r="A424" t="str">
        <f t="shared" si="103"/>
        <v>Lee 1977</v>
      </c>
      <c r="C424">
        <v>3196.3</v>
      </c>
      <c r="E424">
        <v>1.6660000000000001E-2</v>
      </c>
      <c r="H424">
        <f t="shared" si="104"/>
        <v>393.2</v>
      </c>
      <c r="I424">
        <f t="shared" si="94"/>
        <v>31.963000000000001</v>
      </c>
      <c r="J424">
        <v>0</v>
      </c>
      <c r="M424">
        <f t="shared" si="95"/>
        <v>1.6660000000000001E-2</v>
      </c>
      <c r="S424">
        <f t="shared" si="96"/>
        <v>1</v>
      </c>
      <c r="T424">
        <f t="shared" si="97"/>
        <v>0</v>
      </c>
      <c r="U424">
        <f t="shared" si="98"/>
        <v>0</v>
      </c>
      <c r="V424">
        <f t="shared" si="99"/>
        <v>0</v>
      </c>
      <c r="W424">
        <f t="shared" si="100"/>
        <v>0</v>
      </c>
      <c r="X424">
        <f t="shared" si="101"/>
        <v>0</v>
      </c>
      <c r="Y424">
        <f t="shared" si="102"/>
        <v>0</v>
      </c>
    </row>
    <row r="425" spans="1:25" hidden="1">
      <c r="A425" t="str">
        <f t="shared" si="103"/>
        <v>Lee 1977</v>
      </c>
      <c r="C425">
        <v>3527.2</v>
      </c>
      <c r="E425">
        <v>1.831E-2</v>
      </c>
      <c r="H425">
        <f t="shared" si="104"/>
        <v>393.2</v>
      </c>
      <c r="I425">
        <f t="shared" si="94"/>
        <v>35.271999999999998</v>
      </c>
      <c r="J425">
        <v>0</v>
      </c>
      <c r="M425">
        <f t="shared" si="95"/>
        <v>1.831E-2</v>
      </c>
      <c r="S425">
        <f t="shared" si="96"/>
        <v>1</v>
      </c>
      <c r="T425">
        <f t="shared" si="97"/>
        <v>0</v>
      </c>
      <c r="U425">
        <f t="shared" si="98"/>
        <v>0</v>
      </c>
      <c r="V425">
        <f t="shared" si="99"/>
        <v>0</v>
      </c>
      <c r="W425">
        <f t="shared" si="100"/>
        <v>0</v>
      </c>
      <c r="X425">
        <f t="shared" si="101"/>
        <v>0</v>
      </c>
      <c r="Y425">
        <f t="shared" si="102"/>
        <v>0</v>
      </c>
    </row>
    <row r="426" spans="1:25" hidden="1">
      <c r="A426" t="str">
        <f t="shared" si="103"/>
        <v>Lee 1977</v>
      </c>
      <c r="C426">
        <v>3610</v>
      </c>
      <c r="E426">
        <v>1.8870000000000001E-2</v>
      </c>
      <c r="H426">
        <f t="shared" si="104"/>
        <v>393.2</v>
      </c>
      <c r="I426">
        <f t="shared" si="94"/>
        <v>36.1</v>
      </c>
      <c r="J426">
        <v>0</v>
      </c>
      <c r="M426">
        <f t="shared" si="95"/>
        <v>1.8870000000000001E-2</v>
      </c>
      <c r="S426">
        <f t="shared" si="96"/>
        <v>1</v>
      </c>
      <c r="T426">
        <f t="shared" si="97"/>
        <v>0</v>
      </c>
      <c r="U426">
        <f t="shared" si="98"/>
        <v>0</v>
      </c>
      <c r="V426">
        <f t="shared" si="99"/>
        <v>0</v>
      </c>
      <c r="W426">
        <f t="shared" si="100"/>
        <v>0</v>
      </c>
      <c r="X426">
        <f t="shared" si="101"/>
        <v>0</v>
      </c>
      <c r="Y426">
        <f t="shared" si="102"/>
        <v>0</v>
      </c>
    </row>
    <row r="427" spans="1:25" hidden="1">
      <c r="A427" t="str">
        <f t="shared" si="103"/>
        <v>Lee 1977</v>
      </c>
      <c r="C427">
        <v>3891.9</v>
      </c>
      <c r="E427">
        <v>2.043E-2</v>
      </c>
      <c r="H427">
        <f t="shared" si="104"/>
        <v>393.2</v>
      </c>
      <c r="I427">
        <f t="shared" si="94"/>
        <v>38.919000000000004</v>
      </c>
      <c r="J427">
        <v>0</v>
      </c>
      <c r="M427">
        <f t="shared" si="95"/>
        <v>2.043E-2</v>
      </c>
      <c r="S427">
        <f t="shared" si="96"/>
        <v>1</v>
      </c>
      <c r="T427">
        <f t="shared" si="97"/>
        <v>0</v>
      </c>
      <c r="U427">
        <f t="shared" si="98"/>
        <v>0</v>
      </c>
      <c r="V427">
        <f t="shared" si="99"/>
        <v>0</v>
      </c>
      <c r="W427">
        <f t="shared" si="100"/>
        <v>0</v>
      </c>
      <c r="X427">
        <f t="shared" si="101"/>
        <v>0</v>
      </c>
      <c r="Y427">
        <f t="shared" si="102"/>
        <v>0</v>
      </c>
    </row>
    <row r="428" spans="1:25" hidden="1">
      <c r="A428" t="str">
        <f t="shared" si="103"/>
        <v>Lee 1977</v>
      </c>
      <c r="C428">
        <v>3954.7</v>
      </c>
      <c r="E428">
        <v>2.0729999999999998E-2</v>
      </c>
      <c r="H428">
        <f t="shared" si="104"/>
        <v>393.2</v>
      </c>
      <c r="I428">
        <f t="shared" si="94"/>
        <v>39.546999999999997</v>
      </c>
      <c r="J428">
        <v>0</v>
      </c>
      <c r="M428">
        <f t="shared" si="95"/>
        <v>2.0729999999999998E-2</v>
      </c>
      <c r="S428">
        <f t="shared" si="96"/>
        <v>1</v>
      </c>
      <c r="T428">
        <f t="shared" si="97"/>
        <v>0</v>
      </c>
      <c r="U428">
        <f t="shared" si="98"/>
        <v>0</v>
      </c>
      <c r="V428">
        <f t="shared" si="99"/>
        <v>0</v>
      </c>
      <c r="W428">
        <f t="shared" si="100"/>
        <v>0</v>
      </c>
      <c r="X428">
        <f t="shared" si="101"/>
        <v>0</v>
      </c>
      <c r="Y428">
        <f t="shared" si="102"/>
        <v>0</v>
      </c>
    </row>
    <row r="429" spans="1:25" hidden="1">
      <c r="A429" t="str">
        <f t="shared" si="103"/>
        <v>Lee 1977</v>
      </c>
      <c r="C429">
        <v>4023.6</v>
      </c>
      <c r="E429">
        <v>2.1160000000000002E-2</v>
      </c>
      <c r="H429">
        <f t="shared" si="104"/>
        <v>393.2</v>
      </c>
      <c r="I429">
        <f t="shared" si="94"/>
        <v>40.235999999999997</v>
      </c>
      <c r="J429">
        <v>0</v>
      </c>
      <c r="M429">
        <f t="shared" si="95"/>
        <v>2.1160000000000002E-2</v>
      </c>
      <c r="S429">
        <f t="shared" si="96"/>
        <v>1</v>
      </c>
      <c r="T429">
        <f t="shared" si="97"/>
        <v>0</v>
      </c>
      <c r="U429">
        <f t="shared" si="98"/>
        <v>0</v>
      </c>
      <c r="V429">
        <f t="shared" si="99"/>
        <v>0</v>
      </c>
      <c r="W429">
        <f t="shared" si="100"/>
        <v>0</v>
      </c>
      <c r="X429">
        <f t="shared" si="101"/>
        <v>0</v>
      </c>
      <c r="Y429">
        <f t="shared" si="102"/>
        <v>0</v>
      </c>
    </row>
    <row r="430" spans="1:25" hidden="1">
      <c r="A430" t="str">
        <f t="shared" si="103"/>
        <v>Lee 1977</v>
      </c>
      <c r="C430">
        <v>4205.6000000000004</v>
      </c>
      <c r="E430">
        <v>2.1989999999999999E-2</v>
      </c>
      <c r="H430">
        <f t="shared" si="104"/>
        <v>393.2</v>
      </c>
      <c r="I430">
        <f t="shared" si="94"/>
        <v>42.056000000000004</v>
      </c>
      <c r="J430">
        <v>0</v>
      </c>
      <c r="M430">
        <f t="shared" si="95"/>
        <v>2.1989999999999999E-2</v>
      </c>
      <c r="S430">
        <f t="shared" si="96"/>
        <v>1</v>
      </c>
      <c r="T430">
        <f t="shared" si="97"/>
        <v>0</v>
      </c>
      <c r="U430">
        <f t="shared" si="98"/>
        <v>0</v>
      </c>
      <c r="V430">
        <f t="shared" si="99"/>
        <v>0</v>
      </c>
      <c r="W430">
        <f t="shared" si="100"/>
        <v>0</v>
      </c>
      <c r="X430">
        <f t="shared" si="101"/>
        <v>0</v>
      </c>
      <c r="Y430">
        <f t="shared" si="102"/>
        <v>0</v>
      </c>
    </row>
    <row r="431" spans="1:25" hidden="1">
      <c r="A431" t="str">
        <f t="shared" si="103"/>
        <v>Lee 1977</v>
      </c>
      <c r="C431">
        <v>4643.3999999999996</v>
      </c>
      <c r="E431">
        <v>2.426E-2</v>
      </c>
      <c r="H431">
        <f t="shared" si="104"/>
        <v>393.2</v>
      </c>
      <c r="I431">
        <f t="shared" si="94"/>
        <v>46.433999999999997</v>
      </c>
      <c r="J431">
        <v>0</v>
      </c>
      <c r="M431">
        <f t="shared" si="95"/>
        <v>2.426E-2</v>
      </c>
      <c r="S431">
        <f t="shared" si="96"/>
        <v>1</v>
      </c>
      <c r="T431">
        <f t="shared" si="97"/>
        <v>0</v>
      </c>
      <c r="U431">
        <f t="shared" si="98"/>
        <v>0</v>
      </c>
      <c r="V431">
        <f t="shared" si="99"/>
        <v>0</v>
      </c>
      <c r="W431">
        <f t="shared" si="100"/>
        <v>0</v>
      </c>
      <c r="X431">
        <f t="shared" si="101"/>
        <v>0</v>
      </c>
      <c r="Y431">
        <f t="shared" si="102"/>
        <v>0</v>
      </c>
    </row>
    <row r="432" spans="1:25" hidden="1">
      <c r="A432" t="str">
        <f t="shared" si="103"/>
        <v>Lee 1977</v>
      </c>
      <c r="C432">
        <v>4849.8</v>
      </c>
      <c r="E432">
        <v>2.545E-2</v>
      </c>
      <c r="H432">
        <f t="shared" si="104"/>
        <v>393.2</v>
      </c>
      <c r="I432">
        <f t="shared" si="94"/>
        <v>48.498000000000005</v>
      </c>
      <c r="J432">
        <v>0</v>
      </c>
      <c r="M432">
        <f t="shared" si="95"/>
        <v>2.545E-2</v>
      </c>
      <c r="S432">
        <f t="shared" si="96"/>
        <v>1</v>
      </c>
      <c r="T432">
        <f t="shared" si="97"/>
        <v>0</v>
      </c>
      <c r="U432">
        <f t="shared" si="98"/>
        <v>0</v>
      </c>
      <c r="V432">
        <f t="shared" si="99"/>
        <v>0</v>
      </c>
      <c r="W432">
        <f t="shared" si="100"/>
        <v>0</v>
      </c>
      <c r="X432">
        <f t="shared" si="101"/>
        <v>0</v>
      </c>
      <c r="Y432">
        <f t="shared" si="102"/>
        <v>0</v>
      </c>
    </row>
    <row r="433" spans="1:25" hidden="1">
      <c r="A433" t="str">
        <f t="shared" si="103"/>
        <v>Lee 1977</v>
      </c>
      <c r="C433">
        <v>4919.2</v>
      </c>
      <c r="E433">
        <v>2.571E-2</v>
      </c>
      <c r="H433">
        <f t="shared" si="104"/>
        <v>393.2</v>
      </c>
      <c r="I433">
        <f t="shared" si="94"/>
        <v>49.192</v>
      </c>
      <c r="J433">
        <v>0</v>
      </c>
      <c r="M433">
        <f t="shared" si="95"/>
        <v>2.571E-2</v>
      </c>
      <c r="S433">
        <f t="shared" si="96"/>
        <v>1</v>
      </c>
      <c r="T433">
        <f t="shared" si="97"/>
        <v>0</v>
      </c>
      <c r="U433">
        <f t="shared" si="98"/>
        <v>0</v>
      </c>
      <c r="V433">
        <f t="shared" si="99"/>
        <v>0</v>
      </c>
      <c r="W433">
        <f t="shared" si="100"/>
        <v>0</v>
      </c>
      <c r="X433">
        <f t="shared" si="101"/>
        <v>0</v>
      </c>
      <c r="Y433">
        <f t="shared" si="102"/>
        <v>0</v>
      </c>
    </row>
    <row r="434" spans="1:25" hidden="1">
      <c r="A434" t="str">
        <f t="shared" si="103"/>
        <v>Lee 1977</v>
      </c>
      <c r="C434">
        <v>4953.2</v>
      </c>
      <c r="E434">
        <v>2.5899999999999999E-2</v>
      </c>
      <c r="H434">
        <f t="shared" si="104"/>
        <v>393.2</v>
      </c>
      <c r="I434">
        <f t="shared" si="94"/>
        <v>49.531999999999996</v>
      </c>
      <c r="J434">
        <v>0</v>
      </c>
      <c r="M434">
        <f t="shared" si="95"/>
        <v>2.5899999999999999E-2</v>
      </c>
      <c r="S434">
        <f t="shared" si="96"/>
        <v>1</v>
      </c>
      <c r="T434">
        <f t="shared" si="97"/>
        <v>0</v>
      </c>
      <c r="U434">
        <f t="shared" si="98"/>
        <v>0</v>
      </c>
      <c r="V434">
        <f t="shared" si="99"/>
        <v>0</v>
      </c>
      <c r="W434">
        <f t="shared" si="100"/>
        <v>0</v>
      </c>
      <c r="X434">
        <f t="shared" si="101"/>
        <v>0</v>
      </c>
      <c r="Y434">
        <f t="shared" si="102"/>
        <v>0</v>
      </c>
    </row>
    <row r="435" spans="1:25" hidden="1">
      <c r="A435" t="str">
        <f t="shared" si="103"/>
        <v>Lee 1977</v>
      </c>
      <c r="C435">
        <v>5518.6</v>
      </c>
      <c r="E435">
        <v>2.879E-2</v>
      </c>
      <c r="H435">
        <f t="shared" si="104"/>
        <v>393.2</v>
      </c>
      <c r="I435">
        <f t="shared" si="94"/>
        <v>55.186000000000007</v>
      </c>
      <c r="J435">
        <v>0</v>
      </c>
      <c r="M435">
        <f t="shared" si="95"/>
        <v>2.879E-2</v>
      </c>
      <c r="S435">
        <f t="shared" si="96"/>
        <v>1</v>
      </c>
      <c r="T435">
        <f t="shared" si="97"/>
        <v>0</v>
      </c>
      <c r="U435">
        <f t="shared" si="98"/>
        <v>0</v>
      </c>
      <c r="V435">
        <f t="shared" si="99"/>
        <v>0</v>
      </c>
      <c r="W435">
        <f t="shared" si="100"/>
        <v>0</v>
      </c>
      <c r="X435">
        <f t="shared" si="101"/>
        <v>0</v>
      </c>
      <c r="Y435">
        <f t="shared" si="102"/>
        <v>0</v>
      </c>
    </row>
    <row r="436" spans="1:25" hidden="1">
      <c r="A436" t="str">
        <f t="shared" si="103"/>
        <v>Lee 1977</v>
      </c>
      <c r="C436">
        <v>5746.5</v>
      </c>
      <c r="E436">
        <v>2.9839999999999998E-2</v>
      </c>
      <c r="H436" t="s">
        <v>91</v>
      </c>
      <c r="I436">
        <f t="shared" si="94"/>
        <v>57.465000000000003</v>
      </c>
      <c r="J436">
        <v>0</v>
      </c>
      <c r="M436">
        <f t="shared" si="95"/>
        <v>2.9839999999999998E-2</v>
      </c>
      <c r="S436">
        <f t="shared" si="96"/>
        <v>1</v>
      </c>
      <c r="T436">
        <f t="shared" si="97"/>
        <v>0</v>
      </c>
      <c r="U436">
        <f t="shared" si="98"/>
        <v>0</v>
      </c>
      <c r="V436">
        <f t="shared" si="99"/>
        <v>0</v>
      </c>
      <c r="W436">
        <f t="shared" si="100"/>
        <v>0</v>
      </c>
      <c r="X436">
        <f t="shared" si="101"/>
        <v>0</v>
      </c>
      <c r="Y436">
        <f t="shared" si="102"/>
        <v>0</v>
      </c>
    </row>
    <row r="437" spans="1:25" hidden="1">
      <c r="A437" t="str">
        <f t="shared" si="103"/>
        <v>Lee 1977</v>
      </c>
      <c r="C437">
        <v>5863.3</v>
      </c>
      <c r="E437">
        <v>3.0499999999999999E-2</v>
      </c>
      <c r="H437" t="str">
        <f t="shared" ref="H437:H448" si="105">H436</f>
        <v>addin</v>
      </c>
      <c r="I437">
        <f t="shared" si="94"/>
        <v>58.633000000000003</v>
      </c>
      <c r="J437">
        <v>0</v>
      </c>
      <c r="M437">
        <f t="shared" si="95"/>
        <v>3.0499999999999999E-2</v>
      </c>
      <c r="S437">
        <f t="shared" si="96"/>
        <v>1</v>
      </c>
      <c r="T437">
        <f t="shared" si="97"/>
        <v>0</v>
      </c>
      <c r="U437">
        <f t="shared" si="98"/>
        <v>0</v>
      </c>
      <c r="V437">
        <f t="shared" si="99"/>
        <v>0</v>
      </c>
      <c r="W437">
        <f t="shared" si="100"/>
        <v>0</v>
      </c>
      <c r="X437">
        <f t="shared" si="101"/>
        <v>0</v>
      </c>
      <c r="Y437">
        <f t="shared" si="102"/>
        <v>0</v>
      </c>
    </row>
    <row r="438" spans="1:25" hidden="1">
      <c r="A438" t="str">
        <f t="shared" si="103"/>
        <v>Lee 1977</v>
      </c>
      <c r="C438">
        <v>5987.4</v>
      </c>
      <c r="E438">
        <v>3.099E-2</v>
      </c>
      <c r="H438" t="str">
        <f t="shared" si="105"/>
        <v>addin</v>
      </c>
      <c r="I438">
        <f t="shared" si="94"/>
        <v>59.873999999999995</v>
      </c>
      <c r="J438">
        <v>0</v>
      </c>
      <c r="M438">
        <f t="shared" si="95"/>
        <v>3.099E-2</v>
      </c>
      <c r="S438">
        <f t="shared" si="96"/>
        <v>1</v>
      </c>
      <c r="T438">
        <f t="shared" si="97"/>
        <v>0</v>
      </c>
      <c r="U438">
        <f t="shared" si="98"/>
        <v>0</v>
      </c>
      <c r="V438">
        <f t="shared" si="99"/>
        <v>0</v>
      </c>
      <c r="W438">
        <f t="shared" si="100"/>
        <v>0</v>
      </c>
      <c r="X438">
        <f t="shared" si="101"/>
        <v>0</v>
      </c>
      <c r="Y438">
        <f t="shared" si="102"/>
        <v>0</v>
      </c>
    </row>
    <row r="439" spans="1:25" hidden="1">
      <c r="A439" t="str">
        <f t="shared" si="103"/>
        <v>Lee 1977</v>
      </c>
      <c r="C439">
        <v>6049.5</v>
      </c>
      <c r="E439">
        <v>3.168E-2</v>
      </c>
      <c r="H439" t="str">
        <f t="shared" si="105"/>
        <v>addin</v>
      </c>
      <c r="I439">
        <f t="shared" si="94"/>
        <v>60.494999999999997</v>
      </c>
      <c r="J439">
        <v>0</v>
      </c>
      <c r="M439">
        <f t="shared" si="95"/>
        <v>3.168E-2</v>
      </c>
      <c r="S439">
        <f t="shared" si="96"/>
        <v>1</v>
      </c>
      <c r="T439">
        <f t="shared" si="97"/>
        <v>0</v>
      </c>
      <c r="U439">
        <f t="shared" si="98"/>
        <v>0</v>
      </c>
      <c r="V439">
        <f t="shared" si="99"/>
        <v>0</v>
      </c>
      <c r="W439">
        <f t="shared" si="100"/>
        <v>0</v>
      </c>
      <c r="X439">
        <f t="shared" si="101"/>
        <v>0</v>
      </c>
      <c r="Y439">
        <f t="shared" si="102"/>
        <v>0</v>
      </c>
    </row>
    <row r="440" spans="1:25" hidden="1">
      <c r="A440" t="str">
        <f t="shared" si="103"/>
        <v>Lee 1977</v>
      </c>
      <c r="C440">
        <v>6194.7</v>
      </c>
      <c r="E440">
        <v>3.2059999999999998E-2</v>
      </c>
      <c r="H440" t="str">
        <f t="shared" si="105"/>
        <v>addin</v>
      </c>
      <c r="I440">
        <f t="shared" si="94"/>
        <v>61.946999999999996</v>
      </c>
      <c r="J440">
        <v>0</v>
      </c>
      <c r="M440">
        <f t="shared" si="95"/>
        <v>3.2059999999999998E-2</v>
      </c>
      <c r="S440">
        <f t="shared" si="96"/>
        <v>1</v>
      </c>
      <c r="T440">
        <f t="shared" si="97"/>
        <v>0</v>
      </c>
      <c r="U440">
        <f t="shared" si="98"/>
        <v>0</v>
      </c>
      <c r="V440">
        <f t="shared" si="99"/>
        <v>0</v>
      </c>
      <c r="W440">
        <f t="shared" si="100"/>
        <v>0</v>
      </c>
      <c r="X440">
        <f t="shared" si="101"/>
        <v>0</v>
      </c>
      <c r="Y440">
        <f t="shared" si="102"/>
        <v>0</v>
      </c>
    </row>
    <row r="441" spans="1:25" hidden="1">
      <c r="A441" t="str">
        <f t="shared" si="103"/>
        <v>Lee 1977</v>
      </c>
      <c r="C441">
        <v>6208.5</v>
      </c>
      <c r="E441">
        <v>3.177E-2</v>
      </c>
      <c r="H441" t="str">
        <f t="shared" si="105"/>
        <v>addin</v>
      </c>
      <c r="I441">
        <f t="shared" si="94"/>
        <v>62.085000000000001</v>
      </c>
      <c r="J441">
        <v>0</v>
      </c>
      <c r="M441">
        <f t="shared" si="95"/>
        <v>3.177E-2</v>
      </c>
      <c r="S441">
        <f t="shared" si="96"/>
        <v>1</v>
      </c>
      <c r="T441">
        <f t="shared" si="97"/>
        <v>0</v>
      </c>
      <c r="U441">
        <f t="shared" si="98"/>
        <v>0</v>
      </c>
      <c r="V441">
        <f t="shared" si="99"/>
        <v>0</v>
      </c>
      <c r="W441">
        <f t="shared" si="100"/>
        <v>0</v>
      </c>
      <c r="X441">
        <f t="shared" si="101"/>
        <v>0</v>
      </c>
      <c r="Y441">
        <f t="shared" si="102"/>
        <v>0</v>
      </c>
    </row>
    <row r="442" spans="1:25" hidden="1">
      <c r="A442" t="str">
        <f t="shared" si="103"/>
        <v>Lee 1977</v>
      </c>
      <c r="C442">
        <v>6228.7</v>
      </c>
      <c r="E442">
        <v>3.2230000000000002E-2</v>
      </c>
      <c r="H442" t="str">
        <f t="shared" si="105"/>
        <v>addin</v>
      </c>
      <c r="I442">
        <f t="shared" si="94"/>
        <v>62.286999999999999</v>
      </c>
      <c r="J442">
        <v>0</v>
      </c>
      <c r="M442">
        <f t="shared" si="95"/>
        <v>3.2230000000000002E-2</v>
      </c>
      <c r="S442">
        <f t="shared" si="96"/>
        <v>1</v>
      </c>
      <c r="T442">
        <f t="shared" si="97"/>
        <v>0</v>
      </c>
      <c r="U442">
        <f t="shared" si="98"/>
        <v>0</v>
      </c>
      <c r="V442">
        <f t="shared" si="99"/>
        <v>0</v>
      </c>
      <c r="W442">
        <f t="shared" si="100"/>
        <v>0</v>
      </c>
      <c r="X442">
        <f t="shared" si="101"/>
        <v>0</v>
      </c>
      <c r="Y442">
        <f t="shared" si="102"/>
        <v>0</v>
      </c>
    </row>
    <row r="443" spans="1:25" hidden="1">
      <c r="A443" t="str">
        <f t="shared" si="103"/>
        <v>Lee 1977</v>
      </c>
      <c r="C443">
        <v>6394.6</v>
      </c>
      <c r="E443">
        <v>3.3169999999999998E-2</v>
      </c>
      <c r="H443" t="str">
        <f t="shared" si="105"/>
        <v>addin</v>
      </c>
      <c r="I443">
        <f t="shared" si="94"/>
        <v>63.946000000000005</v>
      </c>
      <c r="J443">
        <v>0</v>
      </c>
      <c r="M443">
        <f t="shared" si="95"/>
        <v>3.3169999999999998E-2</v>
      </c>
      <c r="S443">
        <f t="shared" si="96"/>
        <v>1</v>
      </c>
      <c r="T443">
        <f t="shared" si="97"/>
        <v>0</v>
      </c>
      <c r="U443">
        <f t="shared" si="98"/>
        <v>0</v>
      </c>
      <c r="V443">
        <f t="shared" si="99"/>
        <v>0</v>
      </c>
      <c r="W443">
        <f t="shared" si="100"/>
        <v>0</v>
      </c>
      <c r="X443">
        <f t="shared" si="101"/>
        <v>0</v>
      </c>
      <c r="Y443">
        <f t="shared" si="102"/>
        <v>0</v>
      </c>
    </row>
    <row r="444" spans="1:25" hidden="1">
      <c r="A444" t="str">
        <f t="shared" si="103"/>
        <v>Lee 1977</v>
      </c>
      <c r="C444">
        <v>6394.7</v>
      </c>
      <c r="E444">
        <v>3.3149999999999999E-2</v>
      </c>
      <c r="H444" t="str">
        <f t="shared" si="105"/>
        <v>addin</v>
      </c>
      <c r="I444">
        <f t="shared" si="94"/>
        <v>63.946999999999996</v>
      </c>
      <c r="J444">
        <v>0</v>
      </c>
      <c r="M444">
        <f t="shared" si="95"/>
        <v>3.3149999999999999E-2</v>
      </c>
      <c r="S444">
        <f t="shared" si="96"/>
        <v>1</v>
      </c>
      <c r="T444">
        <f t="shared" si="97"/>
        <v>0</v>
      </c>
      <c r="U444">
        <f t="shared" si="98"/>
        <v>0</v>
      </c>
      <c r="V444">
        <f t="shared" si="99"/>
        <v>0</v>
      </c>
      <c r="W444">
        <f t="shared" si="100"/>
        <v>0</v>
      </c>
      <c r="X444">
        <f t="shared" si="101"/>
        <v>0</v>
      </c>
      <c r="Y444">
        <f t="shared" si="102"/>
        <v>0</v>
      </c>
    </row>
    <row r="445" spans="1:25" hidden="1">
      <c r="A445" t="str">
        <f t="shared" si="103"/>
        <v>Lee 1977</v>
      </c>
      <c r="C445">
        <v>6491.1</v>
      </c>
      <c r="E445">
        <v>3.3320000000000002E-2</v>
      </c>
      <c r="H445" t="str">
        <f t="shared" si="105"/>
        <v>addin</v>
      </c>
      <c r="I445">
        <f t="shared" si="94"/>
        <v>64.911000000000001</v>
      </c>
      <c r="J445">
        <v>0</v>
      </c>
      <c r="M445">
        <f t="shared" si="95"/>
        <v>3.3320000000000002E-2</v>
      </c>
      <c r="S445">
        <f t="shared" si="96"/>
        <v>1</v>
      </c>
      <c r="T445">
        <f t="shared" si="97"/>
        <v>0</v>
      </c>
      <c r="U445">
        <f t="shared" si="98"/>
        <v>0</v>
      </c>
      <c r="V445">
        <f t="shared" si="99"/>
        <v>0</v>
      </c>
      <c r="W445">
        <f t="shared" si="100"/>
        <v>0</v>
      </c>
      <c r="X445">
        <f t="shared" si="101"/>
        <v>0</v>
      </c>
      <c r="Y445">
        <f t="shared" si="102"/>
        <v>0</v>
      </c>
    </row>
    <row r="446" spans="1:25" hidden="1">
      <c r="A446" t="str">
        <f t="shared" si="103"/>
        <v>Lee 1977</v>
      </c>
      <c r="C446">
        <v>6573.9</v>
      </c>
      <c r="E446">
        <v>3.3590000000000002E-2</v>
      </c>
      <c r="H446" t="str">
        <f t="shared" si="105"/>
        <v>addin</v>
      </c>
      <c r="I446">
        <f t="shared" si="94"/>
        <v>65.73899999999999</v>
      </c>
      <c r="J446">
        <v>0</v>
      </c>
      <c r="M446">
        <f t="shared" si="95"/>
        <v>3.3590000000000002E-2</v>
      </c>
      <c r="S446">
        <f t="shared" si="96"/>
        <v>1</v>
      </c>
      <c r="T446">
        <f t="shared" si="97"/>
        <v>0</v>
      </c>
      <c r="U446">
        <f t="shared" si="98"/>
        <v>0</v>
      </c>
      <c r="V446">
        <f t="shared" si="99"/>
        <v>0</v>
      </c>
      <c r="W446">
        <f t="shared" si="100"/>
        <v>0</v>
      </c>
      <c r="X446">
        <f t="shared" si="101"/>
        <v>0</v>
      </c>
      <c r="Y446">
        <f t="shared" si="102"/>
        <v>0</v>
      </c>
    </row>
    <row r="447" spans="1:25" hidden="1">
      <c r="A447" t="str">
        <f t="shared" si="103"/>
        <v>Lee 1977</v>
      </c>
      <c r="C447">
        <v>6587.3</v>
      </c>
      <c r="E447">
        <v>3.388E-2</v>
      </c>
      <c r="H447" t="str">
        <f t="shared" si="105"/>
        <v>addin</v>
      </c>
      <c r="I447">
        <f t="shared" si="94"/>
        <v>65.873000000000005</v>
      </c>
      <c r="J447">
        <v>0</v>
      </c>
      <c r="M447">
        <f t="shared" si="95"/>
        <v>3.388E-2</v>
      </c>
      <c r="S447">
        <f t="shared" si="96"/>
        <v>1</v>
      </c>
      <c r="T447">
        <f t="shared" si="97"/>
        <v>0</v>
      </c>
      <c r="U447">
        <f t="shared" si="98"/>
        <v>0</v>
      </c>
      <c r="V447">
        <f t="shared" si="99"/>
        <v>0</v>
      </c>
      <c r="W447">
        <f t="shared" si="100"/>
        <v>0</v>
      </c>
      <c r="X447">
        <f t="shared" si="101"/>
        <v>0</v>
      </c>
      <c r="Y447">
        <f t="shared" si="102"/>
        <v>0</v>
      </c>
    </row>
    <row r="448" spans="1:25" hidden="1">
      <c r="A448" t="str">
        <f t="shared" si="103"/>
        <v>Lee 1977</v>
      </c>
      <c r="C448">
        <v>6670.4</v>
      </c>
      <c r="E448">
        <v>3.4160000000000003E-2</v>
      </c>
      <c r="H448" t="str">
        <f t="shared" si="105"/>
        <v>addin</v>
      </c>
      <c r="I448">
        <f t="shared" si="94"/>
        <v>66.703999999999994</v>
      </c>
      <c r="J448">
        <v>0</v>
      </c>
      <c r="M448">
        <f t="shared" si="95"/>
        <v>3.4160000000000003E-2</v>
      </c>
      <c r="S448">
        <f t="shared" si="96"/>
        <v>1</v>
      </c>
      <c r="T448">
        <f t="shared" si="97"/>
        <v>0</v>
      </c>
      <c r="U448">
        <f t="shared" si="98"/>
        <v>0</v>
      </c>
      <c r="V448">
        <f t="shared" si="99"/>
        <v>0</v>
      </c>
      <c r="W448">
        <f t="shared" si="100"/>
        <v>0</v>
      </c>
      <c r="X448">
        <f t="shared" si="101"/>
        <v>0</v>
      </c>
      <c r="Y448">
        <f t="shared" si="102"/>
        <v>0</v>
      </c>
    </row>
    <row r="449" spans="1:25" hidden="1">
      <c r="A449" t="str">
        <f t="shared" si="103"/>
        <v>Lee 1977</v>
      </c>
      <c r="C449">
        <v>692.5</v>
      </c>
      <c r="E449">
        <v>9.5E-4</v>
      </c>
      <c r="H449">
        <v>423.2</v>
      </c>
      <c r="I449">
        <f t="shared" si="94"/>
        <v>6.9249999999999998</v>
      </c>
      <c r="J449">
        <v>0</v>
      </c>
      <c r="M449">
        <f t="shared" si="95"/>
        <v>9.5E-4</v>
      </c>
      <c r="S449">
        <f t="shared" si="96"/>
        <v>1</v>
      </c>
      <c r="T449">
        <f t="shared" si="97"/>
        <v>0</v>
      </c>
      <c r="U449">
        <f t="shared" si="98"/>
        <v>0</v>
      </c>
      <c r="V449">
        <f t="shared" si="99"/>
        <v>0</v>
      </c>
      <c r="W449">
        <f t="shared" si="100"/>
        <v>0</v>
      </c>
      <c r="X449">
        <f t="shared" si="101"/>
        <v>0</v>
      </c>
      <c r="Y449">
        <f t="shared" si="102"/>
        <v>0</v>
      </c>
    </row>
    <row r="450" spans="1:25" hidden="1">
      <c r="A450" t="str">
        <f t="shared" si="103"/>
        <v>Lee 1977</v>
      </c>
      <c r="C450">
        <v>933.8</v>
      </c>
      <c r="E450">
        <v>2.16E-3</v>
      </c>
      <c r="H450">
        <f t="shared" ref="H450:H476" si="106">H449</f>
        <v>423.2</v>
      </c>
      <c r="I450">
        <f t="shared" si="94"/>
        <v>9.3379999999999992</v>
      </c>
      <c r="J450">
        <v>0</v>
      </c>
      <c r="M450">
        <f t="shared" si="95"/>
        <v>2.16E-3</v>
      </c>
      <c r="S450">
        <f t="shared" si="96"/>
        <v>1</v>
      </c>
      <c r="T450">
        <f t="shared" si="97"/>
        <v>0</v>
      </c>
      <c r="U450">
        <f t="shared" si="98"/>
        <v>0</v>
      </c>
      <c r="V450">
        <f t="shared" si="99"/>
        <v>0</v>
      </c>
      <c r="W450">
        <f t="shared" si="100"/>
        <v>0</v>
      </c>
      <c r="X450">
        <f t="shared" si="101"/>
        <v>0</v>
      </c>
      <c r="Y450">
        <f t="shared" si="102"/>
        <v>0</v>
      </c>
    </row>
    <row r="451" spans="1:25" hidden="1">
      <c r="A451" t="str">
        <f t="shared" si="103"/>
        <v>Lee 1977</v>
      </c>
      <c r="C451">
        <v>1154.4000000000001</v>
      </c>
      <c r="E451">
        <v>3.3300000000000001E-3</v>
      </c>
      <c r="H451">
        <f t="shared" si="106"/>
        <v>423.2</v>
      </c>
      <c r="I451">
        <f t="shared" si="94"/>
        <v>11.544</v>
      </c>
      <c r="J451">
        <v>0</v>
      </c>
      <c r="M451">
        <f t="shared" si="95"/>
        <v>3.3300000000000001E-3</v>
      </c>
      <c r="S451">
        <f t="shared" si="96"/>
        <v>1</v>
      </c>
      <c r="T451">
        <f t="shared" si="97"/>
        <v>0</v>
      </c>
      <c r="U451">
        <f t="shared" si="98"/>
        <v>0</v>
      </c>
      <c r="V451">
        <f t="shared" si="99"/>
        <v>0</v>
      </c>
      <c r="W451">
        <f t="shared" si="100"/>
        <v>0</v>
      </c>
      <c r="X451">
        <f t="shared" si="101"/>
        <v>0</v>
      </c>
      <c r="Y451">
        <f t="shared" si="102"/>
        <v>0</v>
      </c>
    </row>
    <row r="452" spans="1:25" hidden="1">
      <c r="A452" t="str">
        <f t="shared" si="103"/>
        <v>Lee 1977</v>
      </c>
      <c r="C452">
        <v>1388.8</v>
      </c>
      <c r="E452">
        <v>4.4200000000000003E-3</v>
      </c>
      <c r="H452">
        <f t="shared" si="106"/>
        <v>423.2</v>
      </c>
      <c r="I452">
        <f t="shared" si="94"/>
        <v>13.888</v>
      </c>
      <c r="J452">
        <v>0</v>
      </c>
      <c r="M452">
        <f t="shared" si="95"/>
        <v>4.4200000000000003E-3</v>
      </c>
      <c r="S452">
        <f t="shared" si="96"/>
        <v>1</v>
      </c>
      <c r="T452">
        <f t="shared" si="97"/>
        <v>0</v>
      </c>
      <c r="U452">
        <f t="shared" si="98"/>
        <v>0</v>
      </c>
      <c r="V452">
        <f t="shared" si="99"/>
        <v>0</v>
      </c>
      <c r="W452">
        <f t="shared" si="100"/>
        <v>0</v>
      </c>
      <c r="X452">
        <f t="shared" si="101"/>
        <v>0</v>
      </c>
      <c r="Y452">
        <f t="shared" si="102"/>
        <v>0</v>
      </c>
    </row>
    <row r="453" spans="1:25" hidden="1">
      <c r="A453" t="str">
        <f t="shared" si="103"/>
        <v>Lee 1977</v>
      </c>
      <c r="C453">
        <v>1471.4</v>
      </c>
      <c r="E453">
        <v>4.9899999999999996E-3</v>
      </c>
      <c r="H453">
        <f t="shared" si="106"/>
        <v>423.2</v>
      </c>
      <c r="I453">
        <f t="shared" si="94"/>
        <v>14.714</v>
      </c>
      <c r="J453">
        <v>0</v>
      </c>
      <c r="M453">
        <f t="shared" si="95"/>
        <v>4.9899999999999996E-3</v>
      </c>
      <c r="S453">
        <f t="shared" si="96"/>
        <v>1</v>
      </c>
      <c r="T453">
        <f t="shared" si="97"/>
        <v>0</v>
      </c>
      <c r="U453">
        <f t="shared" si="98"/>
        <v>0</v>
      </c>
      <c r="V453">
        <f t="shared" si="99"/>
        <v>0</v>
      </c>
      <c r="W453">
        <f t="shared" si="100"/>
        <v>0</v>
      </c>
      <c r="X453">
        <f t="shared" si="101"/>
        <v>0</v>
      </c>
      <c r="Y453">
        <f t="shared" si="102"/>
        <v>0</v>
      </c>
    </row>
    <row r="454" spans="1:25" hidden="1">
      <c r="A454" t="str">
        <f t="shared" si="103"/>
        <v>Lee 1977</v>
      </c>
      <c r="C454">
        <v>1568.9</v>
      </c>
      <c r="E454">
        <v>5.5199999999999997E-3</v>
      </c>
      <c r="H454">
        <f t="shared" si="106"/>
        <v>423.2</v>
      </c>
      <c r="I454">
        <f t="shared" si="94"/>
        <v>15.689</v>
      </c>
      <c r="J454">
        <f t="shared" ref="J454:J485" si="107">J453</f>
        <v>0</v>
      </c>
      <c r="M454">
        <f t="shared" si="95"/>
        <v>5.5199999999999997E-3</v>
      </c>
      <c r="S454">
        <f t="shared" si="96"/>
        <v>1</v>
      </c>
      <c r="T454">
        <f t="shared" si="97"/>
        <v>0</v>
      </c>
      <c r="U454">
        <f t="shared" si="98"/>
        <v>0</v>
      </c>
      <c r="V454">
        <f t="shared" si="99"/>
        <v>0</v>
      </c>
      <c r="W454">
        <f t="shared" si="100"/>
        <v>0</v>
      </c>
      <c r="X454">
        <f t="shared" si="101"/>
        <v>0</v>
      </c>
      <c r="Y454">
        <f t="shared" si="102"/>
        <v>0</v>
      </c>
    </row>
    <row r="455" spans="1:25" hidden="1">
      <c r="A455" t="str">
        <f t="shared" si="103"/>
        <v>Lee 1977</v>
      </c>
      <c r="C455">
        <v>1741</v>
      </c>
      <c r="E455">
        <v>6.3499999999999997E-3</v>
      </c>
      <c r="H455">
        <f t="shared" si="106"/>
        <v>423.2</v>
      </c>
      <c r="I455">
        <f t="shared" si="94"/>
        <v>17.41</v>
      </c>
      <c r="J455">
        <f t="shared" si="107"/>
        <v>0</v>
      </c>
      <c r="M455">
        <f t="shared" si="95"/>
        <v>6.3499999999999997E-3</v>
      </c>
      <c r="S455">
        <f t="shared" si="96"/>
        <v>1</v>
      </c>
      <c r="T455">
        <f t="shared" si="97"/>
        <v>0</v>
      </c>
      <c r="U455">
        <f t="shared" si="98"/>
        <v>0</v>
      </c>
      <c r="V455">
        <f t="shared" si="99"/>
        <v>0</v>
      </c>
      <c r="W455">
        <f t="shared" si="100"/>
        <v>0</v>
      </c>
      <c r="X455">
        <f t="shared" si="101"/>
        <v>0</v>
      </c>
      <c r="Y455">
        <f t="shared" si="102"/>
        <v>0</v>
      </c>
    </row>
    <row r="456" spans="1:25" hidden="1">
      <c r="A456" t="str">
        <f t="shared" si="103"/>
        <v>Lee 1977</v>
      </c>
      <c r="C456">
        <v>1768.2</v>
      </c>
      <c r="E456">
        <v>6.2599999999999999E-3</v>
      </c>
      <c r="H456">
        <f t="shared" si="106"/>
        <v>423.2</v>
      </c>
      <c r="I456">
        <f t="shared" si="94"/>
        <v>17.682000000000002</v>
      </c>
      <c r="J456">
        <f t="shared" si="107"/>
        <v>0</v>
      </c>
      <c r="M456">
        <f t="shared" si="95"/>
        <v>6.2599999999999999E-3</v>
      </c>
      <c r="S456">
        <f t="shared" si="96"/>
        <v>1</v>
      </c>
      <c r="T456">
        <f t="shared" si="97"/>
        <v>0</v>
      </c>
      <c r="U456">
        <f t="shared" si="98"/>
        <v>0</v>
      </c>
      <c r="V456">
        <f t="shared" si="99"/>
        <v>0</v>
      </c>
      <c r="W456">
        <f t="shared" si="100"/>
        <v>0</v>
      </c>
      <c r="X456">
        <f t="shared" si="101"/>
        <v>0</v>
      </c>
      <c r="Y456">
        <f t="shared" si="102"/>
        <v>0</v>
      </c>
    </row>
    <row r="457" spans="1:25" hidden="1">
      <c r="A457" t="str">
        <f t="shared" si="103"/>
        <v>Lee 1977</v>
      </c>
      <c r="C457">
        <v>1898.9</v>
      </c>
      <c r="E457">
        <v>7.4900000000000001E-3</v>
      </c>
      <c r="H457">
        <f t="shared" si="106"/>
        <v>423.2</v>
      </c>
      <c r="I457">
        <f t="shared" si="94"/>
        <v>18.989000000000001</v>
      </c>
      <c r="J457">
        <f t="shared" si="107"/>
        <v>0</v>
      </c>
      <c r="M457">
        <f t="shared" si="95"/>
        <v>7.4900000000000001E-3</v>
      </c>
      <c r="S457">
        <f t="shared" si="96"/>
        <v>1</v>
      </c>
      <c r="T457">
        <f t="shared" si="97"/>
        <v>0</v>
      </c>
      <c r="U457">
        <f t="shared" si="98"/>
        <v>0</v>
      </c>
      <c r="V457">
        <f t="shared" si="99"/>
        <v>0</v>
      </c>
      <c r="W457">
        <f t="shared" si="100"/>
        <v>0</v>
      </c>
      <c r="X457">
        <f t="shared" si="101"/>
        <v>0</v>
      </c>
      <c r="Y457">
        <f t="shared" si="102"/>
        <v>0</v>
      </c>
    </row>
    <row r="458" spans="1:25" hidden="1">
      <c r="A458" t="str">
        <f t="shared" si="103"/>
        <v>Lee 1977</v>
      </c>
      <c r="C458">
        <v>2031.8</v>
      </c>
      <c r="E458">
        <v>7.8700000000000003E-3</v>
      </c>
      <c r="H458">
        <f t="shared" si="106"/>
        <v>423.2</v>
      </c>
      <c r="I458">
        <f t="shared" si="94"/>
        <v>20.317999999999998</v>
      </c>
      <c r="J458">
        <f t="shared" si="107"/>
        <v>0</v>
      </c>
      <c r="M458">
        <f t="shared" si="95"/>
        <v>7.8700000000000003E-3</v>
      </c>
      <c r="S458">
        <f t="shared" si="96"/>
        <v>1</v>
      </c>
      <c r="T458">
        <f t="shared" si="97"/>
        <v>0</v>
      </c>
      <c r="U458">
        <f t="shared" si="98"/>
        <v>0</v>
      </c>
      <c r="V458">
        <f t="shared" si="99"/>
        <v>0</v>
      </c>
      <c r="W458">
        <f t="shared" si="100"/>
        <v>0</v>
      </c>
      <c r="X458">
        <f t="shared" si="101"/>
        <v>0</v>
      </c>
      <c r="Y458">
        <f t="shared" si="102"/>
        <v>0</v>
      </c>
    </row>
    <row r="459" spans="1:25" hidden="1">
      <c r="A459" t="str">
        <f t="shared" si="103"/>
        <v>Lee 1977</v>
      </c>
      <c r="C459">
        <v>2078.1999999999998</v>
      </c>
      <c r="E459">
        <v>8.1600000000000006E-3</v>
      </c>
      <c r="H459">
        <f t="shared" si="106"/>
        <v>423.2</v>
      </c>
      <c r="I459">
        <f t="shared" si="94"/>
        <v>20.781999999999996</v>
      </c>
      <c r="J459">
        <f t="shared" si="107"/>
        <v>0</v>
      </c>
      <c r="M459">
        <f t="shared" si="95"/>
        <v>8.1600000000000006E-3</v>
      </c>
      <c r="S459">
        <f t="shared" si="96"/>
        <v>1</v>
      </c>
      <c r="T459">
        <f t="shared" si="97"/>
        <v>0</v>
      </c>
      <c r="U459">
        <f t="shared" si="98"/>
        <v>0</v>
      </c>
      <c r="V459">
        <f t="shared" si="99"/>
        <v>0</v>
      </c>
      <c r="W459">
        <f t="shared" si="100"/>
        <v>0</v>
      </c>
      <c r="X459">
        <f t="shared" si="101"/>
        <v>0</v>
      </c>
      <c r="Y459">
        <f t="shared" si="102"/>
        <v>0</v>
      </c>
    </row>
    <row r="460" spans="1:25" hidden="1">
      <c r="A460" t="str">
        <f t="shared" si="103"/>
        <v>Lee 1977</v>
      </c>
      <c r="C460">
        <v>2223.6</v>
      </c>
      <c r="E460">
        <v>8.6300000000000005E-3</v>
      </c>
      <c r="H460">
        <f t="shared" si="106"/>
        <v>423.2</v>
      </c>
      <c r="I460">
        <f t="shared" si="94"/>
        <v>22.236000000000001</v>
      </c>
      <c r="J460">
        <f t="shared" si="107"/>
        <v>0</v>
      </c>
      <c r="M460">
        <f t="shared" si="95"/>
        <v>8.6300000000000005E-3</v>
      </c>
      <c r="S460">
        <f t="shared" si="96"/>
        <v>1</v>
      </c>
      <c r="T460">
        <f t="shared" si="97"/>
        <v>0</v>
      </c>
      <c r="U460">
        <f t="shared" si="98"/>
        <v>0</v>
      </c>
      <c r="V460">
        <f t="shared" si="99"/>
        <v>0</v>
      </c>
      <c r="W460">
        <f t="shared" si="100"/>
        <v>0</v>
      </c>
      <c r="X460">
        <f t="shared" si="101"/>
        <v>0</v>
      </c>
      <c r="Y460">
        <f t="shared" si="102"/>
        <v>0</v>
      </c>
    </row>
    <row r="461" spans="1:25" hidden="1">
      <c r="A461" t="str">
        <f t="shared" si="103"/>
        <v>Lee 1977</v>
      </c>
      <c r="C461">
        <v>2230.5</v>
      </c>
      <c r="E461">
        <v>8.77E-3</v>
      </c>
      <c r="H461">
        <f t="shared" si="106"/>
        <v>423.2</v>
      </c>
      <c r="I461">
        <f t="shared" si="94"/>
        <v>22.305</v>
      </c>
      <c r="J461">
        <f t="shared" si="107"/>
        <v>0</v>
      </c>
      <c r="M461">
        <f t="shared" si="95"/>
        <v>8.77E-3</v>
      </c>
      <c r="S461">
        <f t="shared" si="96"/>
        <v>1</v>
      </c>
      <c r="T461">
        <f t="shared" si="97"/>
        <v>0</v>
      </c>
      <c r="U461">
        <f t="shared" si="98"/>
        <v>0</v>
      </c>
      <c r="V461">
        <f t="shared" si="99"/>
        <v>0</v>
      </c>
      <c r="W461">
        <f t="shared" si="100"/>
        <v>0</v>
      </c>
      <c r="X461">
        <f t="shared" si="101"/>
        <v>0</v>
      </c>
      <c r="Y461">
        <f t="shared" si="102"/>
        <v>0</v>
      </c>
    </row>
    <row r="462" spans="1:25" hidden="1">
      <c r="A462" t="str">
        <f t="shared" si="103"/>
        <v>Lee 1977</v>
      </c>
      <c r="C462">
        <v>2376.5</v>
      </c>
      <c r="E462">
        <v>9.5700000000000004E-3</v>
      </c>
      <c r="H462">
        <f t="shared" si="106"/>
        <v>423.2</v>
      </c>
      <c r="I462">
        <f t="shared" si="94"/>
        <v>23.765000000000001</v>
      </c>
      <c r="J462">
        <f t="shared" si="107"/>
        <v>0</v>
      </c>
      <c r="M462">
        <f t="shared" si="95"/>
        <v>9.5700000000000004E-3</v>
      </c>
      <c r="S462">
        <f t="shared" si="96"/>
        <v>1</v>
      </c>
      <c r="T462">
        <f t="shared" si="97"/>
        <v>0</v>
      </c>
      <c r="U462">
        <f t="shared" si="98"/>
        <v>0</v>
      </c>
      <c r="V462">
        <f t="shared" si="99"/>
        <v>0</v>
      </c>
      <c r="W462">
        <f t="shared" si="100"/>
        <v>0</v>
      </c>
      <c r="X462">
        <f t="shared" si="101"/>
        <v>0</v>
      </c>
      <c r="Y462">
        <f t="shared" si="102"/>
        <v>0</v>
      </c>
    </row>
    <row r="463" spans="1:25" hidden="1">
      <c r="A463" t="str">
        <f t="shared" si="103"/>
        <v>Lee 1977</v>
      </c>
      <c r="C463">
        <v>2575.1999999999998</v>
      </c>
      <c r="E463">
        <v>1.0359999999999999E-2</v>
      </c>
      <c r="H463">
        <f t="shared" si="106"/>
        <v>423.2</v>
      </c>
      <c r="I463">
        <f t="shared" si="94"/>
        <v>25.751999999999999</v>
      </c>
      <c r="J463">
        <f t="shared" si="107"/>
        <v>0</v>
      </c>
      <c r="M463">
        <f t="shared" si="95"/>
        <v>1.0359999999999999E-2</v>
      </c>
      <c r="S463">
        <f t="shared" si="96"/>
        <v>1</v>
      </c>
      <c r="T463">
        <f t="shared" si="97"/>
        <v>0</v>
      </c>
      <c r="U463">
        <f t="shared" si="98"/>
        <v>0</v>
      </c>
      <c r="V463">
        <f t="shared" si="99"/>
        <v>0</v>
      </c>
      <c r="W463">
        <f t="shared" si="100"/>
        <v>0</v>
      </c>
      <c r="X463">
        <f t="shared" si="101"/>
        <v>0</v>
      </c>
      <c r="Y463">
        <f t="shared" si="102"/>
        <v>0</v>
      </c>
    </row>
    <row r="464" spans="1:25" hidden="1">
      <c r="A464" t="str">
        <f t="shared" si="103"/>
        <v>Lee 1977</v>
      </c>
      <c r="C464">
        <v>2775.2</v>
      </c>
      <c r="E464">
        <v>1.1469999999999999E-2</v>
      </c>
      <c r="H464">
        <f t="shared" si="106"/>
        <v>423.2</v>
      </c>
      <c r="I464">
        <f t="shared" si="94"/>
        <v>27.751999999999999</v>
      </c>
      <c r="J464">
        <f t="shared" si="107"/>
        <v>0</v>
      </c>
      <c r="M464">
        <f t="shared" si="95"/>
        <v>1.1469999999999999E-2</v>
      </c>
      <c r="S464">
        <f t="shared" si="96"/>
        <v>1</v>
      </c>
      <c r="T464">
        <f t="shared" si="97"/>
        <v>0</v>
      </c>
      <c r="U464">
        <f t="shared" si="98"/>
        <v>0</v>
      </c>
      <c r="V464">
        <f t="shared" si="99"/>
        <v>0</v>
      </c>
      <c r="W464">
        <f t="shared" si="100"/>
        <v>0</v>
      </c>
      <c r="X464">
        <f t="shared" si="101"/>
        <v>0</v>
      </c>
      <c r="Y464">
        <f t="shared" si="102"/>
        <v>0</v>
      </c>
    </row>
    <row r="465" spans="1:25" hidden="1">
      <c r="A465" t="str">
        <f t="shared" si="103"/>
        <v>Lee 1977</v>
      </c>
      <c r="C465">
        <v>2980</v>
      </c>
      <c r="E465">
        <v>1.268E-2</v>
      </c>
      <c r="H465">
        <f t="shared" si="106"/>
        <v>423.2</v>
      </c>
      <c r="I465">
        <f t="shared" si="94"/>
        <v>29.8</v>
      </c>
      <c r="J465">
        <f t="shared" si="107"/>
        <v>0</v>
      </c>
      <c r="M465">
        <f t="shared" si="95"/>
        <v>1.268E-2</v>
      </c>
      <c r="S465">
        <f t="shared" si="96"/>
        <v>1</v>
      </c>
      <c r="T465">
        <f t="shared" si="97"/>
        <v>0</v>
      </c>
      <c r="U465">
        <f t="shared" si="98"/>
        <v>0</v>
      </c>
      <c r="V465">
        <f t="shared" si="99"/>
        <v>0</v>
      </c>
      <c r="W465">
        <f t="shared" si="100"/>
        <v>0</v>
      </c>
      <c r="X465">
        <f t="shared" si="101"/>
        <v>0</v>
      </c>
      <c r="Y465">
        <f t="shared" si="102"/>
        <v>0</v>
      </c>
    </row>
    <row r="466" spans="1:25" hidden="1">
      <c r="A466" t="str">
        <f t="shared" si="103"/>
        <v>Lee 1977</v>
      </c>
      <c r="C466">
        <v>3051</v>
      </c>
      <c r="E466">
        <v>1.2829999999999999E-2</v>
      </c>
      <c r="H466">
        <f t="shared" si="106"/>
        <v>423.2</v>
      </c>
      <c r="I466">
        <f t="shared" si="94"/>
        <v>30.51</v>
      </c>
      <c r="J466">
        <f t="shared" si="107"/>
        <v>0</v>
      </c>
      <c r="M466">
        <f t="shared" si="95"/>
        <v>1.2829999999999999E-2</v>
      </c>
      <c r="S466">
        <f t="shared" si="96"/>
        <v>1</v>
      </c>
      <c r="T466">
        <f t="shared" si="97"/>
        <v>0</v>
      </c>
      <c r="U466">
        <f t="shared" si="98"/>
        <v>0</v>
      </c>
      <c r="V466">
        <f t="shared" si="99"/>
        <v>0</v>
      </c>
      <c r="W466">
        <f t="shared" si="100"/>
        <v>0</v>
      </c>
      <c r="X466">
        <f t="shared" si="101"/>
        <v>0</v>
      </c>
      <c r="Y466">
        <f t="shared" si="102"/>
        <v>0</v>
      </c>
    </row>
    <row r="467" spans="1:25" hidden="1">
      <c r="A467" t="str">
        <f t="shared" si="103"/>
        <v>Lee 1977</v>
      </c>
      <c r="C467">
        <v>3202</v>
      </c>
      <c r="E467">
        <v>1.3639999999999999E-2</v>
      </c>
      <c r="H467">
        <f t="shared" si="106"/>
        <v>423.2</v>
      </c>
      <c r="I467">
        <f t="shared" si="94"/>
        <v>32.020000000000003</v>
      </c>
      <c r="J467">
        <f t="shared" si="107"/>
        <v>0</v>
      </c>
      <c r="M467">
        <f t="shared" si="95"/>
        <v>1.3639999999999999E-2</v>
      </c>
      <c r="S467">
        <f t="shared" si="96"/>
        <v>1</v>
      </c>
      <c r="T467">
        <f t="shared" si="97"/>
        <v>0</v>
      </c>
      <c r="U467">
        <f t="shared" si="98"/>
        <v>0</v>
      </c>
      <c r="V467">
        <f t="shared" si="99"/>
        <v>0</v>
      </c>
      <c r="W467">
        <f t="shared" si="100"/>
        <v>0</v>
      </c>
      <c r="X467">
        <f t="shared" si="101"/>
        <v>0</v>
      </c>
      <c r="Y467">
        <f t="shared" si="102"/>
        <v>0</v>
      </c>
    </row>
    <row r="468" spans="1:25" hidden="1">
      <c r="A468" t="str">
        <f t="shared" si="103"/>
        <v>Lee 1977</v>
      </c>
      <c r="C468">
        <v>3450.2</v>
      </c>
      <c r="E468">
        <v>1.498E-2</v>
      </c>
      <c r="H468">
        <f t="shared" si="106"/>
        <v>423.2</v>
      </c>
      <c r="I468">
        <f t="shared" si="94"/>
        <v>34.501999999999995</v>
      </c>
      <c r="J468">
        <f t="shared" si="107"/>
        <v>0</v>
      </c>
      <c r="M468">
        <f t="shared" si="95"/>
        <v>1.498E-2</v>
      </c>
      <c r="S468">
        <f t="shared" si="96"/>
        <v>1</v>
      </c>
      <c r="T468">
        <f t="shared" si="97"/>
        <v>0</v>
      </c>
      <c r="U468">
        <f t="shared" si="98"/>
        <v>0</v>
      </c>
      <c r="V468">
        <f t="shared" si="99"/>
        <v>0</v>
      </c>
      <c r="W468">
        <f t="shared" si="100"/>
        <v>0</v>
      </c>
      <c r="X468">
        <f t="shared" si="101"/>
        <v>0</v>
      </c>
      <c r="Y468">
        <f t="shared" si="102"/>
        <v>0</v>
      </c>
    </row>
    <row r="469" spans="1:25" hidden="1">
      <c r="A469" t="str">
        <f t="shared" si="103"/>
        <v>Lee 1977</v>
      </c>
      <c r="C469">
        <v>3739.8</v>
      </c>
      <c r="E469">
        <v>1.644E-2</v>
      </c>
      <c r="H469">
        <f t="shared" si="106"/>
        <v>423.2</v>
      </c>
      <c r="I469">
        <f t="shared" si="94"/>
        <v>37.398000000000003</v>
      </c>
      <c r="J469">
        <f t="shared" si="107"/>
        <v>0</v>
      </c>
      <c r="M469">
        <f t="shared" si="95"/>
        <v>1.644E-2</v>
      </c>
      <c r="S469">
        <f t="shared" si="96"/>
        <v>1</v>
      </c>
      <c r="T469">
        <f t="shared" si="97"/>
        <v>0</v>
      </c>
      <c r="U469">
        <f t="shared" si="98"/>
        <v>0</v>
      </c>
      <c r="V469">
        <f t="shared" si="99"/>
        <v>0</v>
      </c>
      <c r="W469">
        <f t="shared" si="100"/>
        <v>0</v>
      </c>
      <c r="X469">
        <f t="shared" si="101"/>
        <v>0</v>
      </c>
      <c r="Y469">
        <f t="shared" si="102"/>
        <v>0</v>
      </c>
    </row>
    <row r="470" spans="1:25" hidden="1">
      <c r="A470" t="str">
        <f t="shared" si="103"/>
        <v>Lee 1977</v>
      </c>
      <c r="C470">
        <v>4105.2</v>
      </c>
      <c r="E470">
        <v>1.8460000000000001E-2</v>
      </c>
      <c r="H470">
        <f t="shared" si="106"/>
        <v>423.2</v>
      </c>
      <c r="I470">
        <f t="shared" si="94"/>
        <v>41.052</v>
      </c>
      <c r="J470">
        <f t="shared" si="107"/>
        <v>0</v>
      </c>
      <c r="M470">
        <f t="shared" si="95"/>
        <v>1.8460000000000001E-2</v>
      </c>
      <c r="S470">
        <f t="shared" si="96"/>
        <v>1</v>
      </c>
      <c r="T470">
        <f t="shared" si="97"/>
        <v>0</v>
      </c>
      <c r="U470">
        <f t="shared" si="98"/>
        <v>0</v>
      </c>
      <c r="V470">
        <f t="shared" si="99"/>
        <v>0</v>
      </c>
      <c r="W470">
        <f t="shared" si="100"/>
        <v>0</v>
      </c>
      <c r="X470">
        <f t="shared" si="101"/>
        <v>0</v>
      </c>
      <c r="Y470">
        <f t="shared" si="102"/>
        <v>0</v>
      </c>
    </row>
    <row r="471" spans="1:25" hidden="1">
      <c r="A471" t="str">
        <f t="shared" si="103"/>
        <v>Lee 1977</v>
      </c>
      <c r="C471">
        <v>4256.8999999999996</v>
      </c>
      <c r="E471">
        <v>1.8929999999999999E-2</v>
      </c>
      <c r="H471">
        <f t="shared" si="106"/>
        <v>423.2</v>
      </c>
      <c r="I471">
        <f t="shared" si="94"/>
        <v>42.568999999999996</v>
      </c>
      <c r="J471">
        <f t="shared" si="107"/>
        <v>0</v>
      </c>
      <c r="M471">
        <f t="shared" si="95"/>
        <v>1.8929999999999999E-2</v>
      </c>
      <c r="S471">
        <f t="shared" si="96"/>
        <v>1</v>
      </c>
      <c r="T471">
        <f t="shared" si="97"/>
        <v>0</v>
      </c>
      <c r="U471">
        <f t="shared" si="98"/>
        <v>0</v>
      </c>
      <c r="V471">
        <f t="shared" si="99"/>
        <v>0</v>
      </c>
      <c r="W471">
        <f t="shared" si="100"/>
        <v>0</v>
      </c>
      <c r="X471">
        <f t="shared" si="101"/>
        <v>0</v>
      </c>
      <c r="Y471">
        <f t="shared" si="102"/>
        <v>0</v>
      </c>
    </row>
    <row r="472" spans="1:25" hidden="1">
      <c r="A472" t="str">
        <f t="shared" si="103"/>
        <v>Lee 1977</v>
      </c>
      <c r="C472">
        <v>4403.3999999999996</v>
      </c>
      <c r="E472">
        <v>1.9779999999999999E-2</v>
      </c>
      <c r="H472">
        <f t="shared" si="106"/>
        <v>423.2</v>
      </c>
      <c r="I472">
        <f t="shared" si="94"/>
        <v>44.033999999999999</v>
      </c>
      <c r="J472">
        <f t="shared" si="107"/>
        <v>0</v>
      </c>
      <c r="M472">
        <f t="shared" si="95"/>
        <v>1.9779999999999999E-2</v>
      </c>
      <c r="S472">
        <f t="shared" si="96"/>
        <v>1</v>
      </c>
      <c r="T472">
        <f t="shared" si="97"/>
        <v>0</v>
      </c>
      <c r="U472">
        <f t="shared" si="98"/>
        <v>0</v>
      </c>
      <c r="V472">
        <f t="shared" si="99"/>
        <v>0</v>
      </c>
      <c r="W472">
        <f t="shared" si="100"/>
        <v>0</v>
      </c>
      <c r="X472">
        <f t="shared" si="101"/>
        <v>0</v>
      </c>
      <c r="Y472">
        <f t="shared" si="102"/>
        <v>0</v>
      </c>
    </row>
    <row r="473" spans="1:25" hidden="1">
      <c r="A473" t="str">
        <f t="shared" si="103"/>
        <v>Lee 1977</v>
      </c>
      <c r="C473">
        <v>4623</v>
      </c>
      <c r="E473">
        <v>2.0559999999999998E-2</v>
      </c>
      <c r="H473">
        <f t="shared" si="106"/>
        <v>423.2</v>
      </c>
      <c r="I473">
        <f t="shared" si="94"/>
        <v>46.23</v>
      </c>
      <c r="J473">
        <f t="shared" si="107"/>
        <v>0</v>
      </c>
      <c r="M473">
        <f t="shared" si="95"/>
        <v>2.0559999999999998E-2</v>
      </c>
      <c r="S473">
        <f t="shared" si="96"/>
        <v>1</v>
      </c>
      <c r="T473">
        <f t="shared" si="97"/>
        <v>0</v>
      </c>
      <c r="U473">
        <f t="shared" si="98"/>
        <v>0</v>
      </c>
      <c r="V473">
        <f t="shared" si="99"/>
        <v>0</v>
      </c>
      <c r="W473">
        <f t="shared" si="100"/>
        <v>0</v>
      </c>
      <c r="X473">
        <f t="shared" si="101"/>
        <v>0</v>
      </c>
      <c r="Y473">
        <f t="shared" si="102"/>
        <v>0</v>
      </c>
    </row>
    <row r="474" spans="1:25" hidden="1">
      <c r="A474" t="str">
        <f t="shared" si="103"/>
        <v>Lee 1977</v>
      </c>
      <c r="C474">
        <v>4691.8999999999996</v>
      </c>
      <c r="E474">
        <v>2.1090000000000001E-2</v>
      </c>
      <c r="H474">
        <f t="shared" si="106"/>
        <v>423.2</v>
      </c>
      <c r="I474">
        <f t="shared" si="94"/>
        <v>46.918999999999997</v>
      </c>
      <c r="J474">
        <f t="shared" si="107"/>
        <v>0</v>
      </c>
      <c r="M474">
        <f t="shared" si="95"/>
        <v>2.1090000000000001E-2</v>
      </c>
      <c r="S474">
        <f t="shared" si="96"/>
        <v>1</v>
      </c>
      <c r="T474">
        <f t="shared" si="97"/>
        <v>0</v>
      </c>
      <c r="U474">
        <f t="shared" si="98"/>
        <v>0</v>
      </c>
      <c r="V474">
        <f t="shared" si="99"/>
        <v>0</v>
      </c>
      <c r="W474">
        <f t="shared" si="100"/>
        <v>0</v>
      </c>
      <c r="X474">
        <f t="shared" si="101"/>
        <v>0</v>
      </c>
      <c r="Y474">
        <f t="shared" si="102"/>
        <v>0</v>
      </c>
    </row>
    <row r="475" spans="1:25" hidden="1">
      <c r="A475" t="str">
        <f t="shared" si="103"/>
        <v>Lee 1977</v>
      </c>
      <c r="C475">
        <v>5133.2</v>
      </c>
      <c r="E475">
        <v>2.324E-2</v>
      </c>
      <c r="H475">
        <f t="shared" si="106"/>
        <v>423.2</v>
      </c>
      <c r="I475">
        <f t="shared" si="94"/>
        <v>51.332000000000001</v>
      </c>
      <c r="J475">
        <f t="shared" si="107"/>
        <v>0</v>
      </c>
      <c r="M475">
        <f t="shared" si="95"/>
        <v>2.324E-2</v>
      </c>
      <c r="S475">
        <f t="shared" si="96"/>
        <v>1</v>
      </c>
      <c r="T475">
        <f t="shared" si="97"/>
        <v>0</v>
      </c>
      <c r="U475">
        <f t="shared" si="98"/>
        <v>0</v>
      </c>
      <c r="V475">
        <f t="shared" si="99"/>
        <v>0</v>
      </c>
      <c r="W475">
        <f t="shared" si="100"/>
        <v>0</v>
      </c>
      <c r="X475">
        <f t="shared" si="101"/>
        <v>0</v>
      </c>
      <c r="Y475">
        <f t="shared" si="102"/>
        <v>0</v>
      </c>
    </row>
    <row r="476" spans="1:25" hidden="1">
      <c r="A476" t="str">
        <f t="shared" si="103"/>
        <v>Lee 1977</v>
      </c>
      <c r="C476">
        <v>5222.8</v>
      </c>
      <c r="E476">
        <v>2.3470000000000001E-2</v>
      </c>
      <c r="H476">
        <f t="shared" si="106"/>
        <v>423.2</v>
      </c>
      <c r="I476">
        <f t="shared" si="94"/>
        <v>52.228000000000002</v>
      </c>
      <c r="J476">
        <f t="shared" si="107"/>
        <v>0</v>
      </c>
      <c r="M476">
        <f t="shared" si="95"/>
        <v>2.3470000000000001E-2</v>
      </c>
      <c r="S476">
        <f t="shared" si="96"/>
        <v>1</v>
      </c>
      <c r="T476">
        <f t="shared" si="97"/>
        <v>0</v>
      </c>
      <c r="U476">
        <f t="shared" si="98"/>
        <v>0</v>
      </c>
      <c r="V476">
        <f t="shared" si="99"/>
        <v>0</v>
      </c>
      <c r="W476">
        <f t="shared" si="100"/>
        <v>0</v>
      </c>
      <c r="X476">
        <f t="shared" si="101"/>
        <v>0</v>
      </c>
      <c r="Y476">
        <f t="shared" si="102"/>
        <v>0</v>
      </c>
    </row>
    <row r="477" spans="1:25" hidden="1">
      <c r="A477" t="str">
        <f t="shared" si="103"/>
        <v>Lee 1977</v>
      </c>
      <c r="C477">
        <v>5560.2</v>
      </c>
      <c r="E477">
        <v>2.52E-2</v>
      </c>
      <c r="H477">
        <v>423.2</v>
      </c>
      <c r="I477">
        <f t="shared" si="94"/>
        <v>55.601999999999997</v>
      </c>
      <c r="J477">
        <f t="shared" si="107"/>
        <v>0</v>
      </c>
      <c r="M477">
        <f t="shared" si="95"/>
        <v>2.52E-2</v>
      </c>
      <c r="S477">
        <f t="shared" si="96"/>
        <v>1</v>
      </c>
      <c r="T477">
        <f t="shared" si="97"/>
        <v>0</v>
      </c>
      <c r="U477">
        <f t="shared" si="98"/>
        <v>0</v>
      </c>
      <c r="V477">
        <f t="shared" si="99"/>
        <v>0</v>
      </c>
      <c r="W477">
        <f t="shared" si="100"/>
        <v>0</v>
      </c>
      <c r="X477">
        <f t="shared" si="101"/>
        <v>0</v>
      </c>
      <c r="Y477">
        <f t="shared" si="102"/>
        <v>0</v>
      </c>
    </row>
    <row r="478" spans="1:25" hidden="1">
      <c r="A478" t="str">
        <f t="shared" si="103"/>
        <v>Lee 1977</v>
      </c>
      <c r="C478">
        <v>5863.6</v>
      </c>
      <c r="E478">
        <v>2.6499999999999999E-2</v>
      </c>
      <c r="H478">
        <f>H477</f>
        <v>423.2</v>
      </c>
      <c r="I478">
        <f t="shared" ref="I478:I498" si="108">C478/100</f>
        <v>58.636000000000003</v>
      </c>
      <c r="J478">
        <f t="shared" si="107"/>
        <v>0</v>
      </c>
      <c r="M478">
        <f t="shared" ref="M478:M498" si="109">E478</f>
        <v>2.6499999999999999E-2</v>
      </c>
      <c r="S478">
        <f t="shared" ref="S478:S513" si="110">S477</f>
        <v>1</v>
      </c>
      <c r="T478">
        <f t="shared" ref="T478:T513" si="111">T477</f>
        <v>0</v>
      </c>
      <c r="U478">
        <f t="shared" ref="U478:U513" si="112">U477</f>
        <v>0</v>
      </c>
      <c r="V478">
        <f t="shared" ref="V478:V513" si="113">V477</f>
        <v>0</v>
      </c>
      <c r="W478">
        <f t="shared" ref="W478:W513" si="114">W477</f>
        <v>0</v>
      </c>
      <c r="X478">
        <f t="shared" ref="X478:X513" si="115">X477</f>
        <v>0</v>
      </c>
      <c r="Y478">
        <f t="shared" ref="Y478:Y513" si="116">Y477</f>
        <v>0</v>
      </c>
    </row>
    <row r="479" spans="1:25" hidden="1">
      <c r="A479" t="str">
        <f t="shared" ref="A479:A513" si="117">A478</f>
        <v>Lee 1977</v>
      </c>
      <c r="C479">
        <v>6277.3</v>
      </c>
      <c r="E479">
        <v>2.8219999999999999E-2</v>
      </c>
      <c r="H479">
        <f>H478</f>
        <v>423.2</v>
      </c>
      <c r="I479">
        <f t="shared" si="108"/>
        <v>62.773000000000003</v>
      </c>
      <c r="J479">
        <f t="shared" si="107"/>
        <v>0</v>
      </c>
      <c r="M479">
        <f t="shared" si="109"/>
        <v>2.8219999999999999E-2</v>
      </c>
      <c r="S479">
        <f t="shared" si="110"/>
        <v>1</v>
      </c>
      <c r="T479">
        <f t="shared" si="111"/>
        <v>0</v>
      </c>
      <c r="U479">
        <f t="shared" si="112"/>
        <v>0</v>
      </c>
      <c r="V479">
        <f t="shared" si="113"/>
        <v>0</v>
      </c>
      <c r="W479">
        <f t="shared" si="114"/>
        <v>0</v>
      </c>
      <c r="X479">
        <f t="shared" si="115"/>
        <v>0</v>
      </c>
      <c r="Y479">
        <f t="shared" si="116"/>
        <v>0</v>
      </c>
    </row>
    <row r="480" spans="1:25" hidden="1">
      <c r="A480" t="str">
        <f t="shared" si="117"/>
        <v>Lee 1977</v>
      </c>
      <c r="C480">
        <v>6339.3</v>
      </c>
      <c r="E480">
        <v>2.896E-2</v>
      </c>
      <c r="H480">
        <f>H479</f>
        <v>423.2</v>
      </c>
      <c r="I480">
        <f t="shared" si="108"/>
        <v>63.393000000000001</v>
      </c>
      <c r="J480">
        <f t="shared" si="107"/>
        <v>0</v>
      </c>
      <c r="M480">
        <f t="shared" si="109"/>
        <v>2.896E-2</v>
      </c>
      <c r="S480">
        <f t="shared" si="110"/>
        <v>1</v>
      </c>
      <c r="T480">
        <f t="shared" si="111"/>
        <v>0</v>
      </c>
      <c r="U480">
        <f t="shared" si="112"/>
        <v>0</v>
      </c>
      <c r="V480">
        <f t="shared" si="113"/>
        <v>0</v>
      </c>
      <c r="W480">
        <f t="shared" si="114"/>
        <v>0</v>
      </c>
      <c r="X480">
        <f t="shared" si="115"/>
        <v>0</v>
      </c>
      <c r="Y480">
        <f t="shared" si="116"/>
        <v>0</v>
      </c>
    </row>
    <row r="481" spans="1:25" hidden="1">
      <c r="A481" t="str">
        <f t="shared" si="117"/>
        <v>Lee 1977</v>
      </c>
      <c r="C481">
        <v>6401.4</v>
      </c>
      <c r="E481">
        <v>2.8969999999999999E-2</v>
      </c>
      <c r="H481">
        <f>H480</f>
        <v>423.2</v>
      </c>
      <c r="I481">
        <f t="shared" si="108"/>
        <v>64.013999999999996</v>
      </c>
      <c r="J481">
        <f t="shared" si="107"/>
        <v>0</v>
      </c>
      <c r="M481">
        <f t="shared" si="109"/>
        <v>2.8969999999999999E-2</v>
      </c>
      <c r="S481">
        <f t="shared" si="110"/>
        <v>1</v>
      </c>
      <c r="T481">
        <f t="shared" si="111"/>
        <v>0</v>
      </c>
      <c r="U481">
        <f t="shared" si="112"/>
        <v>0</v>
      </c>
      <c r="V481">
        <f t="shared" si="113"/>
        <v>0</v>
      </c>
      <c r="W481">
        <f t="shared" si="114"/>
        <v>0</v>
      </c>
      <c r="X481">
        <f t="shared" si="115"/>
        <v>0</v>
      </c>
      <c r="Y481">
        <f t="shared" si="116"/>
        <v>0</v>
      </c>
    </row>
    <row r="482" spans="1:25" hidden="1">
      <c r="A482" t="str">
        <f t="shared" si="117"/>
        <v>Lee 1977</v>
      </c>
      <c r="C482">
        <v>6601.3</v>
      </c>
      <c r="E482">
        <v>2.9929999999999998E-2</v>
      </c>
      <c r="H482">
        <f>H481</f>
        <v>423.2</v>
      </c>
      <c r="I482">
        <f t="shared" si="108"/>
        <v>66.013000000000005</v>
      </c>
      <c r="J482">
        <f t="shared" si="107"/>
        <v>0</v>
      </c>
      <c r="M482">
        <f t="shared" si="109"/>
        <v>2.9929999999999998E-2</v>
      </c>
      <c r="S482">
        <f t="shared" si="110"/>
        <v>1</v>
      </c>
      <c r="T482">
        <f t="shared" si="111"/>
        <v>0</v>
      </c>
      <c r="U482">
        <f t="shared" si="112"/>
        <v>0</v>
      </c>
      <c r="V482">
        <f t="shared" si="113"/>
        <v>0</v>
      </c>
      <c r="W482">
        <f t="shared" si="114"/>
        <v>0</v>
      </c>
      <c r="X482">
        <f t="shared" si="115"/>
        <v>0</v>
      </c>
      <c r="Y482">
        <f t="shared" si="116"/>
        <v>0</v>
      </c>
    </row>
    <row r="483" spans="1:25" hidden="1">
      <c r="A483" t="str">
        <f t="shared" si="117"/>
        <v>Lee 1977</v>
      </c>
      <c r="C483">
        <v>1071.3</v>
      </c>
      <c r="E483">
        <v>3.2000000000000003E-4</v>
      </c>
      <c r="H483">
        <v>453.2</v>
      </c>
      <c r="I483">
        <f t="shared" si="108"/>
        <v>10.712999999999999</v>
      </c>
      <c r="J483">
        <f t="shared" si="107"/>
        <v>0</v>
      </c>
      <c r="M483">
        <f t="shared" si="109"/>
        <v>3.2000000000000003E-4</v>
      </c>
      <c r="S483">
        <f t="shared" si="110"/>
        <v>1</v>
      </c>
      <c r="T483">
        <f t="shared" si="111"/>
        <v>0</v>
      </c>
      <c r="U483">
        <f t="shared" si="112"/>
        <v>0</v>
      </c>
      <c r="V483">
        <f t="shared" si="113"/>
        <v>0</v>
      </c>
      <c r="W483">
        <f t="shared" si="114"/>
        <v>0</v>
      </c>
      <c r="X483">
        <f t="shared" si="115"/>
        <v>0</v>
      </c>
      <c r="Y483">
        <f t="shared" si="116"/>
        <v>0</v>
      </c>
    </row>
    <row r="484" spans="1:25" hidden="1">
      <c r="A484" t="str">
        <f t="shared" si="117"/>
        <v>Lee 1977</v>
      </c>
      <c r="C484">
        <v>1422.9</v>
      </c>
      <c r="E484">
        <v>1.99E-3</v>
      </c>
      <c r="H484">
        <f t="shared" ref="H484:H498" si="118">H483</f>
        <v>453.2</v>
      </c>
      <c r="I484">
        <f t="shared" si="108"/>
        <v>14.229000000000001</v>
      </c>
      <c r="J484">
        <f t="shared" si="107"/>
        <v>0</v>
      </c>
      <c r="M484">
        <f t="shared" si="109"/>
        <v>1.99E-3</v>
      </c>
      <c r="S484">
        <f t="shared" si="110"/>
        <v>1</v>
      </c>
      <c r="T484">
        <f t="shared" si="111"/>
        <v>0</v>
      </c>
      <c r="U484">
        <f t="shared" si="112"/>
        <v>0</v>
      </c>
      <c r="V484">
        <f t="shared" si="113"/>
        <v>0</v>
      </c>
      <c r="W484">
        <f t="shared" si="114"/>
        <v>0</v>
      </c>
      <c r="X484">
        <f t="shared" si="115"/>
        <v>0</v>
      </c>
      <c r="Y484">
        <f t="shared" si="116"/>
        <v>0</v>
      </c>
    </row>
    <row r="485" spans="1:25" hidden="1">
      <c r="A485" t="str">
        <f t="shared" si="117"/>
        <v>Lee 1977</v>
      </c>
      <c r="C485">
        <v>1865.1</v>
      </c>
      <c r="E485">
        <v>3.9699999999999996E-3</v>
      </c>
      <c r="H485">
        <f t="shared" si="118"/>
        <v>453.2</v>
      </c>
      <c r="I485">
        <f t="shared" si="108"/>
        <v>18.651</v>
      </c>
      <c r="J485">
        <f t="shared" si="107"/>
        <v>0</v>
      </c>
      <c r="M485">
        <f t="shared" si="109"/>
        <v>3.9699999999999996E-3</v>
      </c>
      <c r="S485">
        <f t="shared" si="110"/>
        <v>1</v>
      </c>
      <c r="T485">
        <f t="shared" si="111"/>
        <v>0</v>
      </c>
      <c r="U485">
        <f t="shared" si="112"/>
        <v>0</v>
      </c>
      <c r="V485">
        <f t="shared" si="113"/>
        <v>0</v>
      </c>
      <c r="W485">
        <f t="shared" si="114"/>
        <v>0</v>
      </c>
      <c r="X485">
        <f t="shared" si="115"/>
        <v>0</v>
      </c>
      <c r="Y485">
        <f t="shared" si="116"/>
        <v>0</v>
      </c>
    </row>
    <row r="486" spans="1:25" hidden="1">
      <c r="A486" t="str">
        <f t="shared" si="117"/>
        <v>Lee 1977</v>
      </c>
      <c r="C486">
        <v>2154.6999999999998</v>
      </c>
      <c r="E486">
        <v>5.3099999999999996E-3</v>
      </c>
      <c r="H486">
        <f t="shared" si="118"/>
        <v>453.2</v>
      </c>
      <c r="I486">
        <f t="shared" si="108"/>
        <v>21.546999999999997</v>
      </c>
      <c r="J486">
        <f t="shared" ref="J486:J513" si="119">J485</f>
        <v>0</v>
      </c>
      <c r="M486">
        <f t="shared" si="109"/>
        <v>5.3099999999999996E-3</v>
      </c>
      <c r="S486">
        <f t="shared" si="110"/>
        <v>1</v>
      </c>
      <c r="T486">
        <f t="shared" si="111"/>
        <v>0</v>
      </c>
      <c r="U486">
        <f t="shared" si="112"/>
        <v>0</v>
      </c>
      <c r="V486">
        <f t="shared" si="113"/>
        <v>0</v>
      </c>
      <c r="W486">
        <f t="shared" si="114"/>
        <v>0</v>
      </c>
      <c r="X486">
        <f t="shared" si="115"/>
        <v>0</v>
      </c>
      <c r="Y486">
        <f t="shared" si="116"/>
        <v>0</v>
      </c>
    </row>
    <row r="487" spans="1:25" hidden="1">
      <c r="A487" t="str">
        <f t="shared" si="117"/>
        <v>Lee 1977</v>
      </c>
      <c r="C487">
        <v>2354.6</v>
      </c>
      <c r="E487">
        <v>6.2100000000000002E-3</v>
      </c>
      <c r="H487">
        <f t="shared" si="118"/>
        <v>453.2</v>
      </c>
      <c r="I487">
        <f t="shared" si="108"/>
        <v>23.545999999999999</v>
      </c>
      <c r="J487">
        <f t="shared" si="119"/>
        <v>0</v>
      </c>
      <c r="M487">
        <f t="shared" si="109"/>
        <v>6.2100000000000002E-3</v>
      </c>
      <c r="S487">
        <f t="shared" si="110"/>
        <v>1</v>
      </c>
      <c r="T487">
        <f t="shared" si="111"/>
        <v>0</v>
      </c>
      <c r="U487">
        <f t="shared" si="112"/>
        <v>0</v>
      </c>
      <c r="V487">
        <f t="shared" si="113"/>
        <v>0</v>
      </c>
      <c r="W487">
        <f t="shared" si="114"/>
        <v>0</v>
      </c>
      <c r="X487">
        <f t="shared" si="115"/>
        <v>0</v>
      </c>
      <c r="Y487">
        <f t="shared" si="116"/>
        <v>0</v>
      </c>
    </row>
    <row r="488" spans="1:25" hidden="1">
      <c r="A488" t="str">
        <f t="shared" si="117"/>
        <v>Lee 1977</v>
      </c>
      <c r="C488">
        <v>2451.1</v>
      </c>
      <c r="E488">
        <v>6.5700000000000003E-3</v>
      </c>
      <c r="H488">
        <f t="shared" si="118"/>
        <v>453.2</v>
      </c>
      <c r="I488">
        <f t="shared" si="108"/>
        <v>24.510999999999999</v>
      </c>
      <c r="J488">
        <f t="shared" si="119"/>
        <v>0</v>
      </c>
      <c r="M488">
        <f t="shared" si="109"/>
        <v>6.5700000000000003E-3</v>
      </c>
      <c r="S488">
        <f t="shared" si="110"/>
        <v>1</v>
      </c>
      <c r="T488">
        <f t="shared" si="111"/>
        <v>0</v>
      </c>
      <c r="U488">
        <f t="shared" si="112"/>
        <v>0</v>
      </c>
      <c r="V488">
        <f t="shared" si="113"/>
        <v>0</v>
      </c>
      <c r="W488">
        <f t="shared" si="114"/>
        <v>0</v>
      </c>
      <c r="X488">
        <f t="shared" si="115"/>
        <v>0</v>
      </c>
      <c r="Y488">
        <f t="shared" si="116"/>
        <v>0</v>
      </c>
    </row>
    <row r="489" spans="1:25" hidden="1">
      <c r="A489" t="str">
        <f t="shared" si="117"/>
        <v>Lee 1977</v>
      </c>
      <c r="C489">
        <v>2540.8000000000002</v>
      </c>
      <c r="E489">
        <v>7.0000000000000001E-3</v>
      </c>
      <c r="H489">
        <f t="shared" si="118"/>
        <v>453.2</v>
      </c>
      <c r="I489">
        <f t="shared" si="108"/>
        <v>25.408000000000001</v>
      </c>
      <c r="J489">
        <f t="shared" si="119"/>
        <v>0</v>
      </c>
      <c r="M489">
        <f t="shared" si="109"/>
        <v>7.0000000000000001E-3</v>
      </c>
      <c r="S489">
        <f t="shared" si="110"/>
        <v>1</v>
      </c>
      <c r="T489">
        <f t="shared" si="111"/>
        <v>0</v>
      </c>
      <c r="U489">
        <f t="shared" si="112"/>
        <v>0</v>
      </c>
      <c r="V489">
        <f t="shared" si="113"/>
        <v>0</v>
      </c>
      <c r="W489">
        <f t="shared" si="114"/>
        <v>0</v>
      </c>
      <c r="X489">
        <f t="shared" si="115"/>
        <v>0</v>
      </c>
      <c r="Y489">
        <f t="shared" si="116"/>
        <v>0</v>
      </c>
    </row>
    <row r="490" spans="1:25" hidden="1">
      <c r="A490" t="str">
        <f t="shared" si="117"/>
        <v>Lee 1977</v>
      </c>
      <c r="C490">
        <v>2629.3</v>
      </c>
      <c r="E490">
        <v>7.4200000000000004E-3</v>
      </c>
      <c r="H490">
        <f t="shared" si="118"/>
        <v>453.2</v>
      </c>
      <c r="I490">
        <f t="shared" si="108"/>
        <v>26.293000000000003</v>
      </c>
      <c r="J490">
        <f t="shared" si="119"/>
        <v>0</v>
      </c>
      <c r="M490">
        <f t="shared" si="109"/>
        <v>7.4200000000000004E-3</v>
      </c>
      <c r="S490">
        <f t="shared" si="110"/>
        <v>1</v>
      </c>
      <c r="T490">
        <f t="shared" si="111"/>
        <v>0</v>
      </c>
      <c r="U490">
        <f t="shared" si="112"/>
        <v>0</v>
      </c>
      <c r="V490">
        <f t="shared" si="113"/>
        <v>0</v>
      </c>
      <c r="W490">
        <f t="shared" si="114"/>
        <v>0</v>
      </c>
      <c r="X490">
        <f t="shared" si="115"/>
        <v>0</v>
      </c>
      <c r="Y490">
        <f t="shared" si="116"/>
        <v>0</v>
      </c>
    </row>
    <row r="491" spans="1:25" hidden="1">
      <c r="A491" t="str">
        <f t="shared" si="117"/>
        <v>Lee 1977</v>
      </c>
      <c r="C491">
        <v>3229.2</v>
      </c>
      <c r="E491">
        <v>1.0330000000000001E-2</v>
      </c>
      <c r="H491">
        <f t="shared" si="118"/>
        <v>453.2</v>
      </c>
      <c r="I491">
        <f t="shared" si="108"/>
        <v>32.292000000000002</v>
      </c>
      <c r="J491">
        <f t="shared" si="119"/>
        <v>0</v>
      </c>
      <c r="M491">
        <f t="shared" si="109"/>
        <v>1.0330000000000001E-2</v>
      </c>
      <c r="S491">
        <f t="shared" si="110"/>
        <v>1</v>
      </c>
      <c r="T491">
        <f t="shared" si="111"/>
        <v>0</v>
      </c>
      <c r="U491">
        <f t="shared" si="112"/>
        <v>0</v>
      </c>
      <c r="V491">
        <f t="shared" si="113"/>
        <v>0</v>
      </c>
      <c r="W491">
        <f t="shared" si="114"/>
        <v>0</v>
      </c>
      <c r="X491">
        <f t="shared" si="115"/>
        <v>0</v>
      </c>
      <c r="Y491">
        <f t="shared" si="116"/>
        <v>0</v>
      </c>
    </row>
    <row r="492" spans="1:25" hidden="1">
      <c r="A492" t="str">
        <f t="shared" si="117"/>
        <v>Lee 1977</v>
      </c>
      <c r="C492">
        <v>3484.3</v>
      </c>
      <c r="E492">
        <v>1.158E-2</v>
      </c>
      <c r="H492">
        <f t="shared" si="118"/>
        <v>453.2</v>
      </c>
      <c r="I492">
        <f t="shared" si="108"/>
        <v>34.843000000000004</v>
      </c>
      <c r="J492">
        <f t="shared" si="119"/>
        <v>0</v>
      </c>
      <c r="M492">
        <f t="shared" si="109"/>
        <v>1.158E-2</v>
      </c>
      <c r="S492">
        <f t="shared" si="110"/>
        <v>1</v>
      </c>
      <c r="T492">
        <f t="shared" si="111"/>
        <v>0</v>
      </c>
      <c r="U492">
        <f t="shared" si="112"/>
        <v>0</v>
      </c>
      <c r="V492">
        <f t="shared" si="113"/>
        <v>0</v>
      </c>
      <c r="W492">
        <f t="shared" si="114"/>
        <v>0</v>
      </c>
      <c r="X492">
        <f t="shared" si="115"/>
        <v>0</v>
      </c>
      <c r="Y492">
        <f t="shared" si="116"/>
        <v>0</v>
      </c>
    </row>
    <row r="493" spans="1:25" hidden="1">
      <c r="A493" t="str">
        <f t="shared" si="117"/>
        <v>Lee 1977</v>
      </c>
      <c r="C493">
        <v>3911.7</v>
      </c>
      <c r="E493">
        <v>1.3559999999999999E-2</v>
      </c>
      <c r="H493">
        <f t="shared" si="118"/>
        <v>453.2</v>
      </c>
      <c r="I493">
        <f t="shared" si="108"/>
        <v>39.116999999999997</v>
      </c>
      <c r="J493">
        <f t="shared" si="119"/>
        <v>0</v>
      </c>
      <c r="M493">
        <f t="shared" si="109"/>
        <v>1.3559999999999999E-2</v>
      </c>
      <c r="S493">
        <f t="shared" si="110"/>
        <v>1</v>
      </c>
      <c r="T493">
        <f t="shared" si="111"/>
        <v>0</v>
      </c>
      <c r="U493">
        <f t="shared" si="112"/>
        <v>0</v>
      </c>
      <c r="V493">
        <f t="shared" si="113"/>
        <v>0</v>
      </c>
      <c r="W493">
        <f t="shared" si="114"/>
        <v>0</v>
      </c>
      <c r="X493">
        <f t="shared" si="115"/>
        <v>0</v>
      </c>
      <c r="Y493">
        <f t="shared" si="116"/>
        <v>0</v>
      </c>
    </row>
    <row r="494" spans="1:25" hidden="1">
      <c r="A494" t="str">
        <f t="shared" si="117"/>
        <v>Lee 1977</v>
      </c>
      <c r="C494">
        <v>4242.7</v>
      </c>
      <c r="E494">
        <v>1.4970000000000001E-2</v>
      </c>
      <c r="H494">
        <f t="shared" si="118"/>
        <v>453.2</v>
      </c>
      <c r="I494">
        <f t="shared" si="108"/>
        <v>42.427</v>
      </c>
      <c r="J494">
        <f t="shared" si="119"/>
        <v>0</v>
      </c>
      <c r="M494">
        <f t="shared" si="109"/>
        <v>1.4970000000000001E-2</v>
      </c>
      <c r="S494">
        <f t="shared" si="110"/>
        <v>1</v>
      </c>
      <c r="T494">
        <f t="shared" si="111"/>
        <v>0</v>
      </c>
      <c r="U494">
        <f t="shared" si="112"/>
        <v>0</v>
      </c>
      <c r="V494">
        <f t="shared" si="113"/>
        <v>0</v>
      </c>
      <c r="W494">
        <f t="shared" si="114"/>
        <v>0</v>
      </c>
      <c r="X494">
        <f t="shared" si="115"/>
        <v>0</v>
      </c>
      <c r="Y494">
        <f t="shared" si="116"/>
        <v>0</v>
      </c>
    </row>
    <row r="495" spans="1:25" hidden="1">
      <c r="A495" t="str">
        <f t="shared" si="117"/>
        <v>Lee 1977</v>
      </c>
      <c r="C495">
        <v>4615</v>
      </c>
      <c r="E495">
        <v>1.6500000000000001E-2</v>
      </c>
      <c r="H495">
        <f t="shared" si="118"/>
        <v>453.2</v>
      </c>
      <c r="I495">
        <f t="shared" si="108"/>
        <v>46.15</v>
      </c>
      <c r="J495">
        <f t="shared" si="119"/>
        <v>0</v>
      </c>
      <c r="M495">
        <f t="shared" si="109"/>
        <v>1.6500000000000001E-2</v>
      </c>
      <c r="S495">
        <f t="shared" si="110"/>
        <v>1</v>
      </c>
      <c r="T495">
        <f t="shared" si="111"/>
        <v>0</v>
      </c>
      <c r="U495">
        <f t="shared" si="112"/>
        <v>0</v>
      </c>
      <c r="V495">
        <f t="shared" si="113"/>
        <v>0</v>
      </c>
      <c r="W495">
        <f t="shared" si="114"/>
        <v>0</v>
      </c>
      <c r="X495">
        <f t="shared" si="115"/>
        <v>0</v>
      </c>
      <c r="Y495">
        <f t="shared" si="116"/>
        <v>0</v>
      </c>
    </row>
    <row r="496" spans="1:25" hidden="1">
      <c r="A496" t="str">
        <f t="shared" si="117"/>
        <v>Lee 1977</v>
      </c>
      <c r="C496">
        <v>5076.8999999999996</v>
      </c>
      <c r="E496">
        <v>1.866E-2</v>
      </c>
      <c r="H496">
        <f t="shared" si="118"/>
        <v>453.2</v>
      </c>
      <c r="I496">
        <f t="shared" si="108"/>
        <v>50.768999999999998</v>
      </c>
      <c r="J496">
        <f t="shared" si="119"/>
        <v>0</v>
      </c>
      <c r="M496">
        <f t="shared" si="109"/>
        <v>1.866E-2</v>
      </c>
      <c r="S496">
        <f t="shared" si="110"/>
        <v>1</v>
      </c>
      <c r="T496">
        <f t="shared" si="111"/>
        <v>0</v>
      </c>
      <c r="U496">
        <f t="shared" si="112"/>
        <v>0</v>
      </c>
      <c r="V496">
        <f t="shared" si="113"/>
        <v>0</v>
      </c>
      <c r="W496">
        <f t="shared" si="114"/>
        <v>0</v>
      </c>
      <c r="X496">
        <f t="shared" si="115"/>
        <v>0</v>
      </c>
      <c r="Y496">
        <f t="shared" si="116"/>
        <v>0</v>
      </c>
    </row>
    <row r="497" spans="1:25" hidden="1">
      <c r="A497" t="str">
        <f t="shared" si="117"/>
        <v>Lee 1977</v>
      </c>
      <c r="C497">
        <v>5421.7</v>
      </c>
      <c r="E497">
        <v>2.0289999999999999E-2</v>
      </c>
      <c r="H497">
        <f t="shared" si="118"/>
        <v>453.2</v>
      </c>
      <c r="I497">
        <f t="shared" si="108"/>
        <v>54.216999999999999</v>
      </c>
      <c r="J497">
        <f t="shared" si="119"/>
        <v>0</v>
      </c>
      <c r="M497">
        <f t="shared" si="109"/>
        <v>2.0289999999999999E-2</v>
      </c>
      <c r="S497">
        <f t="shared" si="110"/>
        <v>1</v>
      </c>
      <c r="T497">
        <f t="shared" si="111"/>
        <v>0</v>
      </c>
      <c r="U497">
        <f t="shared" si="112"/>
        <v>0</v>
      </c>
      <c r="V497">
        <f t="shared" si="113"/>
        <v>0</v>
      </c>
      <c r="W497">
        <f t="shared" si="114"/>
        <v>0</v>
      </c>
      <c r="X497">
        <f t="shared" si="115"/>
        <v>0</v>
      </c>
      <c r="Y497">
        <f t="shared" si="116"/>
        <v>0</v>
      </c>
    </row>
    <row r="498" spans="1:25" hidden="1">
      <c r="A498" t="str">
        <f t="shared" si="117"/>
        <v>Lee 1977</v>
      </c>
      <c r="C498">
        <v>5918.1</v>
      </c>
      <c r="E498">
        <v>2.257E-2</v>
      </c>
      <c r="H498">
        <f t="shared" si="118"/>
        <v>453.2</v>
      </c>
      <c r="I498">
        <f t="shared" si="108"/>
        <v>59.181000000000004</v>
      </c>
      <c r="J498">
        <f t="shared" si="119"/>
        <v>0</v>
      </c>
      <c r="M498">
        <f t="shared" si="109"/>
        <v>2.257E-2</v>
      </c>
      <c r="S498">
        <f t="shared" si="110"/>
        <v>1</v>
      </c>
      <c r="T498">
        <f t="shared" si="111"/>
        <v>0</v>
      </c>
      <c r="U498">
        <f t="shared" si="112"/>
        <v>0</v>
      </c>
      <c r="V498">
        <f t="shared" si="113"/>
        <v>0</v>
      </c>
      <c r="W498">
        <f t="shared" si="114"/>
        <v>0</v>
      </c>
      <c r="X498">
        <f t="shared" si="115"/>
        <v>0</v>
      </c>
      <c r="Y498">
        <f t="shared" si="116"/>
        <v>0</v>
      </c>
    </row>
    <row r="499" spans="1:25" hidden="1">
      <c r="A499" t="str">
        <f t="shared" si="117"/>
        <v>Lee 1977</v>
      </c>
      <c r="F499">
        <v>0.96140000000000003</v>
      </c>
      <c r="H499">
        <v>363.2</v>
      </c>
      <c r="I499">
        <v>19.21</v>
      </c>
      <c r="J499">
        <f t="shared" si="119"/>
        <v>0</v>
      </c>
      <c r="K499">
        <f t="shared" ref="K499:K513" si="120">1-F499</f>
        <v>3.8599999999999968E-2</v>
      </c>
      <c r="S499">
        <f t="shared" si="110"/>
        <v>1</v>
      </c>
      <c r="T499">
        <f t="shared" si="111"/>
        <v>0</v>
      </c>
      <c r="U499">
        <f t="shared" si="112"/>
        <v>0</v>
      </c>
      <c r="V499">
        <f t="shared" si="113"/>
        <v>0</v>
      </c>
      <c r="W499">
        <f t="shared" si="114"/>
        <v>0</v>
      </c>
      <c r="X499">
        <f t="shared" si="115"/>
        <v>0</v>
      </c>
      <c r="Y499">
        <f t="shared" si="116"/>
        <v>0</v>
      </c>
    </row>
    <row r="500" spans="1:25" hidden="1">
      <c r="A500" t="str">
        <f t="shared" si="117"/>
        <v>Lee 1977</v>
      </c>
      <c r="F500">
        <v>0.96060000000000001</v>
      </c>
      <c r="H500">
        <f>H499</f>
        <v>363.2</v>
      </c>
      <c r="I500">
        <v>20.11</v>
      </c>
      <c r="J500">
        <f t="shared" si="119"/>
        <v>0</v>
      </c>
      <c r="K500">
        <f t="shared" si="120"/>
        <v>3.9399999999999991E-2</v>
      </c>
      <c r="S500">
        <f t="shared" si="110"/>
        <v>1</v>
      </c>
      <c r="T500">
        <f t="shared" si="111"/>
        <v>0</v>
      </c>
      <c r="U500">
        <f t="shared" si="112"/>
        <v>0</v>
      </c>
      <c r="V500">
        <f t="shared" si="113"/>
        <v>0</v>
      </c>
      <c r="W500">
        <f t="shared" si="114"/>
        <v>0</v>
      </c>
      <c r="X500">
        <f t="shared" si="115"/>
        <v>0</v>
      </c>
      <c r="Y500">
        <f t="shared" si="116"/>
        <v>0</v>
      </c>
    </row>
    <row r="501" spans="1:25" hidden="1">
      <c r="A501" t="str">
        <f t="shared" si="117"/>
        <v>Lee 1977</v>
      </c>
      <c r="F501">
        <v>0.97089999999999999</v>
      </c>
      <c r="H501">
        <f>H500</f>
        <v>363.2</v>
      </c>
      <c r="I501">
        <v>23.89</v>
      </c>
      <c r="J501">
        <f t="shared" si="119"/>
        <v>0</v>
      </c>
      <c r="K501">
        <f t="shared" si="120"/>
        <v>2.9100000000000015E-2</v>
      </c>
      <c r="S501">
        <f t="shared" si="110"/>
        <v>1</v>
      </c>
      <c r="T501">
        <f t="shared" si="111"/>
        <v>0</v>
      </c>
      <c r="U501">
        <f t="shared" si="112"/>
        <v>0</v>
      </c>
      <c r="V501">
        <f t="shared" si="113"/>
        <v>0</v>
      </c>
      <c r="W501">
        <f t="shared" si="114"/>
        <v>0</v>
      </c>
      <c r="X501">
        <f t="shared" si="115"/>
        <v>0</v>
      </c>
      <c r="Y501">
        <f t="shared" si="116"/>
        <v>0</v>
      </c>
    </row>
    <row r="502" spans="1:25" hidden="1">
      <c r="A502" t="str">
        <f t="shared" si="117"/>
        <v>Lee 1977</v>
      </c>
      <c r="F502">
        <v>0.88649999999999995</v>
      </c>
      <c r="H502">
        <v>393.2</v>
      </c>
      <c r="I502">
        <v>14.86</v>
      </c>
      <c r="J502">
        <f t="shared" si="119"/>
        <v>0</v>
      </c>
      <c r="K502">
        <f t="shared" si="120"/>
        <v>0.11350000000000005</v>
      </c>
      <c r="S502">
        <f t="shared" si="110"/>
        <v>1</v>
      </c>
      <c r="T502">
        <f t="shared" si="111"/>
        <v>0</v>
      </c>
      <c r="U502">
        <f t="shared" si="112"/>
        <v>0</v>
      </c>
      <c r="V502">
        <f t="shared" si="113"/>
        <v>0</v>
      </c>
      <c r="W502">
        <f t="shared" si="114"/>
        <v>0</v>
      </c>
      <c r="X502">
        <f t="shared" si="115"/>
        <v>0</v>
      </c>
      <c r="Y502">
        <f t="shared" si="116"/>
        <v>0</v>
      </c>
    </row>
    <row r="503" spans="1:25" hidden="1">
      <c r="A503" t="str">
        <f t="shared" si="117"/>
        <v>Lee 1977</v>
      </c>
      <c r="F503">
        <v>0.92979999999999996</v>
      </c>
      <c r="H503">
        <v>393.2</v>
      </c>
      <c r="I503">
        <v>25</v>
      </c>
      <c r="J503">
        <f t="shared" si="119"/>
        <v>0</v>
      </c>
      <c r="K503">
        <f t="shared" si="120"/>
        <v>7.020000000000004E-2</v>
      </c>
      <c r="S503">
        <f t="shared" si="110"/>
        <v>1</v>
      </c>
      <c r="T503">
        <f t="shared" si="111"/>
        <v>0</v>
      </c>
      <c r="U503">
        <f t="shared" si="112"/>
        <v>0</v>
      </c>
      <c r="V503">
        <f t="shared" si="113"/>
        <v>0</v>
      </c>
      <c r="W503">
        <f t="shared" si="114"/>
        <v>0</v>
      </c>
      <c r="X503">
        <f t="shared" si="115"/>
        <v>0</v>
      </c>
      <c r="Y503">
        <f t="shared" si="116"/>
        <v>0</v>
      </c>
    </row>
    <row r="504" spans="1:25" hidden="1">
      <c r="A504" t="str">
        <f t="shared" si="117"/>
        <v>Lee 1977</v>
      </c>
      <c r="F504">
        <v>0.9415</v>
      </c>
      <c r="H504">
        <f>H503</f>
        <v>393.2</v>
      </c>
      <c r="I504">
        <v>31.61</v>
      </c>
      <c r="J504">
        <f t="shared" si="119"/>
        <v>0</v>
      </c>
      <c r="K504">
        <f t="shared" si="120"/>
        <v>5.8499999999999996E-2</v>
      </c>
      <c r="S504">
        <f t="shared" si="110"/>
        <v>1</v>
      </c>
      <c r="T504">
        <f t="shared" si="111"/>
        <v>0</v>
      </c>
      <c r="U504">
        <f t="shared" si="112"/>
        <v>0</v>
      </c>
      <c r="V504">
        <f t="shared" si="113"/>
        <v>0</v>
      </c>
      <c r="W504">
        <f t="shared" si="114"/>
        <v>0</v>
      </c>
      <c r="X504">
        <f t="shared" si="115"/>
        <v>0</v>
      </c>
      <c r="Y504">
        <f t="shared" si="116"/>
        <v>0</v>
      </c>
    </row>
    <row r="505" spans="1:25" hidden="1">
      <c r="A505" t="str">
        <f t="shared" si="117"/>
        <v>Lee 1977</v>
      </c>
      <c r="F505">
        <v>0.95289999999999997</v>
      </c>
      <c r="H505">
        <f>H504</f>
        <v>393.2</v>
      </c>
      <c r="I505">
        <v>31.74</v>
      </c>
      <c r="J505">
        <f t="shared" si="119"/>
        <v>0</v>
      </c>
      <c r="K505">
        <f t="shared" si="120"/>
        <v>4.7100000000000031E-2</v>
      </c>
      <c r="S505">
        <f t="shared" si="110"/>
        <v>1</v>
      </c>
      <c r="T505">
        <f t="shared" si="111"/>
        <v>0</v>
      </c>
      <c r="U505">
        <f t="shared" si="112"/>
        <v>0</v>
      </c>
      <c r="V505">
        <f t="shared" si="113"/>
        <v>0</v>
      </c>
      <c r="W505">
        <f t="shared" si="114"/>
        <v>0</v>
      </c>
      <c r="X505">
        <f t="shared" si="115"/>
        <v>0</v>
      </c>
      <c r="Y505">
        <f t="shared" si="116"/>
        <v>0</v>
      </c>
    </row>
    <row r="506" spans="1:25" hidden="1">
      <c r="A506" t="str">
        <f t="shared" si="117"/>
        <v>Lee 1977</v>
      </c>
      <c r="F506">
        <v>0.93140000000000001</v>
      </c>
      <c r="H506">
        <f>H505</f>
        <v>393.2</v>
      </c>
      <c r="I506">
        <v>32.299999999999997</v>
      </c>
      <c r="J506">
        <f t="shared" si="119"/>
        <v>0</v>
      </c>
      <c r="K506">
        <f t="shared" si="120"/>
        <v>6.8599999999999994E-2</v>
      </c>
      <c r="S506">
        <f t="shared" si="110"/>
        <v>1</v>
      </c>
      <c r="T506">
        <f t="shared" si="111"/>
        <v>0</v>
      </c>
      <c r="U506">
        <f t="shared" si="112"/>
        <v>0</v>
      </c>
      <c r="V506">
        <f t="shared" si="113"/>
        <v>0</v>
      </c>
      <c r="W506">
        <f t="shared" si="114"/>
        <v>0</v>
      </c>
      <c r="X506">
        <f t="shared" si="115"/>
        <v>0</v>
      </c>
      <c r="Y506">
        <f t="shared" si="116"/>
        <v>0</v>
      </c>
    </row>
    <row r="507" spans="1:25" hidden="1">
      <c r="A507" t="str">
        <f t="shared" si="117"/>
        <v>Lee 1977</v>
      </c>
      <c r="F507">
        <v>0.9526</v>
      </c>
      <c r="H507">
        <f>H506</f>
        <v>393.2</v>
      </c>
      <c r="I507">
        <v>34.01</v>
      </c>
      <c r="J507">
        <f t="shared" si="119"/>
        <v>0</v>
      </c>
      <c r="K507">
        <f t="shared" si="120"/>
        <v>4.7399999999999998E-2</v>
      </c>
      <c r="S507">
        <f t="shared" si="110"/>
        <v>1</v>
      </c>
      <c r="T507">
        <f t="shared" si="111"/>
        <v>0</v>
      </c>
      <c r="U507">
        <f t="shared" si="112"/>
        <v>0</v>
      </c>
      <c r="V507">
        <f t="shared" si="113"/>
        <v>0</v>
      </c>
      <c r="W507">
        <f t="shared" si="114"/>
        <v>0</v>
      </c>
      <c r="X507">
        <f t="shared" si="115"/>
        <v>0</v>
      </c>
      <c r="Y507">
        <f t="shared" si="116"/>
        <v>0</v>
      </c>
    </row>
    <row r="508" spans="1:25" hidden="1">
      <c r="A508" t="str">
        <f t="shared" si="117"/>
        <v>Lee 1977</v>
      </c>
      <c r="F508">
        <v>0.7409</v>
      </c>
      <c r="H508">
        <v>423.2</v>
      </c>
      <c r="I508">
        <v>19.420000000000002</v>
      </c>
      <c r="J508">
        <f t="shared" si="119"/>
        <v>0</v>
      </c>
      <c r="K508">
        <f t="shared" si="120"/>
        <v>0.2591</v>
      </c>
      <c r="S508">
        <f t="shared" si="110"/>
        <v>1</v>
      </c>
      <c r="T508">
        <f t="shared" si="111"/>
        <v>0</v>
      </c>
      <c r="U508">
        <f t="shared" si="112"/>
        <v>0</v>
      </c>
      <c r="V508">
        <f t="shared" si="113"/>
        <v>0</v>
      </c>
      <c r="W508">
        <f t="shared" si="114"/>
        <v>0</v>
      </c>
      <c r="X508">
        <f t="shared" si="115"/>
        <v>0</v>
      </c>
      <c r="Y508">
        <f t="shared" si="116"/>
        <v>0</v>
      </c>
    </row>
    <row r="509" spans="1:25" hidden="1">
      <c r="A509" t="str">
        <f t="shared" si="117"/>
        <v>Lee 1977</v>
      </c>
      <c r="F509">
        <v>0.78120000000000001</v>
      </c>
      <c r="H509">
        <v>423.2</v>
      </c>
      <c r="I509">
        <v>21.96</v>
      </c>
      <c r="J509">
        <f t="shared" si="119"/>
        <v>0</v>
      </c>
      <c r="K509">
        <f t="shared" si="120"/>
        <v>0.21879999999999999</v>
      </c>
      <c r="S509">
        <f t="shared" si="110"/>
        <v>1</v>
      </c>
      <c r="T509">
        <f t="shared" si="111"/>
        <v>0</v>
      </c>
      <c r="U509">
        <f t="shared" si="112"/>
        <v>0</v>
      </c>
      <c r="V509">
        <f t="shared" si="113"/>
        <v>0</v>
      </c>
      <c r="W509">
        <f t="shared" si="114"/>
        <v>0</v>
      </c>
      <c r="X509">
        <f t="shared" si="115"/>
        <v>0</v>
      </c>
      <c r="Y509">
        <f t="shared" si="116"/>
        <v>0</v>
      </c>
    </row>
    <row r="510" spans="1:25" hidden="1">
      <c r="A510" t="str">
        <f t="shared" si="117"/>
        <v>Lee 1977</v>
      </c>
      <c r="F510">
        <v>0.81989999999999996</v>
      </c>
      <c r="H510">
        <v>423.2</v>
      </c>
      <c r="I510">
        <v>26.24</v>
      </c>
      <c r="J510">
        <f t="shared" si="119"/>
        <v>0</v>
      </c>
      <c r="K510">
        <f t="shared" si="120"/>
        <v>0.18010000000000004</v>
      </c>
      <c r="S510">
        <f t="shared" si="110"/>
        <v>1</v>
      </c>
      <c r="T510">
        <f t="shared" si="111"/>
        <v>0</v>
      </c>
      <c r="U510">
        <f t="shared" si="112"/>
        <v>0</v>
      </c>
      <c r="V510">
        <f t="shared" si="113"/>
        <v>0</v>
      </c>
      <c r="W510">
        <f t="shared" si="114"/>
        <v>0</v>
      </c>
      <c r="X510">
        <f t="shared" si="115"/>
        <v>0</v>
      </c>
      <c r="Y510">
        <f t="shared" si="116"/>
        <v>0</v>
      </c>
    </row>
    <row r="511" spans="1:25" hidden="1">
      <c r="A511" t="str">
        <f t="shared" si="117"/>
        <v>Lee 1977</v>
      </c>
      <c r="F511">
        <v>0.83730000000000004</v>
      </c>
      <c r="H511">
        <f>H510</f>
        <v>423.2</v>
      </c>
      <c r="I511">
        <v>26.99</v>
      </c>
      <c r="J511">
        <f t="shared" si="119"/>
        <v>0</v>
      </c>
      <c r="K511">
        <f t="shared" si="120"/>
        <v>0.16269999999999996</v>
      </c>
      <c r="S511">
        <f t="shared" si="110"/>
        <v>1</v>
      </c>
      <c r="T511">
        <f t="shared" si="111"/>
        <v>0</v>
      </c>
      <c r="U511">
        <f t="shared" si="112"/>
        <v>0</v>
      </c>
      <c r="V511">
        <f t="shared" si="113"/>
        <v>0</v>
      </c>
      <c r="W511">
        <f t="shared" si="114"/>
        <v>0</v>
      </c>
      <c r="X511">
        <f t="shared" si="115"/>
        <v>0</v>
      </c>
      <c r="Y511">
        <f t="shared" si="116"/>
        <v>0</v>
      </c>
    </row>
    <row r="512" spans="1:25" hidden="1">
      <c r="A512" t="str">
        <f t="shared" si="117"/>
        <v>Lee 1977</v>
      </c>
      <c r="F512">
        <v>0.82920000000000005</v>
      </c>
      <c r="H512">
        <f>H511</f>
        <v>423.2</v>
      </c>
      <c r="I512">
        <v>30.03</v>
      </c>
      <c r="J512">
        <f t="shared" si="119"/>
        <v>0</v>
      </c>
      <c r="K512">
        <f t="shared" si="120"/>
        <v>0.17079999999999995</v>
      </c>
      <c r="S512">
        <f t="shared" si="110"/>
        <v>1</v>
      </c>
      <c r="T512">
        <f t="shared" si="111"/>
        <v>0</v>
      </c>
      <c r="U512">
        <f t="shared" si="112"/>
        <v>0</v>
      </c>
      <c r="V512">
        <f t="shared" si="113"/>
        <v>0</v>
      </c>
      <c r="W512">
        <f t="shared" si="114"/>
        <v>0</v>
      </c>
      <c r="X512">
        <f t="shared" si="115"/>
        <v>0</v>
      </c>
      <c r="Y512">
        <f t="shared" si="116"/>
        <v>0</v>
      </c>
    </row>
    <row r="513" spans="1:25" hidden="1">
      <c r="A513" t="str">
        <f t="shared" si="117"/>
        <v>Lee 1977</v>
      </c>
      <c r="F513">
        <v>0.83560000000000001</v>
      </c>
      <c r="H513">
        <f>H512</f>
        <v>423.2</v>
      </c>
      <c r="I513">
        <v>30.79</v>
      </c>
      <c r="J513">
        <f t="shared" si="119"/>
        <v>0</v>
      </c>
      <c r="K513">
        <f t="shared" si="120"/>
        <v>0.16439999999999999</v>
      </c>
      <c r="S513">
        <f t="shared" si="110"/>
        <v>1</v>
      </c>
      <c r="T513">
        <f t="shared" si="111"/>
        <v>0</v>
      </c>
      <c r="U513">
        <f t="shared" si="112"/>
        <v>0</v>
      </c>
      <c r="V513">
        <f t="shared" si="113"/>
        <v>0</v>
      </c>
      <c r="W513">
        <f t="shared" si="114"/>
        <v>0</v>
      </c>
      <c r="X513">
        <f t="shared" si="115"/>
        <v>0</v>
      </c>
      <c r="Y513">
        <f t="shared" si="116"/>
        <v>0</v>
      </c>
    </row>
    <row r="514" spans="1:25" hidden="1">
      <c r="A514" t="s">
        <v>65</v>
      </c>
      <c r="E514">
        <v>1.22</v>
      </c>
      <c r="H514">
        <v>473.15</v>
      </c>
      <c r="I514">
        <v>98</v>
      </c>
      <c r="J514">
        <v>0</v>
      </c>
      <c r="L514">
        <f t="shared" ref="L514:L545" si="121">E514/100</f>
        <v>1.2199999999999999E-2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hidden="1">
      <c r="A515" t="str">
        <f t="shared" ref="A515:A546" si="122">A514</f>
        <v>Malinin 1959</v>
      </c>
      <c r="E515">
        <v>1.21</v>
      </c>
      <c r="H515">
        <f t="shared" ref="H515:H545" si="123">H514</f>
        <v>473.15</v>
      </c>
      <c r="I515">
        <v>98</v>
      </c>
      <c r="J515">
        <v>0</v>
      </c>
      <c r="L515">
        <f t="shared" si="121"/>
        <v>1.21E-2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hidden="1">
      <c r="A516" t="str">
        <f t="shared" si="122"/>
        <v>Malinin 1959</v>
      </c>
      <c r="E516">
        <v>1.22</v>
      </c>
      <c r="H516">
        <f t="shared" si="123"/>
        <v>473.15</v>
      </c>
      <c r="I516">
        <v>98</v>
      </c>
      <c r="J516">
        <v>0</v>
      </c>
      <c r="L516">
        <f t="shared" si="121"/>
        <v>1.2199999999999999E-2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hidden="1">
      <c r="A517" t="str">
        <f t="shared" si="122"/>
        <v>Malinin 1959</v>
      </c>
      <c r="E517">
        <v>2.4700000000000002</v>
      </c>
      <c r="H517">
        <f t="shared" si="123"/>
        <v>473.15</v>
      </c>
      <c r="I517">
        <v>196</v>
      </c>
      <c r="J517">
        <v>0</v>
      </c>
      <c r="L517">
        <f t="shared" si="121"/>
        <v>2.4700000000000003E-2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hidden="1">
      <c r="A518" t="str">
        <f t="shared" si="122"/>
        <v>Malinin 1959</v>
      </c>
      <c r="E518">
        <v>2.44</v>
      </c>
      <c r="H518">
        <f t="shared" si="123"/>
        <v>473.15</v>
      </c>
      <c r="I518">
        <v>196</v>
      </c>
      <c r="J518">
        <v>0</v>
      </c>
      <c r="L518">
        <f t="shared" si="121"/>
        <v>2.4399999999999998E-2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hidden="1">
      <c r="A519" t="str">
        <f t="shared" si="122"/>
        <v>Malinin 1959</v>
      </c>
      <c r="E519">
        <v>2.35</v>
      </c>
      <c r="H519">
        <f t="shared" si="123"/>
        <v>473.15</v>
      </c>
      <c r="I519">
        <v>196</v>
      </c>
      <c r="J519">
        <v>0</v>
      </c>
      <c r="L519">
        <f t="shared" si="121"/>
        <v>2.35E-2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hidden="1">
      <c r="A520" t="str">
        <f t="shared" si="122"/>
        <v>Malinin 1959</v>
      </c>
      <c r="E520">
        <v>2.38</v>
      </c>
      <c r="H520">
        <f t="shared" si="123"/>
        <v>473.15</v>
      </c>
      <c r="I520">
        <v>196</v>
      </c>
      <c r="J520">
        <v>0</v>
      </c>
      <c r="L520">
        <f t="shared" si="121"/>
        <v>2.3799999999999998E-2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hidden="1">
      <c r="A521" t="str">
        <f t="shared" si="122"/>
        <v>Malinin 1959</v>
      </c>
      <c r="E521">
        <v>2.4</v>
      </c>
      <c r="H521">
        <f t="shared" si="123"/>
        <v>473.15</v>
      </c>
      <c r="I521">
        <v>196</v>
      </c>
      <c r="J521">
        <v>0</v>
      </c>
      <c r="L521">
        <f t="shared" si="121"/>
        <v>2.4E-2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hidden="1">
      <c r="A522" t="str">
        <f t="shared" si="122"/>
        <v>Malinin 1959</v>
      </c>
      <c r="E522">
        <v>2.41</v>
      </c>
      <c r="H522">
        <f t="shared" si="123"/>
        <v>473.15</v>
      </c>
      <c r="I522">
        <v>196</v>
      </c>
      <c r="J522">
        <v>0</v>
      </c>
      <c r="L522">
        <f t="shared" si="121"/>
        <v>2.41E-2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hidden="1">
      <c r="A523" t="str">
        <f t="shared" si="122"/>
        <v>Malinin 1959</v>
      </c>
      <c r="E523">
        <v>3.28</v>
      </c>
      <c r="H523">
        <f t="shared" si="123"/>
        <v>473.15</v>
      </c>
      <c r="I523">
        <v>294</v>
      </c>
      <c r="J523">
        <v>0</v>
      </c>
      <c r="L523">
        <f t="shared" si="121"/>
        <v>3.2799999999999996E-2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hidden="1">
      <c r="A524" t="str">
        <f t="shared" si="122"/>
        <v>Malinin 1959</v>
      </c>
      <c r="E524">
        <v>3.24</v>
      </c>
      <c r="H524">
        <f t="shared" si="123"/>
        <v>473.15</v>
      </c>
      <c r="I524">
        <v>294</v>
      </c>
      <c r="J524">
        <v>0</v>
      </c>
      <c r="L524">
        <f t="shared" si="121"/>
        <v>3.2400000000000005E-2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hidden="1">
      <c r="A525" t="str">
        <f t="shared" si="122"/>
        <v>Malinin 1959</v>
      </c>
      <c r="E525">
        <v>3.17</v>
      </c>
      <c r="H525">
        <f t="shared" si="123"/>
        <v>473.15</v>
      </c>
      <c r="I525">
        <v>294</v>
      </c>
      <c r="J525">
        <v>0</v>
      </c>
      <c r="L525">
        <f t="shared" si="121"/>
        <v>3.1699999999999999E-2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hidden="1">
      <c r="A526" t="str">
        <f t="shared" si="122"/>
        <v>Malinin 1959</v>
      </c>
      <c r="E526">
        <v>3.29</v>
      </c>
      <c r="H526">
        <f t="shared" si="123"/>
        <v>473.15</v>
      </c>
      <c r="I526">
        <v>294</v>
      </c>
      <c r="J526">
        <v>0</v>
      </c>
      <c r="L526">
        <f t="shared" si="121"/>
        <v>3.2899999999999999E-2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hidden="1">
      <c r="A527" t="str">
        <f t="shared" si="122"/>
        <v>Malinin 1959</v>
      </c>
      <c r="E527">
        <v>3.26</v>
      </c>
      <c r="H527">
        <f t="shared" si="123"/>
        <v>473.15</v>
      </c>
      <c r="I527">
        <v>294</v>
      </c>
      <c r="J527">
        <v>0</v>
      </c>
      <c r="L527">
        <f t="shared" si="121"/>
        <v>3.2599999999999997E-2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hidden="1">
      <c r="A528" t="str">
        <f t="shared" si="122"/>
        <v>Malinin 1959</v>
      </c>
      <c r="E528">
        <v>3.26</v>
      </c>
      <c r="H528">
        <f t="shared" si="123"/>
        <v>473.15</v>
      </c>
      <c r="I528">
        <v>294</v>
      </c>
      <c r="J528">
        <v>0</v>
      </c>
      <c r="L528">
        <f t="shared" si="121"/>
        <v>3.2599999999999997E-2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hidden="1">
      <c r="A529" t="str">
        <f t="shared" si="122"/>
        <v>Malinin 1959</v>
      </c>
      <c r="E529">
        <v>3.84</v>
      </c>
      <c r="H529">
        <f t="shared" si="123"/>
        <v>473.15</v>
      </c>
      <c r="I529">
        <v>392</v>
      </c>
      <c r="J529">
        <v>0</v>
      </c>
      <c r="L529">
        <f t="shared" si="121"/>
        <v>3.8399999999999997E-2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hidden="1">
      <c r="A530" t="str">
        <f t="shared" si="122"/>
        <v>Malinin 1959</v>
      </c>
      <c r="E530">
        <v>3.93</v>
      </c>
      <c r="H530">
        <f t="shared" si="123"/>
        <v>473.15</v>
      </c>
      <c r="I530">
        <f>I529</f>
        <v>392</v>
      </c>
      <c r="J530">
        <v>0</v>
      </c>
      <c r="L530">
        <f t="shared" si="121"/>
        <v>3.9300000000000002E-2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hidden="1">
      <c r="A531" t="str">
        <f t="shared" si="122"/>
        <v>Malinin 1959</v>
      </c>
      <c r="E531">
        <v>4</v>
      </c>
      <c r="H531">
        <f t="shared" si="123"/>
        <v>473.15</v>
      </c>
      <c r="I531">
        <f>I530</f>
        <v>392</v>
      </c>
      <c r="J531">
        <v>0</v>
      </c>
      <c r="L531">
        <f t="shared" si="121"/>
        <v>0.04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hidden="1">
      <c r="A532" t="str">
        <f t="shared" si="122"/>
        <v>Malinin 1959</v>
      </c>
      <c r="E532">
        <v>4.05</v>
      </c>
      <c r="H532">
        <f t="shared" si="123"/>
        <v>473.15</v>
      </c>
      <c r="I532">
        <f>I531</f>
        <v>392</v>
      </c>
      <c r="J532">
        <v>0</v>
      </c>
      <c r="L532">
        <f t="shared" si="121"/>
        <v>4.0500000000000001E-2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hidden="1">
      <c r="A533" t="str">
        <f t="shared" si="122"/>
        <v>Malinin 1959</v>
      </c>
      <c r="E533">
        <v>3.76</v>
      </c>
      <c r="H533">
        <f t="shared" si="123"/>
        <v>473.15</v>
      </c>
      <c r="I533">
        <f>I532</f>
        <v>392</v>
      </c>
      <c r="J533">
        <v>0</v>
      </c>
      <c r="L533">
        <f t="shared" si="121"/>
        <v>3.7599999999999995E-2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hidden="1">
      <c r="A534" t="str">
        <f t="shared" si="122"/>
        <v>Malinin 1959</v>
      </c>
      <c r="E534">
        <v>3.76</v>
      </c>
      <c r="H534">
        <f t="shared" si="123"/>
        <v>473.15</v>
      </c>
      <c r="I534">
        <f>I533</f>
        <v>392</v>
      </c>
      <c r="J534">
        <v>0</v>
      </c>
      <c r="L534">
        <f t="shared" si="121"/>
        <v>3.7599999999999995E-2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hidden="1">
      <c r="A535" t="str">
        <f t="shared" si="122"/>
        <v>Malinin 1959</v>
      </c>
      <c r="E535">
        <v>4.4400000000000004</v>
      </c>
      <c r="H535">
        <f t="shared" si="123"/>
        <v>473.15</v>
      </c>
      <c r="I535">
        <v>490</v>
      </c>
      <c r="J535">
        <v>0</v>
      </c>
      <c r="L535">
        <f t="shared" si="121"/>
        <v>4.4400000000000002E-2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hidden="1">
      <c r="A536" t="str">
        <f t="shared" si="122"/>
        <v>Malinin 1959</v>
      </c>
      <c r="E536">
        <v>4.3899999999999997</v>
      </c>
      <c r="H536">
        <f t="shared" si="123"/>
        <v>473.15</v>
      </c>
      <c r="I536">
        <f t="shared" ref="I536:I545" si="124">I535</f>
        <v>490</v>
      </c>
      <c r="J536">
        <v>0</v>
      </c>
      <c r="L536">
        <f t="shared" si="121"/>
        <v>4.3899999999999995E-2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hidden="1">
      <c r="A537" t="str">
        <f t="shared" si="122"/>
        <v>Malinin 1959</v>
      </c>
      <c r="E537">
        <v>4.5599999999999996</v>
      </c>
      <c r="H537">
        <f t="shared" si="123"/>
        <v>473.15</v>
      </c>
      <c r="I537">
        <f t="shared" si="124"/>
        <v>490</v>
      </c>
      <c r="J537">
        <v>0</v>
      </c>
      <c r="L537">
        <f t="shared" si="121"/>
        <v>4.5599999999999995E-2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hidden="1">
      <c r="A538" t="str">
        <f t="shared" si="122"/>
        <v>Malinin 1959</v>
      </c>
      <c r="E538">
        <v>4.3600000000000003</v>
      </c>
      <c r="H538">
        <f t="shared" si="123"/>
        <v>473.15</v>
      </c>
      <c r="I538">
        <f t="shared" si="124"/>
        <v>490</v>
      </c>
      <c r="J538">
        <v>0</v>
      </c>
      <c r="L538">
        <f t="shared" si="121"/>
        <v>4.36E-2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hidden="1">
      <c r="A539" t="str">
        <f t="shared" si="122"/>
        <v>Malinin 1959</v>
      </c>
      <c r="E539">
        <v>4.38</v>
      </c>
      <c r="H539">
        <f t="shared" si="123"/>
        <v>473.15</v>
      </c>
      <c r="I539">
        <f t="shared" si="124"/>
        <v>490</v>
      </c>
      <c r="J539">
        <v>0</v>
      </c>
      <c r="L539">
        <f t="shared" si="121"/>
        <v>4.3799999999999999E-2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hidden="1">
      <c r="A540" t="str">
        <f t="shared" si="122"/>
        <v>Malinin 1959</v>
      </c>
      <c r="E540">
        <v>4.5599999999999996</v>
      </c>
      <c r="H540">
        <f t="shared" si="123"/>
        <v>473.15</v>
      </c>
      <c r="I540">
        <f t="shared" si="124"/>
        <v>490</v>
      </c>
      <c r="J540">
        <v>0</v>
      </c>
      <c r="L540">
        <f t="shared" si="121"/>
        <v>4.5599999999999995E-2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hidden="1">
      <c r="A541" t="str">
        <f t="shared" si="122"/>
        <v>Malinin 1959</v>
      </c>
      <c r="E541">
        <v>4.3600000000000003</v>
      </c>
      <c r="H541">
        <f t="shared" si="123"/>
        <v>473.15</v>
      </c>
      <c r="I541">
        <f t="shared" si="124"/>
        <v>490</v>
      </c>
      <c r="J541">
        <v>0</v>
      </c>
      <c r="L541">
        <f t="shared" si="121"/>
        <v>4.36E-2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hidden="1">
      <c r="A542" t="str">
        <f t="shared" si="122"/>
        <v>Malinin 1959</v>
      </c>
      <c r="E542">
        <v>4.38</v>
      </c>
      <c r="H542">
        <f t="shared" si="123"/>
        <v>473.15</v>
      </c>
      <c r="I542">
        <f t="shared" si="124"/>
        <v>490</v>
      </c>
      <c r="J542">
        <v>0</v>
      </c>
      <c r="L542">
        <f t="shared" si="121"/>
        <v>4.3799999999999999E-2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hidden="1">
      <c r="A543" t="str">
        <f t="shared" si="122"/>
        <v>Malinin 1959</v>
      </c>
      <c r="E543">
        <v>4.45</v>
      </c>
      <c r="H543">
        <f t="shared" si="123"/>
        <v>473.15</v>
      </c>
      <c r="I543">
        <f t="shared" si="124"/>
        <v>490</v>
      </c>
      <c r="J543">
        <v>0</v>
      </c>
      <c r="L543">
        <f t="shared" si="121"/>
        <v>4.4500000000000005E-2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hidden="1">
      <c r="A544" t="str">
        <f t="shared" si="122"/>
        <v>Malinin 1959</v>
      </c>
      <c r="E544">
        <v>4.32</v>
      </c>
      <c r="H544">
        <f t="shared" si="123"/>
        <v>473.15</v>
      </c>
      <c r="I544">
        <f t="shared" si="124"/>
        <v>490</v>
      </c>
      <c r="J544">
        <v>0</v>
      </c>
      <c r="L544">
        <f t="shared" si="121"/>
        <v>4.3200000000000002E-2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hidden="1">
      <c r="A545" t="str">
        <f t="shared" si="122"/>
        <v>Malinin 1959</v>
      </c>
      <c r="E545">
        <v>4.28</v>
      </c>
      <c r="H545">
        <f t="shared" si="123"/>
        <v>473.15</v>
      </c>
      <c r="I545">
        <f t="shared" si="124"/>
        <v>490</v>
      </c>
      <c r="J545">
        <v>0</v>
      </c>
      <c r="L545">
        <f t="shared" si="121"/>
        <v>4.2800000000000005E-2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hidden="1">
      <c r="A546" t="str">
        <f t="shared" si="122"/>
        <v>Malinin 1959</v>
      </c>
      <c r="E546">
        <v>1.07</v>
      </c>
      <c r="H546">
        <v>523.15</v>
      </c>
      <c r="I546">
        <v>98</v>
      </c>
      <c r="J546">
        <v>0</v>
      </c>
      <c r="L546">
        <f t="shared" ref="L546:L577" si="125">E546/100</f>
        <v>1.0700000000000001E-2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hidden="1">
      <c r="A547" t="str">
        <f t="shared" ref="A547:A578" si="126">A546</f>
        <v>Malinin 1959</v>
      </c>
      <c r="E547">
        <v>1.07</v>
      </c>
      <c r="H547">
        <f t="shared" ref="H547:H568" si="127">H546</f>
        <v>523.15</v>
      </c>
      <c r="I547">
        <v>98</v>
      </c>
      <c r="J547">
        <v>0</v>
      </c>
      <c r="L547">
        <f t="shared" si="125"/>
        <v>1.0700000000000001E-2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hidden="1">
      <c r="A548" t="str">
        <f t="shared" si="126"/>
        <v>Malinin 1959</v>
      </c>
      <c r="E548">
        <v>1.08</v>
      </c>
      <c r="H548">
        <f t="shared" si="127"/>
        <v>523.15</v>
      </c>
      <c r="I548">
        <v>98</v>
      </c>
      <c r="J548">
        <v>0</v>
      </c>
      <c r="L548">
        <f t="shared" si="125"/>
        <v>1.0800000000000001E-2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hidden="1">
      <c r="A549" t="str">
        <f t="shared" si="126"/>
        <v>Malinin 1959</v>
      </c>
      <c r="E549">
        <v>2.77</v>
      </c>
      <c r="H549">
        <f t="shared" si="127"/>
        <v>523.15</v>
      </c>
      <c r="I549">
        <v>196</v>
      </c>
      <c r="J549">
        <v>0</v>
      </c>
      <c r="L549">
        <f t="shared" si="125"/>
        <v>2.7699999999999999E-2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hidden="1">
      <c r="A550" t="str">
        <f t="shared" si="126"/>
        <v>Malinin 1959</v>
      </c>
      <c r="E550">
        <v>2.74</v>
      </c>
      <c r="H550">
        <f t="shared" si="127"/>
        <v>523.15</v>
      </c>
      <c r="I550">
        <f>I549</f>
        <v>196</v>
      </c>
      <c r="J550">
        <v>0</v>
      </c>
      <c r="L550">
        <f t="shared" si="125"/>
        <v>2.7400000000000001E-2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hidden="1">
      <c r="A551" t="str">
        <f t="shared" si="126"/>
        <v>Malinin 1959</v>
      </c>
      <c r="E551">
        <v>2.56</v>
      </c>
      <c r="H551">
        <f t="shared" si="127"/>
        <v>523.15</v>
      </c>
      <c r="I551">
        <f>I550</f>
        <v>196</v>
      </c>
      <c r="J551">
        <v>0</v>
      </c>
      <c r="L551">
        <f t="shared" si="125"/>
        <v>2.5600000000000001E-2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hidden="1">
      <c r="A552" t="str">
        <f t="shared" si="126"/>
        <v>Malinin 1959</v>
      </c>
      <c r="E552">
        <v>2.74</v>
      </c>
      <c r="H552">
        <f t="shared" si="127"/>
        <v>523.15</v>
      </c>
      <c r="I552">
        <f>I551</f>
        <v>196</v>
      </c>
      <c r="J552">
        <v>0</v>
      </c>
      <c r="L552">
        <f t="shared" si="125"/>
        <v>2.7400000000000001E-2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hidden="1">
      <c r="A553" t="str">
        <f t="shared" si="126"/>
        <v>Malinin 1959</v>
      </c>
      <c r="E553">
        <v>2.71</v>
      </c>
      <c r="H553">
        <f t="shared" si="127"/>
        <v>523.15</v>
      </c>
      <c r="I553">
        <f>I552</f>
        <v>196</v>
      </c>
      <c r="J553">
        <v>0</v>
      </c>
      <c r="L553">
        <f t="shared" si="125"/>
        <v>2.7099999999999999E-2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hidden="1">
      <c r="A554" t="str">
        <f t="shared" si="126"/>
        <v>Malinin 1959</v>
      </c>
      <c r="E554">
        <v>2.79</v>
      </c>
      <c r="H554">
        <f t="shared" si="127"/>
        <v>523.15</v>
      </c>
      <c r="I554">
        <f>I553</f>
        <v>196</v>
      </c>
      <c r="J554">
        <v>0</v>
      </c>
      <c r="L554">
        <f t="shared" si="125"/>
        <v>2.7900000000000001E-2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hidden="1">
      <c r="A555" t="str">
        <f t="shared" si="126"/>
        <v>Malinin 1959</v>
      </c>
      <c r="E555">
        <v>4.34</v>
      </c>
      <c r="H555">
        <f t="shared" si="127"/>
        <v>523.15</v>
      </c>
      <c r="I555">
        <v>294</v>
      </c>
      <c r="J555">
        <v>0</v>
      </c>
      <c r="L555">
        <f t="shared" si="125"/>
        <v>4.3400000000000001E-2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hidden="1">
      <c r="A556" t="str">
        <f t="shared" si="126"/>
        <v>Malinin 1959</v>
      </c>
      <c r="E556">
        <v>4.34</v>
      </c>
      <c r="H556">
        <f t="shared" si="127"/>
        <v>523.15</v>
      </c>
      <c r="I556">
        <f>I555</f>
        <v>294</v>
      </c>
      <c r="J556">
        <v>0</v>
      </c>
      <c r="L556">
        <f t="shared" si="125"/>
        <v>4.3400000000000001E-2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hidden="1">
      <c r="A557" t="str">
        <f t="shared" si="126"/>
        <v>Malinin 1959</v>
      </c>
      <c r="E557">
        <v>4.17</v>
      </c>
      <c r="H557">
        <f t="shared" si="127"/>
        <v>523.15</v>
      </c>
      <c r="I557">
        <f>I556</f>
        <v>294</v>
      </c>
      <c r="J557">
        <v>0</v>
      </c>
      <c r="L557">
        <f t="shared" si="125"/>
        <v>4.1700000000000001E-2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hidden="1">
      <c r="A558" t="str">
        <f t="shared" si="126"/>
        <v>Malinin 1959</v>
      </c>
      <c r="E558">
        <v>4.3</v>
      </c>
      <c r="H558">
        <f t="shared" si="127"/>
        <v>523.15</v>
      </c>
      <c r="I558">
        <f>I557</f>
        <v>294</v>
      </c>
      <c r="J558">
        <v>0</v>
      </c>
      <c r="L558">
        <f t="shared" si="125"/>
        <v>4.2999999999999997E-2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hidden="1">
      <c r="A559" t="str">
        <f t="shared" si="126"/>
        <v>Malinin 1959</v>
      </c>
      <c r="E559">
        <v>4.4000000000000004</v>
      </c>
      <c r="H559">
        <f t="shared" si="127"/>
        <v>523.15</v>
      </c>
      <c r="I559">
        <f>I558</f>
        <v>294</v>
      </c>
      <c r="J559">
        <v>0</v>
      </c>
      <c r="L559">
        <f t="shared" si="125"/>
        <v>4.4000000000000004E-2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hidden="1">
      <c r="A560" t="str">
        <f t="shared" si="126"/>
        <v>Malinin 1959</v>
      </c>
      <c r="E560">
        <v>5.69</v>
      </c>
      <c r="H560">
        <f t="shared" si="127"/>
        <v>523.15</v>
      </c>
      <c r="I560">
        <v>392</v>
      </c>
      <c r="J560">
        <v>0</v>
      </c>
      <c r="L560">
        <f t="shared" si="125"/>
        <v>5.6900000000000006E-2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hidden="1">
      <c r="A561" t="str">
        <f t="shared" si="126"/>
        <v>Malinin 1959</v>
      </c>
      <c r="E561">
        <v>5.61</v>
      </c>
      <c r="H561">
        <f t="shared" si="127"/>
        <v>523.15</v>
      </c>
      <c r="I561">
        <f t="shared" ref="I561:I566" si="128">I560</f>
        <v>392</v>
      </c>
      <c r="J561">
        <v>0</v>
      </c>
      <c r="L561">
        <f t="shared" si="125"/>
        <v>5.6100000000000004E-2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hidden="1">
      <c r="A562" t="str">
        <f t="shared" si="126"/>
        <v>Malinin 1959</v>
      </c>
      <c r="E562">
        <v>5.53</v>
      </c>
      <c r="H562">
        <f t="shared" si="127"/>
        <v>523.15</v>
      </c>
      <c r="I562">
        <f t="shared" si="128"/>
        <v>392</v>
      </c>
      <c r="J562">
        <v>0</v>
      </c>
      <c r="L562">
        <f t="shared" si="125"/>
        <v>5.5300000000000002E-2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hidden="1">
      <c r="A563" t="str">
        <f t="shared" si="126"/>
        <v>Malinin 1959</v>
      </c>
      <c r="E563">
        <v>5.6</v>
      </c>
      <c r="H563">
        <f t="shared" si="127"/>
        <v>523.15</v>
      </c>
      <c r="I563">
        <f t="shared" si="128"/>
        <v>392</v>
      </c>
      <c r="J563">
        <v>0</v>
      </c>
      <c r="L563">
        <f t="shared" si="125"/>
        <v>5.5999999999999994E-2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hidden="1">
      <c r="A564" t="str">
        <f t="shared" si="126"/>
        <v>Malinin 1959</v>
      </c>
      <c r="E564">
        <v>5.53</v>
      </c>
      <c r="H564">
        <f t="shared" si="127"/>
        <v>523.15</v>
      </c>
      <c r="I564">
        <f t="shared" si="128"/>
        <v>392</v>
      </c>
      <c r="J564">
        <v>0</v>
      </c>
      <c r="L564">
        <f t="shared" si="125"/>
        <v>5.5300000000000002E-2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hidden="1">
      <c r="A565" t="str">
        <f t="shared" si="126"/>
        <v>Malinin 1959</v>
      </c>
      <c r="E565">
        <v>5.58</v>
      </c>
      <c r="H565">
        <f t="shared" si="127"/>
        <v>523.15</v>
      </c>
      <c r="I565">
        <f t="shared" si="128"/>
        <v>392</v>
      </c>
      <c r="J565">
        <v>0</v>
      </c>
      <c r="L565">
        <f t="shared" si="125"/>
        <v>5.5800000000000002E-2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hidden="1">
      <c r="A566" t="str">
        <f t="shared" si="126"/>
        <v>Malinin 1959</v>
      </c>
      <c r="E566">
        <v>5.54</v>
      </c>
      <c r="H566">
        <f t="shared" si="127"/>
        <v>523.15</v>
      </c>
      <c r="I566">
        <f t="shared" si="128"/>
        <v>392</v>
      </c>
      <c r="J566">
        <v>0</v>
      </c>
      <c r="L566">
        <f t="shared" si="125"/>
        <v>5.5399999999999998E-2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hidden="1">
      <c r="A567" t="str">
        <f t="shared" si="126"/>
        <v>Malinin 1959</v>
      </c>
      <c r="E567">
        <v>6.5</v>
      </c>
      <c r="H567">
        <f t="shared" si="127"/>
        <v>523.15</v>
      </c>
      <c r="I567">
        <v>490</v>
      </c>
      <c r="J567">
        <v>0</v>
      </c>
      <c r="L567">
        <f t="shared" si="125"/>
        <v>6.5000000000000002E-2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hidden="1">
      <c r="A568" t="str">
        <f t="shared" si="126"/>
        <v>Malinin 1959</v>
      </c>
      <c r="E568">
        <v>6.6</v>
      </c>
      <c r="H568">
        <f t="shared" si="127"/>
        <v>523.15</v>
      </c>
      <c r="I568">
        <f>I567</f>
        <v>490</v>
      </c>
      <c r="J568">
        <v>0</v>
      </c>
      <c r="L568">
        <f t="shared" si="125"/>
        <v>6.6000000000000003E-2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hidden="1">
      <c r="A569" t="str">
        <f t="shared" si="126"/>
        <v>Malinin 1959</v>
      </c>
      <c r="E569">
        <v>1.76</v>
      </c>
      <c r="H569">
        <v>575.15</v>
      </c>
      <c r="I569">
        <v>157</v>
      </c>
      <c r="J569">
        <v>0</v>
      </c>
      <c r="L569">
        <f t="shared" si="125"/>
        <v>1.7600000000000001E-2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hidden="1">
      <c r="A570" t="str">
        <f t="shared" si="126"/>
        <v>Malinin 1959</v>
      </c>
      <c r="E570">
        <v>1.81</v>
      </c>
      <c r="H570">
        <f>H569</f>
        <v>575.15</v>
      </c>
      <c r="I570">
        <f>I569</f>
        <v>157</v>
      </c>
      <c r="J570">
        <v>0</v>
      </c>
      <c r="L570">
        <f t="shared" si="125"/>
        <v>1.8100000000000002E-2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hidden="1">
      <c r="A571" t="str">
        <f t="shared" si="126"/>
        <v>Malinin 1959</v>
      </c>
      <c r="E571">
        <v>1.73</v>
      </c>
      <c r="H571">
        <f>H570</f>
        <v>575.15</v>
      </c>
      <c r="I571">
        <f>I570</f>
        <v>157</v>
      </c>
      <c r="J571">
        <v>0</v>
      </c>
      <c r="L571">
        <f t="shared" si="125"/>
        <v>1.7299999999999999E-2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hidden="1">
      <c r="A572" t="str">
        <f t="shared" si="126"/>
        <v>Malinin 1959</v>
      </c>
      <c r="E572">
        <v>2.85</v>
      </c>
      <c r="H572">
        <f t="shared" ref="H572:H589" si="129">H571</f>
        <v>575.15</v>
      </c>
      <c r="I572">
        <v>196</v>
      </c>
      <c r="J572">
        <v>0</v>
      </c>
      <c r="L572">
        <f t="shared" si="125"/>
        <v>2.8500000000000001E-2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hidden="1">
      <c r="A573" t="str">
        <f t="shared" si="126"/>
        <v>Malinin 1959</v>
      </c>
      <c r="E573">
        <v>2.78</v>
      </c>
      <c r="H573">
        <f t="shared" si="129"/>
        <v>575.15</v>
      </c>
      <c r="I573">
        <f>I572</f>
        <v>196</v>
      </c>
      <c r="J573">
        <v>0</v>
      </c>
      <c r="L573">
        <f t="shared" si="125"/>
        <v>2.7799999999999998E-2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hidden="1">
      <c r="A574" t="str">
        <f t="shared" si="126"/>
        <v>Malinin 1959</v>
      </c>
      <c r="E574">
        <v>2.74</v>
      </c>
      <c r="H574">
        <f t="shared" si="129"/>
        <v>575.15</v>
      </c>
      <c r="I574">
        <f>I573</f>
        <v>196</v>
      </c>
      <c r="J574">
        <v>0</v>
      </c>
      <c r="L574">
        <f t="shared" si="125"/>
        <v>2.7400000000000001E-2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hidden="1">
      <c r="A575" t="str">
        <f t="shared" si="126"/>
        <v>Malinin 1959</v>
      </c>
      <c r="E575">
        <v>2.71</v>
      </c>
      <c r="H575">
        <f t="shared" si="129"/>
        <v>575.15</v>
      </c>
      <c r="I575">
        <f>I574</f>
        <v>196</v>
      </c>
      <c r="J575">
        <v>0</v>
      </c>
      <c r="L575">
        <f t="shared" si="125"/>
        <v>2.7099999999999999E-2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hidden="1">
      <c r="A576" t="str">
        <f t="shared" si="126"/>
        <v>Malinin 1959</v>
      </c>
      <c r="E576">
        <v>5.45</v>
      </c>
      <c r="H576">
        <f t="shared" si="129"/>
        <v>575.15</v>
      </c>
      <c r="I576">
        <v>294</v>
      </c>
      <c r="J576">
        <v>0</v>
      </c>
      <c r="L576">
        <f t="shared" si="125"/>
        <v>5.45E-2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hidden="1">
      <c r="A577" t="str">
        <f t="shared" si="126"/>
        <v>Malinin 1959</v>
      </c>
      <c r="E577">
        <v>5.38</v>
      </c>
      <c r="H577">
        <f t="shared" si="129"/>
        <v>575.15</v>
      </c>
      <c r="I577">
        <f t="shared" ref="I577:I583" si="130">I576</f>
        <v>294</v>
      </c>
      <c r="J577">
        <v>0</v>
      </c>
      <c r="L577">
        <f t="shared" si="125"/>
        <v>5.3800000000000001E-2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hidden="1">
      <c r="A578" t="str">
        <f t="shared" si="126"/>
        <v>Malinin 1959</v>
      </c>
      <c r="E578">
        <v>5.59</v>
      </c>
      <c r="H578">
        <f t="shared" si="129"/>
        <v>575.15</v>
      </c>
      <c r="I578">
        <f t="shared" si="130"/>
        <v>294</v>
      </c>
      <c r="J578">
        <v>0</v>
      </c>
      <c r="L578">
        <f t="shared" ref="L578:L592" si="131">E578/100</f>
        <v>5.5899999999999998E-2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hidden="1">
      <c r="A579" t="str">
        <f t="shared" ref="A579:A610" si="132">A578</f>
        <v>Malinin 1959</v>
      </c>
      <c r="E579">
        <v>5.57</v>
      </c>
      <c r="H579">
        <f t="shared" si="129"/>
        <v>575.15</v>
      </c>
      <c r="I579">
        <f t="shared" si="130"/>
        <v>294</v>
      </c>
      <c r="J579">
        <v>0</v>
      </c>
      <c r="L579">
        <f t="shared" si="131"/>
        <v>5.57E-2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hidden="1">
      <c r="A580" t="str">
        <f t="shared" si="132"/>
        <v>Malinin 1959</v>
      </c>
      <c r="E580">
        <v>5.32</v>
      </c>
      <c r="H580">
        <f t="shared" si="129"/>
        <v>575.15</v>
      </c>
      <c r="I580">
        <f t="shared" si="130"/>
        <v>294</v>
      </c>
      <c r="J580">
        <v>0</v>
      </c>
      <c r="L580">
        <f t="shared" si="131"/>
        <v>5.3200000000000004E-2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hidden="1">
      <c r="A581" t="str">
        <f t="shared" si="132"/>
        <v>Malinin 1959</v>
      </c>
      <c r="E581">
        <v>5.4</v>
      </c>
      <c r="H581">
        <f t="shared" si="129"/>
        <v>575.15</v>
      </c>
      <c r="I581">
        <f t="shared" si="130"/>
        <v>294</v>
      </c>
      <c r="J581">
        <v>0</v>
      </c>
      <c r="L581">
        <f t="shared" si="131"/>
        <v>5.4000000000000006E-2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hidden="1">
      <c r="A582" t="str">
        <f t="shared" si="132"/>
        <v>Malinin 1959</v>
      </c>
      <c r="E582">
        <v>5.3</v>
      </c>
      <c r="H582">
        <f t="shared" si="129"/>
        <v>575.15</v>
      </c>
      <c r="I582">
        <f t="shared" si="130"/>
        <v>294</v>
      </c>
      <c r="J582">
        <v>0</v>
      </c>
      <c r="L582">
        <f t="shared" si="131"/>
        <v>5.2999999999999999E-2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hidden="1">
      <c r="A583" t="str">
        <f t="shared" si="132"/>
        <v>Malinin 1959</v>
      </c>
      <c r="E583">
        <v>5.49</v>
      </c>
      <c r="H583">
        <f t="shared" si="129"/>
        <v>575.15</v>
      </c>
      <c r="I583">
        <f t="shared" si="130"/>
        <v>294</v>
      </c>
      <c r="J583">
        <v>0</v>
      </c>
      <c r="L583">
        <f t="shared" si="131"/>
        <v>5.4900000000000004E-2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hidden="1">
      <c r="A584" t="str">
        <f t="shared" si="132"/>
        <v>Malinin 1959</v>
      </c>
      <c r="E584">
        <v>8.06</v>
      </c>
      <c r="H584">
        <f t="shared" si="129"/>
        <v>575.15</v>
      </c>
      <c r="I584">
        <v>392</v>
      </c>
      <c r="J584">
        <v>0</v>
      </c>
      <c r="L584">
        <f t="shared" si="131"/>
        <v>8.0600000000000005E-2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hidden="1">
      <c r="A585" t="str">
        <f t="shared" si="132"/>
        <v>Malinin 1959</v>
      </c>
      <c r="E585">
        <v>8.3800000000000008</v>
      </c>
      <c r="H585">
        <f t="shared" si="129"/>
        <v>575.15</v>
      </c>
      <c r="I585">
        <f>I584</f>
        <v>392</v>
      </c>
      <c r="J585">
        <v>0</v>
      </c>
      <c r="L585">
        <f t="shared" si="131"/>
        <v>8.3800000000000013E-2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hidden="1">
      <c r="A586" t="str">
        <f t="shared" si="132"/>
        <v>Malinin 1959</v>
      </c>
      <c r="E586">
        <v>8.31</v>
      </c>
      <c r="H586">
        <f t="shared" si="129"/>
        <v>575.15</v>
      </c>
      <c r="I586">
        <f>I585</f>
        <v>392</v>
      </c>
      <c r="J586">
        <v>0</v>
      </c>
      <c r="L586">
        <f t="shared" si="131"/>
        <v>8.3100000000000007E-2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hidden="1">
      <c r="A587" t="str">
        <f t="shared" si="132"/>
        <v>Malinin 1959</v>
      </c>
      <c r="E587">
        <v>8.0299999999999994</v>
      </c>
      <c r="H587">
        <f t="shared" si="129"/>
        <v>575.15</v>
      </c>
      <c r="I587">
        <f>I586</f>
        <v>392</v>
      </c>
      <c r="J587">
        <v>0</v>
      </c>
      <c r="L587">
        <f t="shared" si="131"/>
        <v>8.0299999999999996E-2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hidden="1">
      <c r="A588" t="str">
        <f t="shared" si="132"/>
        <v>Malinin 1959</v>
      </c>
      <c r="E588">
        <v>8.2899999999999991</v>
      </c>
      <c r="H588">
        <f t="shared" si="129"/>
        <v>575.15</v>
      </c>
      <c r="I588">
        <f>I587</f>
        <v>392</v>
      </c>
      <c r="J588">
        <v>0</v>
      </c>
      <c r="L588">
        <f t="shared" si="131"/>
        <v>8.2899999999999988E-2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hidden="1">
      <c r="A589" t="str">
        <f t="shared" si="132"/>
        <v>Malinin 1959</v>
      </c>
      <c r="E589">
        <v>12.8</v>
      </c>
      <c r="H589">
        <f t="shared" si="129"/>
        <v>575.15</v>
      </c>
      <c r="I589">
        <v>490</v>
      </c>
      <c r="J589">
        <v>0</v>
      </c>
      <c r="L589">
        <f t="shared" si="131"/>
        <v>0.128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hidden="1">
      <c r="A590" t="str">
        <f t="shared" si="132"/>
        <v>Malinin 1959</v>
      </c>
      <c r="E590">
        <v>6.1</v>
      </c>
      <c r="F590">
        <v>0.26500000000000001</v>
      </c>
      <c r="H590">
        <v>603.15</v>
      </c>
      <c r="I590">
        <v>294</v>
      </c>
      <c r="J590">
        <v>0</v>
      </c>
      <c r="K590">
        <f t="shared" ref="K590:K626" si="133">1-F590</f>
        <v>0.73499999999999999</v>
      </c>
      <c r="L590">
        <f t="shared" si="131"/>
        <v>6.0999999999999999E-2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hidden="1">
      <c r="A591" t="str">
        <f t="shared" si="132"/>
        <v>Malinin 1959</v>
      </c>
      <c r="E591">
        <v>5.9</v>
      </c>
      <c r="F591">
        <v>0.28999999999999998</v>
      </c>
      <c r="H591">
        <f>H590</f>
        <v>603.15</v>
      </c>
      <c r="I591">
        <f>I590</f>
        <v>294</v>
      </c>
      <c r="J591">
        <v>0</v>
      </c>
      <c r="K591">
        <f t="shared" si="133"/>
        <v>0.71</v>
      </c>
      <c r="L591">
        <f t="shared" si="131"/>
        <v>5.9000000000000004E-2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hidden="1">
      <c r="A592" t="str">
        <f t="shared" si="132"/>
        <v>Malinin 1959</v>
      </c>
      <c r="E592">
        <v>6</v>
      </c>
      <c r="F592">
        <v>0.28699999999999998</v>
      </c>
      <c r="H592">
        <f>H591</f>
        <v>603.15</v>
      </c>
      <c r="I592">
        <f>I591</f>
        <v>294</v>
      </c>
      <c r="J592">
        <v>0</v>
      </c>
      <c r="K592">
        <f t="shared" si="133"/>
        <v>0.71300000000000008</v>
      </c>
      <c r="L592">
        <f t="shared" si="131"/>
        <v>0.06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hidden="1">
      <c r="A593" t="str">
        <f t="shared" si="132"/>
        <v>Malinin 1959</v>
      </c>
      <c r="F593">
        <v>0.84899999999999998</v>
      </c>
      <c r="H593">
        <v>473.15</v>
      </c>
      <c r="I593">
        <v>196</v>
      </c>
      <c r="J593">
        <v>0</v>
      </c>
      <c r="K593">
        <f t="shared" si="133"/>
        <v>0.15100000000000002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hidden="1">
      <c r="A594" t="str">
        <f t="shared" si="132"/>
        <v>Malinin 1959</v>
      </c>
      <c r="F594">
        <v>0.85099999999999998</v>
      </c>
      <c r="H594">
        <f t="shared" ref="H594:I598" si="134">H593</f>
        <v>473.15</v>
      </c>
      <c r="I594">
        <f t="shared" si="134"/>
        <v>196</v>
      </c>
      <c r="J594">
        <v>0</v>
      </c>
      <c r="K594">
        <f t="shared" si="133"/>
        <v>0.14900000000000002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hidden="1">
      <c r="A595" t="str">
        <f t="shared" si="132"/>
        <v>Malinin 1959</v>
      </c>
      <c r="F595">
        <v>0.84699999999999998</v>
      </c>
      <c r="H595">
        <f t="shared" si="134"/>
        <v>473.15</v>
      </c>
      <c r="I595">
        <f t="shared" si="134"/>
        <v>196</v>
      </c>
      <c r="J595">
        <v>0</v>
      </c>
      <c r="K595">
        <f t="shared" si="133"/>
        <v>0.15300000000000002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hidden="1">
      <c r="A596" t="str">
        <f t="shared" si="132"/>
        <v>Malinin 1959</v>
      </c>
      <c r="F596">
        <v>0.83399999999999996</v>
      </c>
      <c r="H596">
        <f t="shared" si="134"/>
        <v>473.15</v>
      </c>
      <c r="I596">
        <f t="shared" si="134"/>
        <v>196</v>
      </c>
      <c r="J596">
        <v>0</v>
      </c>
      <c r="K596">
        <f t="shared" si="133"/>
        <v>0.16600000000000004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hidden="1">
      <c r="A597" t="str">
        <f t="shared" si="132"/>
        <v>Malinin 1959</v>
      </c>
      <c r="F597">
        <v>0.85</v>
      </c>
      <c r="H597">
        <f t="shared" si="134"/>
        <v>473.15</v>
      </c>
      <c r="I597">
        <f t="shared" si="134"/>
        <v>196</v>
      </c>
      <c r="J597">
        <v>0</v>
      </c>
      <c r="K597">
        <f t="shared" si="133"/>
        <v>0.15000000000000002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hidden="1">
      <c r="A598" t="str">
        <f t="shared" si="132"/>
        <v>Malinin 1959</v>
      </c>
      <c r="F598">
        <v>0.84199999999999997</v>
      </c>
      <c r="H598">
        <f t="shared" si="134"/>
        <v>473.15</v>
      </c>
      <c r="I598">
        <f t="shared" si="134"/>
        <v>196</v>
      </c>
      <c r="J598">
        <v>0</v>
      </c>
      <c r="K598">
        <f t="shared" si="133"/>
        <v>0.15800000000000003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hidden="1">
      <c r="A599" t="str">
        <f t="shared" si="132"/>
        <v>Malinin 1959</v>
      </c>
      <c r="F599">
        <v>0.81799999999999995</v>
      </c>
      <c r="H599">
        <f>H598</f>
        <v>473.15</v>
      </c>
      <c r="I599">
        <v>588</v>
      </c>
      <c r="J599">
        <v>0</v>
      </c>
      <c r="K599">
        <f t="shared" si="133"/>
        <v>0.18200000000000005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hidden="1">
      <c r="A600" t="str">
        <f t="shared" si="132"/>
        <v>Malinin 1959</v>
      </c>
      <c r="F600">
        <v>0.64400000000000002</v>
      </c>
      <c r="H600">
        <v>523.15</v>
      </c>
      <c r="I600">
        <v>196</v>
      </c>
      <c r="J600">
        <v>0</v>
      </c>
      <c r="K600">
        <f t="shared" si="133"/>
        <v>0.35599999999999998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hidden="1">
      <c r="A601" t="str">
        <f t="shared" si="132"/>
        <v>Malinin 1959</v>
      </c>
      <c r="F601">
        <v>0.63</v>
      </c>
      <c r="H601">
        <f t="shared" ref="H601:I603" si="135">H600</f>
        <v>523.15</v>
      </c>
      <c r="I601">
        <f t="shared" si="135"/>
        <v>196</v>
      </c>
      <c r="J601">
        <v>0</v>
      </c>
      <c r="K601">
        <f t="shared" si="133"/>
        <v>0.37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hidden="1">
      <c r="A602" t="str">
        <f t="shared" si="132"/>
        <v>Malinin 1959</v>
      </c>
      <c r="F602">
        <v>0.65600000000000003</v>
      </c>
      <c r="H602">
        <f t="shared" si="135"/>
        <v>523.15</v>
      </c>
      <c r="I602">
        <f t="shared" si="135"/>
        <v>196</v>
      </c>
      <c r="J602">
        <v>0</v>
      </c>
      <c r="K602">
        <f t="shared" si="133"/>
        <v>0.34399999999999997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hidden="1">
      <c r="A603" t="str">
        <f t="shared" si="132"/>
        <v>Malinin 1959</v>
      </c>
      <c r="F603">
        <v>0.61499999999999999</v>
      </c>
      <c r="H603">
        <f t="shared" si="135"/>
        <v>523.15</v>
      </c>
      <c r="I603">
        <f t="shared" si="135"/>
        <v>196</v>
      </c>
      <c r="J603">
        <v>0</v>
      </c>
      <c r="K603">
        <f t="shared" si="133"/>
        <v>0.38500000000000001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hidden="1">
      <c r="A604" t="str">
        <f t="shared" si="132"/>
        <v>Malinin 1959</v>
      </c>
      <c r="F604">
        <v>0.67300000000000004</v>
      </c>
      <c r="H604">
        <f>H603</f>
        <v>523.15</v>
      </c>
      <c r="I604">
        <v>490</v>
      </c>
      <c r="J604">
        <v>0</v>
      </c>
      <c r="K604">
        <f t="shared" si="133"/>
        <v>0.32699999999999996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hidden="1">
      <c r="A605" t="str">
        <f t="shared" si="132"/>
        <v>Malinin 1959</v>
      </c>
      <c r="F605">
        <v>0.67400000000000004</v>
      </c>
      <c r="H605">
        <f>H604</f>
        <v>523.15</v>
      </c>
      <c r="I605">
        <f>I604</f>
        <v>490</v>
      </c>
      <c r="J605">
        <v>0</v>
      </c>
      <c r="K605">
        <f t="shared" si="133"/>
        <v>0.32599999999999996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hidden="1">
      <c r="A606" t="str">
        <f t="shared" si="132"/>
        <v>Malinin 1959</v>
      </c>
      <c r="F606">
        <v>0.66900000000000004</v>
      </c>
      <c r="H606">
        <f>H605</f>
        <v>523.15</v>
      </c>
      <c r="I606">
        <f>I605</f>
        <v>490</v>
      </c>
      <c r="J606">
        <v>0</v>
      </c>
      <c r="K606">
        <f t="shared" si="133"/>
        <v>0.33099999999999996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hidden="1">
      <c r="A607" t="str">
        <f t="shared" si="132"/>
        <v>Malinin 1959</v>
      </c>
      <c r="F607">
        <v>0.66400000000000003</v>
      </c>
      <c r="H607">
        <f>H606</f>
        <v>523.15</v>
      </c>
      <c r="I607">
        <f>I606</f>
        <v>490</v>
      </c>
      <c r="J607">
        <v>0</v>
      </c>
      <c r="K607">
        <f t="shared" si="133"/>
        <v>0.33599999999999997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hidden="1">
      <c r="A608" t="str">
        <f t="shared" si="132"/>
        <v>Malinin 1959</v>
      </c>
      <c r="F608">
        <v>0.38200000000000001</v>
      </c>
      <c r="H608">
        <v>573.15</v>
      </c>
      <c r="I608">
        <v>196</v>
      </c>
      <c r="J608">
        <v>0</v>
      </c>
      <c r="K608">
        <f t="shared" si="133"/>
        <v>0.61799999999999999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hidden="1">
      <c r="A609" t="str">
        <f t="shared" si="132"/>
        <v>Malinin 1959</v>
      </c>
      <c r="F609">
        <v>0.36699999999999999</v>
      </c>
      <c r="H609">
        <f t="shared" ref="H609:I612" si="136">H608</f>
        <v>573.15</v>
      </c>
      <c r="I609">
        <f t="shared" si="136"/>
        <v>196</v>
      </c>
      <c r="J609">
        <v>0</v>
      </c>
      <c r="K609">
        <f t="shared" si="133"/>
        <v>0.63300000000000001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hidden="1">
      <c r="A610" t="str">
        <f t="shared" si="132"/>
        <v>Malinin 1959</v>
      </c>
      <c r="F610">
        <v>0.37</v>
      </c>
      <c r="H610">
        <f t="shared" si="136"/>
        <v>573.15</v>
      </c>
      <c r="I610">
        <f t="shared" si="136"/>
        <v>196</v>
      </c>
      <c r="J610">
        <v>0</v>
      </c>
      <c r="K610">
        <f t="shared" si="133"/>
        <v>0.63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hidden="1">
      <c r="A611" t="str">
        <f t="shared" ref="A611:A626" si="137">A610</f>
        <v>Malinin 1959</v>
      </c>
      <c r="F611">
        <v>0.36</v>
      </c>
      <c r="H611">
        <f t="shared" si="136"/>
        <v>573.15</v>
      </c>
      <c r="I611">
        <f t="shared" si="136"/>
        <v>196</v>
      </c>
      <c r="J611">
        <v>0</v>
      </c>
      <c r="K611">
        <f t="shared" si="133"/>
        <v>0.64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hidden="1">
      <c r="A612" t="str">
        <f t="shared" si="137"/>
        <v>Malinin 1959</v>
      </c>
      <c r="F612">
        <v>0.35899999999999999</v>
      </c>
      <c r="H612">
        <f t="shared" si="136"/>
        <v>573.15</v>
      </c>
      <c r="I612">
        <f t="shared" si="136"/>
        <v>196</v>
      </c>
      <c r="J612">
        <v>0</v>
      </c>
      <c r="K612">
        <f t="shared" si="133"/>
        <v>0.64100000000000001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hidden="1">
      <c r="A613" t="str">
        <f t="shared" si="137"/>
        <v>Malinin 1959</v>
      </c>
      <c r="F613">
        <v>0.45200000000000001</v>
      </c>
      <c r="H613">
        <f t="shared" ref="H613:H626" si="138">H612</f>
        <v>573.15</v>
      </c>
      <c r="I613">
        <v>294</v>
      </c>
      <c r="J613">
        <v>0</v>
      </c>
      <c r="K613">
        <f t="shared" si="133"/>
        <v>0.54800000000000004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hidden="1">
      <c r="A614" t="str">
        <f t="shared" si="137"/>
        <v>Malinin 1959</v>
      </c>
      <c r="F614">
        <v>0.46</v>
      </c>
      <c r="H614">
        <f t="shared" si="138"/>
        <v>573.15</v>
      </c>
      <c r="I614">
        <f>I613</f>
        <v>294</v>
      </c>
      <c r="J614">
        <v>0</v>
      </c>
      <c r="K614">
        <f t="shared" si="133"/>
        <v>0.54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hidden="1">
      <c r="A615" t="str">
        <f t="shared" si="137"/>
        <v>Malinin 1959</v>
      </c>
      <c r="F615">
        <v>0.45</v>
      </c>
      <c r="H615">
        <f t="shared" si="138"/>
        <v>573.15</v>
      </c>
      <c r="I615">
        <f>I614</f>
        <v>294</v>
      </c>
      <c r="J615">
        <v>0</v>
      </c>
      <c r="K615">
        <f t="shared" si="133"/>
        <v>0.55000000000000004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hidden="1">
      <c r="A616" t="str">
        <f t="shared" si="137"/>
        <v>Malinin 1959</v>
      </c>
      <c r="F616">
        <v>0.46600000000000003</v>
      </c>
      <c r="H616">
        <f t="shared" si="138"/>
        <v>573.15</v>
      </c>
      <c r="I616">
        <f>I615</f>
        <v>294</v>
      </c>
      <c r="J616">
        <v>0</v>
      </c>
      <c r="K616">
        <f t="shared" si="133"/>
        <v>0.53400000000000003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hidden="1">
      <c r="A617" t="str">
        <f t="shared" si="137"/>
        <v>Malinin 1959</v>
      </c>
      <c r="F617">
        <v>0.46500000000000002</v>
      </c>
      <c r="H617">
        <f t="shared" si="138"/>
        <v>573.15</v>
      </c>
      <c r="I617">
        <f>I616</f>
        <v>294</v>
      </c>
      <c r="J617">
        <v>0</v>
      </c>
      <c r="K617">
        <f t="shared" si="133"/>
        <v>0.53499999999999992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hidden="1">
      <c r="A618" t="str">
        <f t="shared" si="137"/>
        <v>Malinin 1959</v>
      </c>
      <c r="F618">
        <v>0.45100000000000001</v>
      </c>
      <c r="H618">
        <f t="shared" si="138"/>
        <v>573.15</v>
      </c>
      <c r="I618">
        <v>392</v>
      </c>
      <c r="J618">
        <v>0</v>
      </c>
      <c r="K618">
        <f t="shared" si="133"/>
        <v>0.54899999999999993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hidden="1">
      <c r="A619" t="str">
        <f t="shared" si="137"/>
        <v>Malinin 1959</v>
      </c>
      <c r="F619">
        <v>0.45800000000000002</v>
      </c>
      <c r="H619">
        <f t="shared" si="138"/>
        <v>573.15</v>
      </c>
      <c r="I619">
        <f>I618</f>
        <v>392</v>
      </c>
      <c r="J619">
        <v>0</v>
      </c>
      <c r="K619">
        <f t="shared" si="133"/>
        <v>0.54200000000000004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hidden="1">
      <c r="A620" t="str">
        <f t="shared" si="137"/>
        <v>Malinin 1959</v>
      </c>
      <c r="F620">
        <v>0.44500000000000001</v>
      </c>
      <c r="H620">
        <f t="shared" si="138"/>
        <v>573.15</v>
      </c>
      <c r="I620">
        <f>I619</f>
        <v>392</v>
      </c>
      <c r="J620">
        <v>0</v>
      </c>
      <c r="K620">
        <f t="shared" si="133"/>
        <v>0.55499999999999994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hidden="1">
      <c r="A621" t="str">
        <f t="shared" si="137"/>
        <v>Malinin 1959</v>
      </c>
      <c r="F621">
        <v>0.434</v>
      </c>
      <c r="H621">
        <f t="shared" si="138"/>
        <v>573.15</v>
      </c>
      <c r="I621">
        <f>I620</f>
        <v>392</v>
      </c>
      <c r="J621">
        <v>0</v>
      </c>
      <c r="K621">
        <f t="shared" si="133"/>
        <v>0.56600000000000006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hidden="1">
      <c r="A622" t="str">
        <f t="shared" si="137"/>
        <v>Malinin 1959</v>
      </c>
      <c r="F622">
        <v>0.47</v>
      </c>
      <c r="H622">
        <f t="shared" si="138"/>
        <v>573.15</v>
      </c>
      <c r="I622">
        <f>I621</f>
        <v>392</v>
      </c>
      <c r="J622">
        <v>0</v>
      </c>
      <c r="K622">
        <f t="shared" si="133"/>
        <v>0.53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hidden="1">
      <c r="A623" t="str">
        <f t="shared" si="137"/>
        <v>Malinin 1959</v>
      </c>
      <c r="F623">
        <v>0.40300000000000002</v>
      </c>
      <c r="H623">
        <f t="shared" si="138"/>
        <v>573.15</v>
      </c>
      <c r="I623">
        <v>490</v>
      </c>
      <c r="J623">
        <v>0</v>
      </c>
      <c r="K623">
        <f t="shared" si="133"/>
        <v>0.59699999999999998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hidden="1">
      <c r="A624" t="str">
        <f t="shared" si="137"/>
        <v>Malinin 1959</v>
      </c>
      <c r="F624">
        <v>0.41099999999999998</v>
      </c>
      <c r="H624">
        <f t="shared" si="138"/>
        <v>573.15</v>
      </c>
      <c r="I624">
        <f>I623</f>
        <v>490</v>
      </c>
      <c r="J624">
        <v>0</v>
      </c>
      <c r="K624">
        <f t="shared" si="133"/>
        <v>0.58899999999999997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hidden="1">
      <c r="A625" t="str">
        <f t="shared" si="137"/>
        <v>Malinin 1959</v>
      </c>
      <c r="F625">
        <v>0.41299999999999998</v>
      </c>
      <c r="H625">
        <f t="shared" si="138"/>
        <v>573.15</v>
      </c>
      <c r="I625">
        <f>I624</f>
        <v>490</v>
      </c>
      <c r="J625">
        <v>0</v>
      </c>
      <c r="K625">
        <f t="shared" si="133"/>
        <v>0.58699999999999997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hidden="1">
      <c r="A626" t="str">
        <f t="shared" si="137"/>
        <v>Malinin 1959</v>
      </c>
      <c r="F626">
        <v>0.41</v>
      </c>
      <c r="H626">
        <f t="shared" si="138"/>
        <v>573.15</v>
      </c>
      <c r="I626">
        <f>I625</f>
        <v>490</v>
      </c>
      <c r="J626">
        <v>0</v>
      </c>
      <c r="K626">
        <f t="shared" si="133"/>
        <v>0.59000000000000008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hidden="1">
      <c r="A627" t="s">
        <v>72</v>
      </c>
      <c r="E627">
        <v>0.81</v>
      </c>
      <c r="H627">
        <v>298.14999999999998</v>
      </c>
      <c r="I627">
        <v>40.6</v>
      </c>
      <c r="J627">
        <v>0</v>
      </c>
      <c r="P627">
        <f t="shared" ref="P627:P665" si="139">E627/1000</f>
        <v>8.1000000000000006E-4</v>
      </c>
      <c r="S627">
        <f t="shared" ref="S627:S665" si="140">S626</f>
        <v>1</v>
      </c>
      <c r="T627">
        <f t="shared" ref="T627:T665" si="141">T626</f>
        <v>0</v>
      </c>
      <c r="U627">
        <f t="shared" ref="U627:U665" si="142">U626</f>
        <v>0</v>
      </c>
      <c r="V627">
        <f t="shared" ref="V627:V665" si="143">V626</f>
        <v>0</v>
      </c>
      <c r="W627">
        <f t="shared" ref="W627:W665" si="144">W626</f>
        <v>0</v>
      </c>
      <c r="X627">
        <f t="shared" ref="X627:X665" si="145">X626</f>
        <v>0</v>
      </c>
      <c r="Y627">
        <f t="shared" ref="Y627:Y665" si="146">Y626</f>
        <v>0</v>
      </c>
    </row>
    <row r="628" spans="1:25" hidden="1">
      <c r="A628" t="str">
        <f t="shared" ref="A628:A665" si="147">A627</f>
        <v>Michels 1936</v>
      </c>
      <c r="E628">
        <v>0.9</v>
      </c>
      <c r="H628">
        <f t="shared" ref="H628:H665" si="148">H627</f>
        <v>298.14999999999998</v>
      </c>
      <c r="I628">
        <v>46</v>
      </c>
      <c r="J628">
        <v>0</v>
      </c>
      <c r="P628">
        <f t="shared" si="139"/>
        <v>8.9999999999999998E-4</v>
      </c>
      <c r="S628">
        <f t="shared" si="140"/>
        <v>1</v>
      </c>
      <c r="T628">
        <f t="shared" si="141"/>
        <v>0</v>
      </c>
      <c r="U628">
        <f t="shared" si="142"/>
        <v>0</v>
      </c>
      <c r="V628">
        <f t="shared" si="143"/>
        <v>0</v>
      </c>
      <c r="W628">
        <f t="shared" si="144"/>
        <v>0</v>
      </c>
      <c r="X628">
        <f t="shared" si="145"/>
        <v>0</v>
      </c>
      <c r="Y628">
        <f t="shared" si="146"/>
        <v>0</v>
      </c>
    </row>
    <row r="629" spans="1:25" hidden="1">
      <c r="A629" t="str">
        <f t="shared" si="147"/>
        <v>Michels 1936</v>
      </c>
      <c r="E629">
        <v>1.28</v>
      </c>
      <c r="H629">
        <f t="shared" si="148"/>
        <v>298.14999999999998</v>
      </c>
      <c r="I629">
        <v>81.3</v>
      </c>
      <c r="J629">
        <v>0</v>
      </c>
      <c r="P629">
        <f t="shared" si="139"/>
        <v>1.2800000000000001E-3</v>
      </c>
      <c r="S629">
        <f t="shared" si="140"/>
        <v>1</v>
      </c>
      <c r="T629">
        <f t="shared" si="141"/>
        <v>0</v>
      </c>
      <c r="U629">
        <f t="shared" si="142"/>
        <v>0</v>
      </c>
      <c r="V629">
        <f t="shared" si="143"/>
        <v>0</v>
      </c>
      <c r="W629">
        <f t="shared" si="144"/>
        <v>0</v>
      </c>
      <c r="X629">
        <f t="shared" si="145"/>
        <v>0</v>
      </c>
      <c r="Y629">
        <f t="shared" si="146"/>
        <v>0</v>
      </c>
    </row>
    <row r="630" spans="1:25" hidden="1">
      <c r="A630" t="str">
        <f t="shared" si="147"/>
        <v>Michels 1936</v>
      </c>
      <c r="E630">
        <v>1.58</v>
      </c>
      <c r="H630">
        <f t="shared" si="148"/>
        <v>298.14999999999998</v>
      </c>
      <c r="I630">
        <v>112</v>
      </c>
      <c r="J630">
        <v>0</v>
      </c>
      <c r="P630">
        <f t="shared" si="139"/>
        <v>1.58E-3</v>
      </c>
      <c r="S630">
        <f t="shared" si="140"/>
        <v>1</v>
      </c>
      <c r="T630">
        <f t="shared" si="141"/>
        <v>0</v>
      </c>
      <c r="U630">
        <f t="shared" si="142"/>
        <v>0</v>
      </c>
      <c r="V630">
        <f t="shared" si="143"/>
        <v>0</v>
      </c>
      <c r="W630">
        <f t="shared" si="144"/>
        <v>0</v>
      </c>
      <c r="X630">
        <f t="shared" si="145"/>
        <v>0</v>
      </c>
      <c r="Y630">
        <f t="shared" si="146"/>
        <v>0</v>
      </c>
    </row>
    <row r="631" spans="1:25" hidden="1">
      <c r="A631" t="str">
        <f t="shared" si="147"/>
        <v>Michels 1936</v>
      </c>
      <c r="E631">
        <v>1.87</v>
      </c>
      <c r="H631">
        <f t="shared" si="148"/>
        <v>298.14999999999998</v>
      </c>
      <c r="I631">
        <v>145.9</v>
      </c>
      <c r="J631">
        <v>0</v>
      </c>
      <c r="P631">
        <f t="shared" si="139"/>
        <v>1.8700000000000001E-3</v>
      </c>
      <c r="S631">
        <f t="shared" si="140"/>
        <v>1</v>
      </c>
      <c r="T631">
        <f t="shared" si="141"/>
        <v>0</v>
      </c>
      <c r="U631">
        <f t="shared" si="142"/>
        <v>0</v>
      </c>
      <c r="V631">
        <f t="shared" si="143"/>
        <v>0</v>
      </c>
      <c r="W631">
        <f t="shared" si="144"/>
        <v>0</v>
      </c>
      <c r="X631">
        <f t="shared" si="145"/>
        <v>0</v>
      </c>
      <c r="Y631">
        <f t="shared" si="146"/>
        <v>0</v>
      </c>
    </row>
    <row r="632" spans="1:25" hidden="1">
      <c r="A632" t="str">
        <f t="shared" si="147"/>
        <v>Michels 1936</v>
      </c>
      <c r="E632">
        <v>2.1</v>
      </c>
      <c r="H632">
        <f t="shared" si="148"/>
        <v>298.14999999999998</v>
      </c>
      <c r="I632">
        <v>176.5</v>
      </c>
      <c r="J632">
        <v>0</v>
      </c>
      <c r="P632">
        <f t="shared" si="139"/>
        <v>2.1000000000000003E-3</v>
      </c>
      <c r="S632">
        <f t="shared" si="140"/>
        <v>1</v>
      </c>
      <c r="T632">
        <f t="shared" si="141"/>
        <v>0</v>
      </c>
      <c r="U632">
        <f t="shared" si="142"/>
        <v>0</v>
      </c>
      <c r="V632">
        <f t="shared" si="143"/>
        <v>0</v>
      </c>
      <c r="W632">
        <f t="shared" si="144"/>
        <v>0</v>
      </c>
      <c r="X632">
        <f t="shared" si="145"/>
        <v>0</v>
      </c>
      <c r="Y632">
        <f t="shared" si="146"/>
        <v>0</v>
      </c>
    </row>
    <row r="633" spans="1:25" hidden="1">
      <c r="A633" t="str">
        <f t="shared" si="147"/>
        <v>Michels 1936</v>
      </c>
      <c r="E633">
        <v>2.2799999999999998</v>
      </c>
      <c r="H633">
        <f t="shared" si="148"/>
        <v>298.14999999999998</v>
      </c>
      <c r="I633">
        <v>204.9</v>
      </c>
      <c r="J633">
        <v>0</v>
      </c>
      <c r="P633">
        <f t="shared" si="139"/>
        <v>2.2799999999999999E-3</v>
      </c>
      <c r="S633">
        <f t="shared" si="140"/>
        <v>1</v>
      </c>
      <c r="T633">
        <f t="shared" si="141"/>
        <v>0</v>
      </c>
      <c r="U633">
        <f t="shared" si="142"/>
        <v>0</v>
      </c>
      <c r="V633">
        <f t="shared" si="143"/>
        <v>0</v>
      </c>
      <c r="W633">
        <f t="shared" si="144"/>
        <v>0</v>
      </c>
      <c r="X633">
        <f t="shared" si="145"/>
        <v>0</v>
      </c>
      <c r="Y633">
        <f t="shared" si="146"/>
        <v>0</v>
      </c>
    </row>
    <row r="634" spans="1:25" hidden="1">
      <c r="A634" t="str">
        <f t="shared" si="147"/>
        <v>Michels 1936</v>
      </c>
      <c r="E634">
        <v>2.68</v>
      </c>
      <c r="H634">
        <f t="shared" si="148"/>
        <v>298.14999999999998</v>
      </c>
      <c r="I634">
        <v>330.8</v>
      </c>
      <c r="J634">
        <v>0</v>
      </c>
      <c r="P634">
        <f t="shared" si="139"/>
        <v>2.6800000000000001E-3</v>
      </c>
      <c r="S634">
        <f t="shared" si="140"/>
        <v>1</v>
      </c>
      <c r="T634">
        <f t="shared" si="141"/>
        <v>0</v>
      </c>
      <c r="U634">
        <f t="shared" si="142"/>
        <v>0</v>
      </c>
      <c r="V634">
        <f t="shared" si="143"/>
        <v>0</v>
      </c>
      <c r="W634">
        <f t="shared" si="144"/>
        <v>0</v>
      </c>
      <c r="X634">
        <f t="shared" si="145"/>
        <v>0</v>
      </c>
      <c r="Y634">
        <f t="shared" si="146"/>
        <v>0</v>
      </c>
    </row>
    <row r="635" spans="1:25" hidden="1">
      <c r="A635" t="str">
        <f t="shared" si="147"/>
        <v>Michels 1936</v>
      </c>
      <c r="E635">
        <v>2.97</v>
      </c>
      <c r="H635">
        <f t="shared" si="148"/>
        <v>298.14999999999998</v>
      </c>
      <c r="I635">
        <v>469.1</v>
      </c>
      <c r="J635">
        <v>0</v>
      </c>
      <c r="P635">
        <f t="shared" si="139"/>
        <v>2.97E-3</v>
      </c>
      <c r="S635">
        <f t="shared" si="140"/>
        <v>1</v>
      </c>
      <c r="T635">
        <f t="shared" si="141"/>
        <v>0</v>
      </c>
      <c r="U635">
        <f t="shared" si="142"/>
        <v>0</v>
      </c>
      <c r="V635">
        <f t="shared" si="143"/>
        <v>0</v>
      </c>
      <c r="W635">
        <f t="shared" si="144"/>
        <v>0</v>
      </c>
      <c r="X635">
        <f t="shared" si="145"/>
        <v>0</v>
      </c>
      <c r="Y635">
        <f t="shared" si="146"/>
        <v>0</v>
      </c>
    </row>
    <row r="636" spans="1:25" hidden="1">
      <c r="A636" t="str">
        <f t="shared" si="147"/>
        <v>Michels 1936</v>
      </c>
      <c r="E636">
        <v>0.72</v>
      </c>
      <c r="H636">
        <f t="shared" si="148"/>
        <v>298.14999999999998</v>
      </c>
      <c r="I636">
        <v>49.6</v>
      </c>
      <c r="J636">
        <v>0</v>
      </c>
      <c r="P636">
        <f t="shared" si="139"/>
        <v>7.1999999999999994E-4</v>
      </c>
      <c r="S636">
        <f t="shared" si="140"/>
        <v>1</v>
      </c>
      <c r="T636">
        <f t="shared" si="141"/>
        <v>0</v>
      </c>
      <c r="U636">
        <f t="shared" si="142"/>
        <v>0</v>
      </c>
      <c r="V636">
        <f t="shared" si="143"/>
        <v>0</v>
      </c>
      <c r="W636">
        <f t="shared" si="144"/>
        <v>0</v>
      </c>
      <c r="X636">
        <f t="shared" si="145"/>
        <v>0</v>
      </c>
      <c r="Y636">
        <f t="shared" si="146"/>
        <v>0</v>
      </c>
    </row>
    <row r="637" spans="1:25" hidden="1">
      <c r="A637" t="str">
        <f t="shared" si="147"/>
        <v>Michels 1936</v>
      </c>
      <c r="E637">
        <v>1.1200000000000001</v>
      </c>
      <c r="H637">
        <f t="shared" si="148"/>
        <v>298.14999999999998</v>
      </c>
      <c r="I637">
        <v>82.3</v>
      </c>
      <c r="J637">
        <v>0</v>
      </c>
      <c r="P637">
        <f t="shared" si="139"/>
        <v>1.1200000000000001E-3</v>
      </c>
      <c r="S637">
        <f t="shared" si="140"/>
        <v>1</v>
      </c>
      <c r="T637">
        <f t="shared" si="141"/>
        <v>0</v>
      </c>
      <c r="U637">
        <f t="shared" si="142"/>
        <v>0</v>
      </c>
      <c r="V637">
        <f t="shared" si="143"/>
        <v>0</v>
      </c>
      <c r="W637">
        <f t="shared" si="144"/>
        <v>0</v>
      </c>
      <c r="X637">
        <f t="shared" si="145"/>
        <v>0</v>
      </c>
      <c r="Y637">
        <f t="shared" si="146"/>
        <v>0</v>
      </c>
    </row>
    <row r="638" spans="1:25" hidden="1">
      <c r="A638" t="str">
        <f t="shared" si="147"/>
        <v>Michels 1936</v>
      </c>
      <c r="E638">
        <v>1.42</v>
      </c>
      <c r="H638">
        <f t="shared" si="148"/>
        <v>298.14999999999998</v>
      </c>
      <c r="I638">
        <v>113.1</v>
      </c>
      <c r="J638">
        <v>0</v>
      </c>
      <c r="P638">
        <f t="shared" si="139"/>
        <v>1.4199999999999998E-3</v>
      </c>
      <c r="S638">
        <f t="shared" si="140"/>
        <v>1</v>
      </c>
      <c r="T638">
        <f t="shared" si="141"/>
        <v>0</v>
      </c>
      <c r="U638">
        <f t="shared" si="142"/>
        <v>0</v>
      </c>
      <c r="V638">
        <f t="shared" si="143"/>
        <v>0</v>
      </c>
      <c r="W638">
        <f t="shared" si="144"/>
        <v>0</v>
      </c>
      <c r="X638">
        <f t="shared" si="145"/>
        <v>0</v>
      </c>
      <c r="Y638">
        <f t="shared" si="146"/>
        <v>0</v>
      </c>
    </row>
    <row r="639" spans="1:25" hidden="1">
      <c r="A639" t="str">
        <f t="shared" si="147"/>
        <v>Michels 1936</v>
      </c>
      <c r="E639">
        <v>1.69</v>
      </c>
      <c r="H639">
        <f t="shared" si="148"/>
        <v>298.14999999999998</v>
      </c>
      <c r="I639">
        <v>145.6</v>
      </c>
      <c r="J639">
        <v>0</v>
      </c>
      <c r="P639">
        <f t="shared" si="139"/>
        <v>1.6899999999999999E-3</v>
      </c>
      <c r="S639">
        <f t="shared" si="140"/>
        <v>1</v>
      </c>
      <c r="T639">
        <f t="shared" si="141"/>
        <v>0</v>
      </c>
      <c r="U639">
        <f t="shared" si="142"/>
        <v>0</v>
      </c>
      <c r="V639">
        <f t="shared" si="143"/>
        <v>0</v>
      </c>
      <c r="W639">
        <f t="shared" si="144"/>
        <v>0</v>
      </c>
      <c r="X639">
        <f t="shared" si="145"/>
        <v>0</v>
      </c>
      <c r="Y639">
        <f t="shared" si="146"/>
        <v>0</v>
      </c>
    </row>
    <row r="640" spans="1:25" hidden="1">
      <c r="A640" t="str">
        <f t="shared" si="147"/>
        <v>Michels 1936</v>
      </c>
      <c r="E640">
        <v>1.9</v>
      </c>
      <c r="H640">
        <f t="shared" si="148"/>
        <v>298.14999999999998</v>
      </c>
      <c r="I640">
        <v>176.5</v>
      </c>
      <c r="J640">
        <v>0</v>
      </c>
      <c r="P640">
        <f t="shared" si="139"/>
        <v>1.9E-3</v>
      </c>
      <c r="S640">
        <f t="shared" si="140"/>
        <v>1</v>
      </c>
      <c r="T640">
        <f t="shared" si="141"/>
        <v>0</v>
      </c>
      <c r="U640">
        <f t="shared" si="142"/>
        <v>0</v>
      </c>
      <c r="V640">
        <f t="shared" si="143"/>
        <v>0</v>
      </c>
      <c r="W640">
        <f t="shared" si="144"/>
        <v>0</v>
      </c>
      <c r="X640">
        <f t="shared" si="145"/>
        <v>0</v>
      </c>
      <c r="Y640">
        <f t="shared" si="146"/>
        <v>0</v>
      </c>
    </row>
    <row r="641" spans="1:25" hidden="1">
      <c r="A641" t="str">
        <f t="shared" si="147"/>
        <v>Michels 1936</v>
      </c>
      <c r="E641">
        <v>2.0699999999999998</v>
      </c>
      <c r="H641">
        <f t="shared" si="148"/>
        <v>298.14999999999998</v>
      </c>
      <c r="I641">
        <v>208.2</v>
      </c>
      <c r="J641">
        <v>0</v>
      </c>
      <c r="P641">
        <f t="shared" si="139"/>
        <v>2.0699999999999998E-3</v>
      </c>
      <c r="S641">
        <f t="shared" si="140"/>
        <v>1</v>
      </c>
      <c r="T641">
        <f t="shared" si="141"/>
        <v>0</v>
      </c>
      <c r="U641">
        <f t="shared" si="142"/>
        <v>0</v>
      </c>
      <c r="V641">
        <f t="shared" si="143"/>
        <v>0</v>
      </c>
      <c r="W641">
        <f t="shared" si="144"/>
        <v>0</v>
      </c>
      <c r="X641">
        <f t="shared" si="145"/>
        <v>0</v>
      </c>
      <c r="Y641">
        <f t="shared" si="146"/>
        <v>0</v>
      </c>
    </row>
    <row r="642" spans="1:25" hidden="1">
      <c r="A642" t="str">
        <f t="shared" si="147"/>
        <v>Michels 1936</v>
      </c>
      <c r="E642">
        <v>0.61</v>
      </c>
      <c r="H642">
        <f t="shared" si="148"/>
        <v>298.14999999999998</v>
      </c>
      <c r="I642">
        <v>44.3</v>
      </c>
      <c r="J642">
        <v>0</v>
      </c>
      <c r="P642">
        <f t="shared" si="139"/>
        <v>6.0999999999999997E-4</v>
      </c>
      <c r="S642">
        <f t="shared" si="140"/>
        <v>1</v>
      </c>
      <c r="T642">
        <f t="shared" si="141"/>
        <v>0</v>
      </c>
      <c r="U642">
        <f t="shared" si="142"/>
        <v>0</v>
      </c>
      <c r="V642">
        <f t="shared" si="143"/>
        <v>0</v>
      </c>
      <c r="W642">
        <f t="shared" si="144"/>
        <v>0</v>
      </c>
      <c r="X642">
        <f t="shared" si="145"/>
        <v>0</v>
      </c>
      <c r="Y642">
        <f t="shared" si="146"/>
        <v>0</v>
      </c>
    </row>
    <row r="643" spans="1:25" hidden="1">
      <c r="A643" t="str">
        <f t="shared" si="147"/>
        <v>Michels 1936</v>
      </c>
      <c r="E643">
        <v>1.01</v>
      </c>
      <c r="H643">
        <f t="shared" si="148"/>
        <v>298.14999999999998</v>
      </c>
      <c r="I643">
        <v>79.2</v>
      </c>
      <c r="J643">
        <v>0</v>
      </c>
      <c r="P643">
        <f t="shared" si="139"/>
        <v>1.01E-3</v>
      </c>
      <c r="S643">
        <f t="shared" si="140"/>
        <v>1</v>
      </c>
      <c r="T643">
        <f t="shared" si="141"/>
        <v>0</v>
      </c>
      <c r="U643">
        <f t="shared" si="142"/>
        <v>0</v>
      </c>
      <c r="V643">
        <f t="shared" si="143"/>
        <v>0</v>
      </c>
      <c r="W643">
        <f t="shared" si="144"/>
        <v>0</v>
      </c>
      <c r="X643">
        <f t="shared" si="145"/>
        <v>0</v>
      </c>
      <c r="Y643">
        <f t="shared" si="146"/>
        <v>0</v>
      </c>
    </row>
    <row r="644" spans="1:25" hidden="1">
      <c r="A644" t="str">
        <f t="shared" si="147"/>
        <v>Michels 1936</v>
      </c>
      <c r="E644">
        <v>1.33</v>
      </c>
      <c r="H644">
        <f t="shared" si="148"/>
        <v>298.14999999999998</v>
      </c>
      <c r="I644">
        <v>114.5</v>
      </c>
      <c r="J644">
        <v>0</v>
      </c>
      <c r="P644">
        <f t="shared" si="139"/>
        <v>1.33E-3</v>
      </c>
      <c r="S644">
        <f t="shared" si="140"/>
        <v>1</v>
      </c>
      <c r="T644">
        <f t="shared" si="141"/>
        <v>0</v>
      </c>
      <c r="U644">
        <f t="shared" si="142"/>
        <v>0</v>
      </c>
      <c r="V644">
        <f t="shared" si="143"/>
        <v>0</v>
      </c>
      <c r="W644">
        <f t="shared" si="144"/>
        <v>0</v>
      </c>
      <c r="X644">
        <f t="shared" si="145"/>
        <v>0</v>
      </c>
      <c r="Y644">
        <f t="shared" si="146"/>
        <v>0</v>
      </c>
    </row>
    <row r="645" spans="1:25" hidden="1">
      <c r="A645" t="str">
        <f t="shared" si="147"/>
        <v>Michels 1936</v>
      </c>
      <c r="E645">
        <v>1.57</v>
      </c>
      <c r="H645">
        <f t="shared" si="148"/>
        <v>298.14999999999998</v>
      </c>
      <c r="I645">
        <v>148.1</v>
      </c>
      <c r="J645">
        <v>0</v>
      </c>
      <c r="P645">
        <f t="shared" si="139"/>
        <v>1.57E-3</v>
      </c>
      <c r="S645">
        <f t="shared" si="140"/>
        <v>1</v>
      </c>
      <c r="T645">
        <f t="shared" si="141"/>
        <v>0</v>
      </c>
      <c r="U645">
        <f t="shared" si="142"/>
        <v>0</v>
      </c>
      <c r="V645">
        <f t="shared" si="143"/>
        <v>0</v>
      </c>
      <c r="W645">
        <f t="shared" si="144"/>
        <v>0</v>
      </c>
      <c r="X645">
        <f t="shared" si="145"/>
        <v>0</v>
      </c>
      <c r="Y645">
        <f t="shared" si="146"/>
        <v>0</v>
      </c>
    </row>
    <row r="646" spans="1:25" hidden="1">
      <c r="A646" t="str">
        <f t="shared" si="147"/>
        <v>Michels 1936</v>
      </c>
      <c r="E646">
        <v>1.74</v>
      </c>
      <c r="H646">
        <f t="shared" si="148"/>
        <v>298.14999999999998</v>
      </c>
      <c r="I646">
        <v>176.2</v>
      </c>
      <c r="J646">
        <v>0</v>
      </c>
      <c r="P646">
        <f t="shared" si="139"/>
        <v>1.74E-3</v>
      </c>
      <c r="S646">
        <f t="shared" si="140"/>
        <v>1</v>
      </c>
      <c r="T646">
        <f t="shared" si="141"/>
        <v>0</v>
      </c>
      <c r="U646">
        <f t="shared" si="142"/>
        <v>0</v>
      </c>
      <c r="V646">
        <f t="shared" si="143"/>
        <v>0</v>
      </c>
      <c r="W646">
        <f t="shared" si="144"/>
        <v>0</v>
      </c>
      <c r="X646">
        <f t="shared" si="145"/>
        <v>0</v>
      </c>
      <c r="Y646">
        <f t="shared" si="146"/>
        <v>0</v>
      </c>
    </row>
    <row r="647" spans="1:25" hidden="1">
      <c r="A647" t="str">
        <f t="shared" si="147"/>
        <v>Michels 1936</v>
      </c>
      <c r="E647">
        <v>1.93</v>
      </c>
      <c r="H647">
        <f t="shared" si="148"/>
        <v>298.14999999999998</v>
      </c>
      <c r="I647">
        <v>208</v>
      </c>
      <c r="J647">
        <v>0</v>
      </c>
      <c r="P647">
        <f t="shared" si="139"/>
        <v>1.9299999999999999E-3</v>
      </c>
      <c r="S647">
        <f t="shared" si="140"/>
        <v>1</v>
      </c>
      <c r="T647">
        <f t="shared" si="141"/>
        <v>0</v>
      </c>
      <c r="U647">
        <f t="shared" si="142"/>
        <v>0</v>
      </c>
      <c r="V647">
        <f t="shared" si="143"/>
        <v>0</v>
      </c>
      <c r="W647">
        <f t="shared" si="144"/>
        <v>0</v>
      </c>
      <c r="X647">
        <f t="shared" si="145"/>
        <v>0</v>
      </c>
      <c r="Y647">
        <f t="shared" si="146"/>
        <v>0</v>
      </c>
    </row>
    <row r="648" spans="1:25" hidden="1">
      <c r="A648" t="str">
        <f t="shared" si="147"/>
        <v>Michels 1936</v>
      </c>
      <c r="E648">
        <v>0.66</v>
      </c>
      <c r="H648">
        <f t="shared" si="148"/>
        <v>298.14999999999998</v>
      </c>
      <c r="I648">
        <v>49</v>
      </c>
      <c r="J648">
        <v>0</v>
      </c>
      <c r="P648">
        <f t="shared" si="139"/>
        <v>6.6E-4</v>
      </c>
      <c r="S648">
        <f t="shared" si="140"/>
        <v>1</v>
      </c>
      <c r="T648">
        <f t="shared" si="141"/>
        <v>0</v>
      </c>
      <c r="U648">
        <f t="shared" si="142"/>
        <v>0</v>
      </c>
      <c r="V648">
        <f t="shared" si="143"/>
        <v>0</v>
      </c>
      <c r="W648">
        <f t="shared" si="144"/>
        <v>0</v>
      </c>
      <c r="X648">
        <f t="shared" si="145"/>
        <v>0</v>
      </c>
      <c r="Y648">
        <f t="shared" si="146"/>
        <v>0</v>
      </c>
    </row>
    <row r="649" spans="1:25" hidden="1">
      <c r="A649" t="str">
        <f t="shared" si="147"/>
        <v>Michels 1936</v>
      </c>
      <c r="E649">
        <v>1.01</v>
      </c>
      <c r="H649">
        <f t="shared" si="148"/>
        <v>298.14999999999998</v>
      </c>
      <c r="I649">
        <v>82</v>
      </c>
      <c r="J649">
        <v>0</v>
      </c>
      <c r="P649">
        <f t="shared" si="139"/>
        <v>1.01E-3</v>
      </c>
      <c r="S649">
        <f t="shared" si="140"/>
        <v>1</v>
      </c>
      <c r="T649">
        <f t="shared" si="141"/>
        <v>0</v>
      </c>
      <c r="U649">
        <f t="shared" si="142"/>
        <v>0</v>
      </c>
      <c r="V649">
        <f t="shared" si="143"/>
        <v>0</v>
      </c>
      <c r="W649">
        <f t="shared" si="144"/>
        <v>0</v>
      </c>
      <c r="X649">
        <f t="shared" si="145"/>
        <v>0</v>
      </c>
      <c r="Y649">
        <f t="shared" si="146"/>
        <v>0</v>
      </c>
    </row>
    <row r="650" spans="1:25" hidden="1">
      <c r="A650" t="str">
        <f t="shared" si="147"/>
        <v>Michels 1936</v>
      </c>
      <c r="E650">
        <v>1.27</v>
      </c>
      <c r="H650">
        <f t="shared" si="148"/>
        <v>298.14999999999998</v>
      </c>
      <c r="I650">
        <v>113</v>
      </c>
      <c r="J650">
        <v>0</v>
      </c>
      <c r="P650">
        <f t="shared" si="139"/>
        <v>1.2700000000000001E-3</v>
      </c>
      <c r="S650">
        <f t="shared" si="140"/>
        <v>1</v>
      </c>
      <c r="T650">
        <f t="shared" si="141"/>
        <v>0</v>
      </c>
      <c r="U650">
        <f t="shared" si="142"/>
        <v>0</v>
      </c>
      <c r="V650">
        <f t="shared" si="143"/>
        <v>0</v>
      </c>
      <c r="W650">
        <f t="shared" si="144"/>
        <v>0</v>
      </c>
      <c r="X650">
        <f t="shared" si="145"/>
        <v>0</v>
      </c>
      <c r="Y650">
        <f t="shared" si="146"/>
        <v>0</v>
      </c>
    </row>
    <row r="651" spans="1:25" hidden="1">
      <c r="A651" t="str">
        <f t="shared" si="147"/>
        <v>Michels 1936</v>
      </c>
      <c r="E651">
        <v>1.52</v>
      </c>
      <c r="H651">
        <f t="shared" si="148"/>
        <v>298.14999999999998</v>
      </c>
      <c r="I651">
        <v>148.30000000000001</v>
      </c>
      <c r="J651">
        <v>0</v>
      </c>
      <c r="P651">
        <f t="shared" si="139"/>
        <v>1.5200000000000001E-3</v>
      </c>
      <c r="S651">
        <f t="shared" si="140"/>
        <v>1</v>
      </c>
      <c r="T651">
        <f t="shared" si="141"/>
        <v>0</v>
      </c>
      <c r="U651">
        <f t="shared" si="142"/>
        <v>0</v>
      </c>
      <c r="V651">
        <f t="shared" si="143"/>
        <v>0</v>
      </c>
      <c r="W651">
        <f t="shared" si="144"/>
        <v>0</v>
      </c>
      <c r="X651">
        <f t="shared" si="145"/>
        <v>0</v>
      </c>
      <c r="Y651">
        <f t="shared" si="146"/>
        <v>0</v>
      </c>
    </row>
    <row r="652" spans="1:25" hidden="1">
      <c r="A652" t="str">
        <f t="shared" si="147"/>
        <v>Michels 1936</v>
      </c>
      <c r="E652">
        <v>1.71</v>
      </c>
      <c r="H652">
        <f t="shared" si="148"/>
        <v>298.14999999999998</v>
      </c>
      <c r="I652">
        <v>180.5</v>
      </c>
      <c r="J652">
        <v>0</v>
      </c>
      <c r="P652">
        <f t="shared" si="139"/>
        <v>1.7099999999999999E-3</v>
      </c>
      <c r="S652">
        <f t="shared" si="140"/>
        <v>1</v>
      </c>
      <c r="T652">
        <f t="shared" si="141"/>
        <v>0</v>
      </c>
      <c r="U652">
        <f t="shared" si="142"/>
        <v>0</v>
      </c>
      <c r="V652">
        <f t="shared" si="143"/>
        <v>0</v>
      </c>
      <c r="W652">
        <f t="shared" si="144"/>
        <v>0</v>
      </c>
      <c r="X652">
        <f t="shared" si="145"/>
        <v>0</v>
      </c>
      <c r="Y652">
        <f t="shared" si="146"/>
        <v>0</v>
      </c>
    </row>
    <row r="653" spans="1:25" hidden="1">
      <c r="A653" t="str">
        <f t="shared" si="147"/>
        <v>Michels 1936</v>
      </c>
      <c r="E653">
        <v>1.84</v>
      </c>
      <c r="H653">
        <f t="shared" si="148"/>
        <v>298.14999999999998</v>
      </c>
      <c r="I653">
        <v>209.2</v>
      </c>
      <c r="J653">
        <v>0</v>
      </c>
      <c r="P653">
        <f t="shared" si="139"/>
        <v>1.8400000000000001E-3</v>
      </c>
      <c r="S653">
        <f t="shared" si="140"/>
        <v>1</v>
      </c>
      <c r="T653">
        <f t="shared" si="141"/>
        <v>0</v>
      </c>
      <c r="U653">
        <f t="shared" si="142"/>
        <v>0</v>
      </c>
      <c r="V653">
        <f t="shared" si="143"/>
        <v>0</v>
      </c>
      <c r="W653">
        <f t="shared" si="144"/>
        <v>0</v>
      </c>
      <c r="X653">
        <f t="shared" si="145"/>
        <v>0</v>
      </c>
      <c r="Y653">
        <f t="shared" si="146"/>
        <v>0</v>
      </c>
    </row>
    <row r="654" spans="1:25" hidden="1">
      <c r="A654" t="str">
        <f t="shared" si="147"/>
        <v>Michels 1936</v>
      </c>
      <c r="E654">
        <v>0.64</v>
      </c>
      <c r="H654">
        <f t="shared" si="148"/>
        <v>298.14999999999998</v>
      </c>
      <c r="I654">
        <v>49</v>
      </c>
      <c r="J654">
        <v>0</v>
      </c>
      <c r="P654">
        <f t="shared" si="139"/>
        <v>6.4000000000000005E-4</v>
      </c>
      <c r="S654">
        <f t="shared" si="140"/>
        <v>1</v>
      </c>
      <c r="T654">
        <f t="shared" si="141"/>
        <v>0</v>
      </c>
      <c r="U654">
        <f t="shared" si="142"/>
        <v>0</v>
      </c>
      <c r="V654">
        <f t="shared" si="143"/>
        <v>0</v>
      </c>
      <c r="W654">
        <f t="shared" si="144"/>
        <v>0</v>
      </c>
      <c r="X654">
        <f t="shared" si="145"/>
        <v>0</v>
      </c>
      <c r="Y654">
        <f t="shared" si="146"/>
        <v>0</v>
      </c>
    </row>
    <row r="655" spans="1:25" hidden="1">
      <c r="A655" t="str">
        <f t="shared" si="147"/>
        <v>Michels 1936</v>
      </c>
      <c r="E655">
        <v>0.98</v>
      </c>
      <c r="H655">
        <f t="shared" si="148"/>
        <v>298.14999999999998</v>
      </c>
      <c r="I655">
        <v>82.1</v>
      </c>
      <c r="J655">
        <v>0</v>
      </c>
      <c r="P655">
        <f t="shared" si="139"/>
        <v>9.7999999999999997E-4</v>
      </c>
      <c r="S655">
        <f t="shared" si="140"/>
        <v>1</v>
      </c>
      <c r="T655">
        <f t="shared" si="141"/>
        <v>0</v>
      </c>
      <c r="U655">
        <f t="shared" si="142"/>
        <v>0</v>
      </c>
      <c r="V655">
        <f t="shared" si="143"/>
        <v>0</v>
      </c>
      <c r="W655">
        <f t="shared" si="144"/>
        <v>0</v>
      </c>
      <c r="X655">
        <f t="shared" si="145"/>
        <v>0</v>
      </c>
      <c r="Y655">
        <f t="shared" si="146"/>
        <v>0</v>
      </c>
    </row>
    <row r="656" spans="1:25" hidden="1">
      <c r="A656" t="str">
        <f t="shared" si="147"/>
        <v>Michels 1936</v>
      </c>
      <c r="E656">
        <v>1.24</v>
      </c>
      <c r="H656">
        <f t="shared" si="148"/>
        <v>298.14999999999998</v>
      </c>
      <c r="I656">
        <v>113</v>
      </c>
      <c r="J656">
        <v>0</v>
      </c>
      <c r="P656">
        <f t="shared" si="139"/>
        <v>1.24E-3</v>
      </c>
      <c r="S656">
        <f t="shared" si="140"/>
        <v>1</v>
      </c>
      <c r="T656">
        <f t="shared" si="141"/>
        <v>0</v>
      </c>
      <c r="U656">
        <f t="shared" si="142"/>
        <v>0</v>
      </c>
      <c r="V656">
        <f t="shared" si="143"/>
        <v>0</v>
      </c>
      <c r="W656">
        <f t="shared" si="144"/>
        <v>0</v>
      </c>
      <c r="X656">
        <f t="shared" si="145"/>
        <v>0</v>
      </c>
      <c r="Y656">
        <f t="shared" si="146"/>
        <v>0</v>
      </c>
    </row>
    <row r="657" spans="1:25" hidden="1">
      <c r="A657" t="str">
        <f t="shared" si="147"/>
        <v>Michels 1936</v>
      </c>
      <c r="E657">
        <v>1.5</v>
      </c>
      <c r="H657">
        <f t="shared" si="148"/>
        <v>298.14999999999998</v>
      </c>
      <c r="I657">
        <v>150</v>
      </c>
      <c r="J657">
        <v>0</v>
      </c>
      <c r="P657">
        <f t="shared" si="139"/>
        <v>1.5E-3</v>
      </c>
      <c r="S657">
        <f t="shared" si="140"/>
        <v>1</v>
      </c>
      <c r="T657">
        <f t="shared" si="141"/>
        <v>0</v>
      </c>
      <c r="U657">
        <f t="shared" si="142"/>
        <v>0</v>
      </c>
      <c r="V657">
        <f t="shared" si="143"/>
        <v>0</v>
      </c>
      <c r="W657">
        <f t="shared" si="144"/>
        <v>0</v>
      </c>
      <c r="X657">
        <f t="shared" si="145"/>
        <v>0</v>
      </c>
      <c r="Y657">
        <f t="shared" si="146"/>
        <v>0</v>
      </c>
    </row>
    <row r="658" spans="1:25" hidden="1">
      <c r="A658" t="str">
        <f t="shared" si="147"/>
        <v>Michels 1936</v>
      </c>
      <c r="E658">
        <v>1.66</v>
      </c>
      <c r="H658">
        <f t="shared" si="148"/>
        <v>298.14999999999998</v>
      </c>
      <c r="I658">
        <v>181.1</v>
      </c>
      <c r="J658">
        <v>0</v>
      </c>
      <c r="P658">
        <f t="shared" si="139"/>
        <v>1.66E-3</v>
      </c>
      <c r="S658">
        <f t="shared" si="140"/>
        <v>1</v>
      </c>
      <c r="T658">
        <f t="shared" si="141"/>
        <v>0</v>
      </c>
      <c r="U658">
        <f t="shared" si="142"/>
        <v>0</v>
      </c>
      <c r="V658">
        <f t="shared" si="143"/>
        <v>0</v>
      </c>
      <c r="W658">
        <f t="shared" si="144"/>
        <v>0</v>
      </c>
      <c r="X658">
        <f t="shared" si="145"/>
        <v>0</v>
      </c>
      <c r="Y658">
        <f t="shared" si="146"/>
        <v>0</v>
      </c>
    </row>
    <row r="659" spans="1:25" hidden="1">
      <c r="A659" t="str">
        <f t="shared" si="147"/>
        <v>Michels 1936</v>
      </c>
      <c r="E659">
        <v>1.79</v>
      </c>
      <c r="H659">
        <f t="shared" si="148"/>
        <v>298.14999999999998</v>
      </c>
      <c r="I659">
        <v>212.3</v>
      </c>
      <c r="J659">
        <v>0</v>
      </c>
      <c r="P659">
        <f t="shared" si="139"/>
        <v>1.7900000000000001E-3</v>
      </c>
      <c r="S659">
        <f t="shared" si="140"/>
        <v>1</v>
      </c>
      <c r="T659">
        <f t="shared" si="141"/>
        <v>0</v>
      </c>
      <c r="U659">
        <f t="shared" si="142"/>
        <v>0</v>
      </c>
      <c r="V659">
        <f t="shared" si="143"/>
        <v>0</v>
      </c>
      <c r="W659">
        <f t="shared" si="144"/>
        <v>0</v>
      </c>
      <c r="X659">
        <f t="shared" si="145"/>
        <v>0</v>
      </c>
      <c r="Y659">
        <f t="shared" si="146"/>
        <v>0</v>
      </c>
    </row>
    <row r="660" spans="1:25" hidden="1">
      <c r="A660" t="str">
        <f t="shared" si="147"/>
        <v>Michels 1936</v>
      </c>
      <c r="E660">
        <v>0.62</v>
      </c>
      <c r="H660">
        <f t="shared" si="148"/>
        <v>298.14999999999998</v>
      </c>
      <c r="I660">
        <v>47.1</v>
      </c>
      <c r="J660">
        <v>0</v>
      </c>
      <c r="P660">
        <f t="shared" si="139"/>
        <v>6.2E-4</v>
      </c>
      <c r="S660">
        <f t="shared" si="140"/>
        <v>1</v>
      </c>
      <c r="T660">
        <f t="shared" si="141"/>
        <v>0</v>
      </c>
      <c r="U660">
        <f t="shared" si="142"/>
        <v>0</v>
      </c>
      <c r="V660">
        <f t="shared" si="143"/>
        <v>0</v>
      </c>
      <c r="W660">
        <f t="shared" si="144"/>
        <v>0</v>
      </c>
      <c r="X660">
        <f t="shared" si="145"/>
        <v>0</v>
      </c>
      <c r="Y660">
        <f t="shared" si="146"/>
        <v>0</v>
      </c>
    </row>
    <row r="661" spans="1:25" hidden="1">
      <c r="A661" t="str">
        <f t="shared" si="147"/>
        <v>Michels 1936</v>
      </c>
      <c r="E661">
        <v>0.93</v>
      </c>
      <c r="H661">
        <f t="shared" si="148"/>
        <v>298.14999999999998</v>
      </c>
      <c r="I661">
        <v>81.7</v>
      </c>
      <c r="J661">
        <v>0</v>
      </c>
      <c r="P661">
        <f t="shared" si="139"/>
        <v>9.3000000000000005E-4</v>
      </c>
      <c r="S661">
        <f t="shared" si="140"/>
        <v>1</v>
      </c>
      <c r="T661">
        <f t="shared" si="141"/>
        <v>0</v>
      </c>
      <c r="U661">
        <f t="shared" si="142"/>
        <v>0</v>
      </c>
      <c r="V661">
        <f t="shared" si="143"/>
        <v>0</v>
      </c>
      <c r="W661">
        <f t="shared" si="144"/>
        <v>0</v>
      </c>
      <c r="X661">
        <f t="shared" si="145"/>
        <v>0</v>
      </c>
      <c r="Y661">
        <f t="shared" si="146"/>
        <v>0</v>
      </c>
    </row>
    <row r="662" spans="1:25" hidden="1">
      <c r="A662" t="str">
        <f t="shared" si="147"/>
        <v>Michels 1936</v>
      </c>
      <c r="E662">
        <v>1.19</v>
      </c>
      <c r="H662">
        <f t="shared" si="148"/>
        <v>298.14999999999998</v>
      </c>
      <c r="I662">
        <v>110.8</v>
      </c>
      <c r="J662">
        <v>0</v>
      </c>
      <c r="P662">
        <f t="shared" si="139"/>
        <v>1.1899999999999999E-3</v>
      </c>
      <c r="S662">
        <f t="shared" si="140"/>
        <v>1</v>
      </c>
      <c r="T662">
        <f t="shared" si="141"/>
        <v>0</v>
      </c>
      <c r="U662">
        <f t="shared" si="142"/>
        <v>0</v>
      </c>
      <c r="V662">
        <f t="shared" si="143"/>
        <v>0</v>
      </c>
      <c r="W662">
        <f t="shared" si="144"/>
        <v>0</v>
      </c>
      <c r="X662">
        <f t="shared" si="145"/>
        <v>0</v>
      </c>
      <c r="Y662">
        <f t="shared" si="146"/>
        <v>0</v>
      </c>
    </row>
    <row r="663" spans="1:25" hidden="1">
      <c r="A663" t="str">
        <f t="shared" si="147"/>
        <v>Michels 1936</v>
      </c>
      <c r="E663">
        <v>1.42</v>
      </c>
      <c r="H663">
        <f t="shared" si="148"/>
        <v>298.14999999999998</v>
      </c>
      <c r="I663">
        <v>145.4</v>
      </c>
      <c r="J663">
        <v>0</v>
      </c>
      <c r="P663">
        <f t="shared" si="139"/>
        <v>1.4199999999999998E-3</v>
      </c>
      <c r="S663">
        <f t="shared" si="140"/>
        <v>1</v>
      </c>
      <c r="T663">
        <f t="shared" si="141"/>
        <v>0</v>
      </c>
      <c r="U663">
        <f t="shared" si="142"/>
        <v>0</v>
      </c>
      <c r="V663">
        <f t="shared" si="143"/>
        <v>0</v>
      </c>
      <c r="W663">
        <f t="shared" si="144"/>
        <v>0</v>
      </c>
      <c r="X663">
        <f t="shared" si="145"/>
        <v>0</v>
      </c>
      <c r="Y663">
        <f t="shared" si="146"/>
        <v>0</v>
      </c>
    </row>
    <row r="664" spans="1:25" hidden="1">
      <c r="A664" t="str">
        <f t="shared" si="147"/>
        <v>Michels 1936</v>
      </c>
      <c r="E664">
        <v>1.6</v>
      </c>
      <c r="H664">
        <f t="shared" si="148"/>
        <v>298.14999999999998</v>
      </c>
      <c r="I664">
        <v>177.8</v>
      </c>
      <c r="J664">
        <v>0</v>
      </c>
      <c r="P664">
        <f t="shared" si="139"/>
        <v>1.6000000000000001E-3</v>
      </c>
      <c r="S664">
        <f t="shared" si="140"/>
        <v>1</v>
      </c>
      <c r="T664">
        <f t="shared" si="141"/>
        <v>0</v>
      </c>
      <c r="U664">
        <f t="shared" si="142"/>
        <v>0</v>
      </c>
      <c r="V664">
        <f t="shared" si="143"/>
        <v>0</v>
      </c>
      <c r="W664">
        <f t="shared" si="144"/>
        <v>0</v>
      </c>
      <c r="X664">
        <f t="shared" si="145"/>
        <v>0</v>
      </c>
      <c r="Y664">
        <f t="shared" si="146"/>
        <v>0</v>
      </c>
    </row>
    <row r="665" spans="1:25" hidden="1">
      <c r="A665" t="str">
        <f t="shared" si="147"/>
        <v>Michels 1936</v>
      </c>
      <c r="E665">
        <v>1.73</v>
      </c>
      <c r="H665">
        <f t="shared" si="148"/>
        <v>298.14999999999998</v>
      </c>
      <c r="I665">
        <v>206.1</v>
      </c>
      <c r="J665">
        <v>0</v>
      </c>
      <c r="P665">
        <f t="shared" si="139"/>
        <v>1.73E-3</v>
      </c>
      <c r="S665">
        <f t="shared" si="140"/>
        <v>1</v>
      </c>
      <c r="T665">
        <f t="shared" si="141"/>
        <v>0</v>
      </c>
      <c r="U665">
        <f t="shared" si="142"/>
        <v>0</v>
      </c>
      <c r="V665">
        <f t="shared" si="143"/>
        <v>0</v>
      </c>
      <c r="W665">
        <f t="shared" si="144"/>
        <v>0</v>
      </c>
      <c r="X665">
        <f t="shared" si="145"/>
        <v>0</v>
      </c>
      <c r="Y665">
        <f t="shared" si="146"/>
        <v>0</v>
      </c>
    </row>
    <row r="666" spans="1:25" hidden="1">
      <c r="A666" t="s">
        <v>89</v>
      </c>
      <c r="H666">
        <v>273.14999999999998</v>
      </c>
      <c r="I666">
        <v>25</v>
      </c>
      <c r="J666">
        <f t="shared" ref="J666:J697" si="149">J665</f>
        <v>0</v>
      </c>
      <c r="K666" t="s">
        <v>90</v>
      </c>
      <c r="O666">
        <v>4.3E-3</v>
      </c>
      <c r="S666">
        <f t="shared" ref="S666:S697" si="150">S665</f>
        <v>1</v>
      </c>
      <c r="T666">
        <f t="shared" ref="T666:T697" si="151">T665</f>
        <v>0</v>
      </c>
      <c r="U666">
        <v>0</v>
      </c>
      <c r="V666">
        <v>1</v>
      </c>
      <c r="W666">
        <f t="shared" ref="W666:W697" si="152">W665</f>
        <v>0</v>
      </c>
      <c r="X666">
        <f t="shared" ref="X666:X697" si="153">X665</f>
        <v>0</v>
      </c>
      <c r="Y666">
        <f t="shared" ref="Y666:Y697" si="154">Y665</f>
        <v>0</v>
      </c>
    </row>
    <row r="667" spans="1:25" hidden="1">
      <c r="A667" t="str">
        <f t="shared" ref="A667:A698" si="155">A666</f>
        <v>Moortgat 2025</v>
      </c>
      <c r="H667">
        <v>273.14999999999998</v>
      </c>
      <c r="I667">
        <v>51</v>
      </c>
      <c r="J667">
        <f t="shared" si="149"/>
        <v>0</v>
      </c>
      <c r="K667" t="s">
        <v>90</v>
      </c>
      <c r="O667">
        <v>8.6E-3</v>
      </c>
      <c r="S667">
        <f t="shared" si="150"/>
        <v>1</v>
      </c>
      <c r="T667">
        <f t="shared" si="151"/>
        <v>0</v>
      </c>
      <c r="U667">
        <f t="shared" ref="U667:U698" si="156">U666</f>
        <v>0</v>
      </c>
      <c r="V667">
        <f t="shared" ref="V667:V698" si="157">V666</f>
        <v>1</v>
      </c>
      <c r="W667">
        <f t="shared" si="152"/>
        <v>0</v>
      </c>
      <c r="X667">
        <f t="shared" si="153"/>
        <v>0</v>
      </c>
      <c r="Y667">
        <f t="shared" si="154"/>
        <v>0</v>
      </c>
    </row>
    <row r="668" spans="1:25" hidden="1">
      <c r="A668" t="str">
        <f t="shared" si="155"/>
        <v>Moortgat 2025</v>
      </c>
      <c r="H668">
        <v>273.14999999999998</v>
      </c>
      <c r="I668">
        <v>100.57</v>
      </c>
      <c r="J668">
        <f t="shared" si="149"/>
        <v>0</v>
      </c>
      <c r="K668" t="s">
        <v>90</v>
      </c>
      <c r="O668">
        <v>1.7100000000000001E-2</v>
      </c>
      <c r="S668">
        <f t="shared" si="150"/>
        <v>1</v>
      </c>
      <c r="T668">
        <f t="shared" si="151"/>
        <v>0</v>
      </c>
      <c r="U668">
        <f t="shared" si="156"/>
        <v>0</v>
      </c>
      <c r="V668">
        <f t="shared" si="157"/>
        <v>1</v>
      </c>
      <c r="W668">
        <f t="shared" si="152"/>
        <v>0</v>
      </c>
      <c r="X668">
        <f t="shared" si="153"/>
        <v>0</v>
      </c>
      <c r="Y668">
        <f t="shared" si="154"/>
        <v>0</v>
      </c>
    </row>
    <row r="669" spans="1:25" hidden="1">
      <c r="A669" t="str">
        <f t="shared" si="155"/>
        <v>Moortgat 2025</v>
      </c>
      <c r="H669">
        <v>273.14999999999998</v>
      </c>
      <c r="I669">
        <v>202.95</v>
      </c>
      <c r="J669">
        <f t="shared" si="149"/>
        <v>0</v>
      </c>
      <c r="K669" t="s">
        <v>90</v>
      </c>
      <c r="O669">
        <v>3.3500000000000002E-2</v>
      </c>
      <c r="S669">
        <f t="shared" si="150"/>
        <v>1</v>
      </c>
      <c r="T669">
        <f t="shared" si="151"/>
        <v>0</v>
      </c>
      <c r="U669">
        <f t="shared" si="156"/>
        <v>0</v>
      </c>
      <c r="V669">
        <f t="shared" si="157"/>
        <v>1</v>
      </c>
      <c r="W669">
        <f t="shared" si="152"/>
        <v>0</v>
      </c>
      <c r="X669">
        <f t="shared" si="153"/>
        <v>0</v>
      </c>
      <c r="Y669">
        <f t="shared" si="154"/>
        <v>0</v>
      </c>
    </row>
    <row r="670" spans="1:25" hidden="1">
      <c r="A670" t="str">
        <f t="shared" si="155"/>
        <v>Moortgat 2025</v>
      </c>
      <c r="H670">
        <v>273.14999999999998</v>
      </c>
      <c r="I670">
        <v>405.05</v>
      </c>
      <c r="J670">
        <f t="shared" si="149"/>
        <v>0</v>
      </c>
      <c r="K670" t="s">
        <v>90</v>
      </c>
      <c r="O670">
        <v>6.4000000000000001E-2</v>
      </c>
      <c r="S670">
        <f t="shared" si="150"/>
        <v>1</v>
      </c>
      <c r="T670">
        <f t="shared" si="151"/>
        <v>0</v>
      </c>
      <c r="U670">
        <f t="shared" si="156"/>
        <v>0</v>
      </c>
      <c r="V670">
        <f t="shared" si="157"/>
        <v>1</v>
      </c>
      <c r="W670">
        <f t="shared" si="152"/>
        <v>0</v>
      </c>
      <c r="X670">
        <f t="shared" si="153"/>
        <v>0</v>
      </c>
      <c r="Y670">
        <f t="shared" si="154"/>
        <v>0</v>
      </c>
    </row>
    <row r="671" spans="1:25" hidden="1">
      <c r="A671" t="str">
        <f t="shared" si="155"/>
        <v>Moortgat 2025</v>
      </c>
      <c r="H671">
        <v>298.14999999999998</v>
      </c>
      <c r="I671">
        <v>25</v>
      </c>
      <c r="J671">
        <f t="shared" si="149"/>
        <v>0</v>
      </c>
      <c r="K671" t="s">
        <v>90</v>
      </c>
      <c r="O671">
        <v>3.4999999999999996E-3</v>
      </c>
      <c r="S671">
        <f t="shared" si="150"/>
        <v>1</v>
      </c>
      <c r="T671">
        <f t="shared" si="151"/>
        <v>0</v>
      </c>
      <c r="U671">
        <f t="shared" si="156"/>
        <v>0</v>
      </c>
      <c r="V671">
        <f t="shared" si="157"/>
        <v>1</v>
      </c>
      <c r="W671">
        <f t="shared" si="152"/>
        <v>0</v>
      </c>
      <c r="X671">
        <f t="shared" si="153"/>
        <v>0</v>
      </c>
      <c r="Y671">
        <f t="shared" si="154"/>
        <v>0</v>
      </c>
    </row>
    <row r="672" spans="1:25" hidden="1">
      <c r="A672" t="str">
        <f t="shared" si="155"/>
        <v>Moortgat 2025</v>
      </c>
      <c r="H672">
        <v>298.14999999999998</v>
      </c>
      <c r="I672">
        <v>51</v>
      </c>
      <c r="J672">
        <f t="shared" si="149"/>
        <v>0</v>
      </c>
      <c r="K672" t="s">
        <v>90</v>
      </c>
      <c r="O672">
        <v>6.8999999999999999E-3</v>
      </c>
      <c r="S672">
        <f t="shared" si="150"/>
        <v>1</v>
      </c>
      <c r="T672">
        <f t="shared" si="151"/>
        <v>0</v>
      </c>
      <c r="U672">
        <f t="shared" si="156"/>
        <v>0</v>
      </c>
      <c r="V672">
        <f t="shared" si="157"/>
        <v>1</v>
      </c>
      <c r="W672">
        <f t="shared" si="152"/>
        <v>0</v>
      </c>
      <c r="X672">
        <f t="shared" si="153"/>
        <v>0</v>
      </c>
      <c r="Y672">
        <f t="shared" si="154"/>
        <v>0</v>
      </c>
    </row>
    <row r="673" spans="1:25" hidden="1">
      <c r="A673" t="str">
        <f t="shared" si="155"/>
        <v>Moortgat 2025</v>
      </c>
      <c r="H673">
        <v>298.14999999999998</v>
      </c>
      <c r="I673">
        <v>100.57</v>
      </c>
      <c r="J673">
        <f t="shared" si="149"/>
        <v>0</v>
      </c>
      <c r="K673" t="s">
        <v>90</v>
      </c>
      <c r="O673">
        <v>1.3899999999999999E-2</v>
      </c>
      <c r="S673">
        <f t="shared" si="150"/>
        <v>1</v>
      </c>
      <c r="T673">
        <f t="shared" si="151"/>
        <v>0</v>
      </c>
      <c r="U673">
        <f t="shared" si="156"/>
        <v>0</v>
      </c>
      <c r="V673">
        <f t="shared" si="157"/>
        <v>1</v>
      </c>
      <c r="W673">
        <f t="shared" si="152"/>
        <v>0</v>
      </c>
      <c r="X673">
        <f t="shared" si="153"/>
        <v>0</v>
      </c>
      <c r="Y673">
        <f t="shared" si="154"/>
        <v>0</v>
      </c>
    </row>
    <row r="674" spans="1:25" hidden="1">
      <c r="A674" t="str">
        <f t="shared" si="155"/>
        <v>Moortgat 2025</v>
      </c>
      <c r="H674">
        <v>298.14999999999998</v>
      </c>
      <c r="I674">
        <v>202.95</v>
      </c>
      <c r="J674">
        <f t="shared" si="149"/>
        <v>0</v>
      </c>
      <c r="K674" t="s">
        <v>90</v>
      </c>
      <c r="O674">
        <v>2.7099999999999999E-2</v>
      </c>
      <c r="S674">
        <f t="shared" si="150"/>
        <v>1</v>
      </c>
      <c r="T674">
        <f t="shared" si="151"/>
        <v>0</v>
      </c>
      <c r="U674">
        <f t="shared" si="156"/>
        <v>0</v>
      </c>
      <c r="V674">
        <f t="shared" si="157"/>
        <v>1</v>
      </c>
      <c r="W674">
        <f t="shared" si="152"/>
        <v>0</v>
      </c>
      <c r="X674">
        <f t="shared" si="153"/>
        <v>0</v>
      </c>
      <c r="Y674">
        <f t="shared" si="154"/>
        <v>0</v>
      </c>
    </row>
    <row r="675" spans="1:25" hidden="1">
      <c r="A675" t="str">
        <f t="shared" si="155"/>
        <v>Moortgat 2025</v>
      </c>
      <c r="H675">
        <v>298.14999999999998</v>
      </c>
      <c r="I675">
        <v>405.05</v>
      </c>
      <c r="J675">
        <f t="shared" si="149"/>
        <v>0</v>
      </c>
      <c r="K675" t="s">
        <v>90</v>
      </c>
      <c r="O675">
        <v>5.2400000000000002E-2</v>
      </c>
      <c r="S675">
        <f t="shared" si="150"/>
        <v>1</v>
      </c>
      <c r="T675">
        <f t="shared" si="151"/>
        <v>0</v>
      </c>
      <c r="U675">
        <f t="shared" si="156"/>
        <v>0</v>
      </c>
      <c r="V675">
        <f t="shared" si="157"/>
        <v>1</v>
      </c>
      <c r="W675">
        <f t="shared" si="152"/>
        <v>0</v>
      </c>
      <c r="X675">
        <f t="shared" si="153"/>
        <v>0</v>
      </c>
      <c r="Y675">
        <f t="shared" si="154"/>
        <v>0</v>
      </c>
    </row>
    <row r="676" spans="1:25" hidden="1">
      <c r="A676" t="str">
        <f t="shared" si="155"/>
        <v>Moortgat 2025</v>
      </c>
      <c r="H676">
        <v>310.94</v>
      </c>
      <c r="I676">
        <v>3.4</v>
      </c>
      <c r="J676">
        <f t="shared" si="149"/>
        <v>0</v>
      </c>
      <c r="K676">
        <v>1.9599999999999999E-2</v>
      </c>
      <c r="O676">
        <v>5.0000000000000001E-4</v>
      </c>
      <c r="S676">
        <f t="shared" si="150"/>
        <v>1</v>
      </c>
      <c r="T676">
        <f t="shared" si="151"/>
        <v>0</v>
      </c>
      <c r="U676">
        <f t="shared" si="156"/>
        <v>0</v>
      </c>
      <c r="V676">
        <f t="shared" si="157"/>
        <v>1</v>
      </c>
      <c r="W676">
        <f t="shared" si="152"/>
        <v>0</v>
      </c>
      <c r="X676">
        <f t="shared" si="153"/>
        <v>0</v>
      </c>
      <c r="Y676">
        <f t="shared" si="154"/>
        <v>0</v>
      </c>
    </row>
    <row r="677" spans="1:25" hidden="1">
      <c r="A677" t="str">
        <f t="shared" si="155"/>
        <v>Moortgat 2025</v>
      </c>
      <c r="H677">
        <v>310.94</v>
      </c>
      <c r="I677">
        <v>13.8</v>
      </c>
      <c r="J677">
        <f t="shared" si="149"/>
        <v>0</v>
      </c>
      <c r="K677">
        <v>4.8999999999999998E-3</v>
      </c>
      <c r="O677">
        <v>1.8E-3</v>
      </c>
      <c r="S677">
        <f t="shared" si="150"/>
        <v>1</v>
      </c>
      <c r="T677">
        <f t="shared" si="151"/>
        <v>0</v>
      </c>
      <c r="U677">
        <f t="shared" si="156"/>
        <v>0</v>
      </c>
      <c r="V677">
        <f t="shared" si="157"/>
        <v>1</v>
      </c>
      <c r="W677">
        <f t="shared" si="152"/>
        <v>0</v>
      </c>
      <c r="X677">
        <f t="shared" si="153"/>
        <v>0</v>
      </c>
      <c r="Y677">
        <f t="shared" si="154"/>
        <v>0</v>
      </c>
    </row>
    <row r="678" spans="1:25" hidden="1">
      <c r="A678" t="str">
        <f t="shared" si="155"/>
        <v>Moortgat 2025</v>
      </c>
      <c r="H678">
        <v>310.94</v>
      </c>
      <c r="I678">
        <v>31</v>
      </c>
      <c r="J678">
        <f t="shared" si="149"/>
        <v>0</v>
      </c>
      <c r="K678">
        <v>2.2000000000000001E-3</v>
      </c>
      <c r="O678">
        <v>4.0999999999999995E-3</v>
      </c>
      <c r="S678">
        <f t="shared" si="150"/>
        <v>1</v>
      </c>
      <c r="T678">
        <f t="shared" si="151"/>
        <v>0</v>
      </c>
      <c r="U678">
        <f t="shared" si="156"/>
        <v>0</v>
      </c>
      <c r="V678">
        <f t="shared" si="157"/>
        <v>1</v>
      </c>
      <c r="W678">
        <f t="shared" si="152"/>
        <v>0</v>
      </c>
      <c r="X678">
        <f t="shared" si="153"/>
        <v>0</v>
      </c>
      <c r="Y678">
        <f t="shared" si="154"/>
        <v>0</v>
      </c>
    </row>
    <row r="679" spans="1:25" hidden="1">
      <c r="A679" t="str">
        <f t="shared" si="155"/>
        <v>Moortgat 2025</v>
      </c>
      <c r="H679">
        <v>310.94</v>
      </c>
      <c r="I679">
        <v>65.5</v>
      </c>
      <c r="J679">
        <f t="shared" si="149"/>
        <v>0</v>
      </c>
      <c r="K679">
        <v>1.1999999999999999E-3</v>
      </c>
      <c r="O679">
        <v>8.6E-3</v>
      </c>
      <c r="S679">
        <f t="shared" si="150"/>
        <v>1</v>
      </c>
      <c r="T679">
        <f t="shared" si="151"/>
        <v>0</v>
      </c>
      <c r="U679">
        <f t="shared" si="156"/>
        <v>0</v>
      </c>
      <c r="V679">
        <f t="shared" si="157"/>
        <v>1</v>
      </c>
      <c r="W679">
        <f t="shared" si="152"/>
        <v>0</v>
      </c>
      <c r="X679">
        <f t="shared" si="153"/>
        <v>0</v>
      </c>
      <c r="Y679">
        <f t="shared" si="154"/>
        <v>0</v>
      </c>
    </row>
    <row r="680" spans="1:25" hidden="1">
      <c r="A680" t="str">
        <f t="shared" si="155"/>
        <v>Moortgat 2025</v>
      </c>
      <c r="H680">
        <v>310.94</v>
      </c>
      <c r="I680">
        <v>103.4</v>
      </c>
      <c r="J680">
        <f t="shared" si="149"/>
        <v>0</v>
      </c>
      <c r="K680">
        <v>8.0000000000000004E-4</v>
      </c>
      <c r="O680">
        <v>1.3300000000000001E-2</v>
      </c>
      <c r="S680">
        <f t="shared" si="150"/>
        <v>1</v>
      </c>
      <c r="T680">
        <f t="shared" si="151"/>
        <v>0</v>
      </c>
      <c r="U680">
        <f t="shared" si="156"/>
        <v>0</v>
      </c>
      <c r="V680">
        <f t="shared" si="157"/>
        <v>1</v>
      </c>
      <c r="W680">
        <f t="shared" si="152"/>
        <v>0</v>
      </c>
      <c r="X680">
        <f t="shared" si="153"/>
        <v>0</v>
      </c>
      <c r="Y680">
        <f t="shared" si="154"/>
        <v>0</v>
      </c>
    </row>
    <row r="681" spans="1:25" hidden="1">
      <c r="A681" t="str">
        <f t="shared" si="155"/>
        <v>Moortgat 2025</v>
      </c>
      <c r="H681">
        <v>310.94</v>
      </c>
      <c r="I681">
        <v>137.9</v>
      </c>
      <c r="J681">
        <f t="shared" si="149"/>
        <v>0</v>
      </c>
      <c r="K681">
        <v>5.9999999999999995E-4</v>
      </c>
      <c r="O681">
        <v>1.7600000000000001E-2</v>
      </c>
      <c r="S681">
        <f t="shared" si="150"/>
        <v>1</v>
      </c>
      <c r="T681">
        <f t="shared" si="151"/>
        <v>0</v>
      </c>
      <c r="U681">
        <f t="shared" si="156"/>
        <v>0</v>
      </c>
      <c r="V681">
        <f t="shared" si="157"/>
        <v>1</v>
      </c>
      <c r="W681">
        <f t="shared" si="152"/>
        <v>0</v>
      </c>
      <c r="X681">
        <f t="shared" si="153"/>
        <v>0</v>
      </c>
      <c r="Y681">
        <f t="shared" si="154"/>
        <v>0</v>
      </c>
    </row>
    <row r="682" spans="1:25" hidden="1">
      <c r="A682" t="str">
        <f t="shared" si="155"/>
        <v>Moortgat 2025</v>
      </c>
      <c r="H682">
        <v>323.14999999999998</v>
      </c>
      <c r="I682">
        <v>25</v>
      </c>
      <c r="J682">
        <f t="shared" si="149"/>
        <v>0</v>
      </c>
      <c r="K682" t="s">
        <v>90</v>
      </c>
      <c r="O682">
        <v>3.3E-3</v>
      </c>
      <c r="S682">
        <f t="shared" si="150"/>
        <v>1</v>
      </c>
      <c r="T682">
        <f t="shared" si="151"/>
        <v>0</v>
      </c>
      <c r="U682">
        <f t="shared" si="156"/>
        <v>0</v>
      </c>
      <c r="V682">
        <f t="shared" si="157"/>
        <v>1</v>
      </c>
      <c r="W682">
        <f t="shared" si="152"/>
        <v>0</v>
      </c>
      <c r="X682">
        <f t="shared" si="153"/>
        <v>0</v>
      </c>
      <c r="Y682">
        <f t="shared" si="154"/>
        <v>0</v>
      </c>
    </row>
    <row r="683" spans="1:25" hidden="1">
      <c r="A683" t="str">
        <f t="shared" si="155"/>
        <v>Moortgat 2025</v>
      </c>
      <c r="H683">
        <v>323.14999999999998</v>
      </c>
      <c r="I683">
        <v>31.8</v>
      </c>
      <c r="J683">
        <f t="shared" si="149"/>
        <v>0</v>
      </c>
      <c r="K683" t="s">
        <v>90</v>
      </c>
      <c r="O683">
        <v>4.0000000000000001E-3</v>
      </c>
      <c r="S683">
        <f t="shared" si="150"/>
        <v>1</v>
      </c>
      <c r="T683">
        <f t="shared" si="151"/>
        <v>0</v>
      </c>
      <c r="U683">
        <f t="shared" si="156"/>
        <v>0</v>
      </c>
      <c r="V683">
        <f t="shared" si="157"/>
        <v>1</v>
      </c>
      <c r="W683">
        <f t="shared" si="152"/>
        <v>0</v>
      </c>
      <c r="X683">
        <f t="shared" si="153"/>
        <v>0</v>
      </c>
      <c r="Y683">
        <f t="shared" si="154"/>
        <v>0</v>
      </c>
    </row>
    <row r="684" spans="1:25" hidden="1">
      <c r="A684" t="str">
        <f t="shared" si="155"/>
        <v>Moortgat 2025</v>
      </c>
      <c r="H684">
        <v>323.14999999999998</v>
      </c>
      <c r="I684">
        <v>50</v>
      </c>
      <c r="J684">
        <f t="shared" si="149"/>
        <v>0</v>
      </c>
      <c r="K684">
        <v>2.7000000000000001E-3</v>
      </c>
      <c r="O684" t="s">
        <v>90</v>
      </c>
      <c r="S684">
        <f t="shared" si="150"/>
        <v>1</v>
      </c>
      <c r="T684">
        <f t="shared" si="151"/>
        <v>0</v>
      </c>
      <c r="U684">
        <f t="shared" si="156"/>
        <v>0</v>
      </c>
      <c r="V684">
        <f t="shared" si="157"/>
        <v>1</v>
      </c>
      <c r="W684">
        <f t="shared" si="152"/>
        <v>0</v>
      </c>
      <c r="X684">
        <f t="shared" si="153"/>
        <v>0</v>
      </c>
      <c r="Y684">
        <f t="shared" si="154"/>
        <v>0</v>
      </c>
    </row>
    <row r="685" spans="1:25" hidden="1">
      <c r="A685" t="str">
        <f t="shared" si="155"/>
        <v>Moortgat 2025</v>
      </c>
      <c r="H685">
        <v>323.14999999999998</v>
      </c>
      <c r="I685">
        <v>51</v>
      </c>
      <c r="J685">
        <f t="shared" si="149"/>
        <v>0</v>
      </c>
      <c r="K685" t="s">
        <v>90</v>
      </c>
      <c r="O685">
        <v>6.5000000000000006E-3</v>
      </c>
      <c r="S685">
        <f t="shared" si="150"/>
        <v>1</v>
      </c>
      <c r="T685">
        <f t="shared" si="151"/>
        <v>0</v>
      </c>
      <c r="U685">
        <f t="shared" si="156"/>
        <v>0</v>
      </c>
      <c r="V685">
        <f t="shared" si="157"/>
        <v>1</v>
      </c>
      <c r="W685">
        <f t="shared" si="152"/>
        <v>0</v>
      </c>
      <c r="X685">
        <f t="shared" si="153"/>
        <v>0</v>
      </c>
      <c r="Y685">
        <f t="shared" si="154"/>
        <v>0</v>
      </c>
    </row>
    <row r="686" spans="1:25" hidden="1">
      <c r="A686" t="str">
        <f t="shared" si="155"/>
        <v>Moortgat 2025</v>
      </c>
      <c r="H686">
        <v>323.14999999999998</v>
      </c>
      <c r="I686">
        <v>60.15</v>
      </c>
      <c r="J686">
        <f t="shared" si="149"/>
        <v>0</v>
      </c>
      <c r="K686" t="s">
        <v>90</v>
      </c>
      <c r="O686">
        <v>7.6E-3</v>
      </c>
      <c r="S686">
        <f t="shared" si="150"/>
        <v>1</v>
      </c>
      <c r="T686">
        <f t="shared" si="151"/>
        <v>0</v>
      </c>
      <c r="U686">
        <f t="shared" si="156"/>
        <v>0</v>
      </c>
      <c r="V686">
        <f t="shared" si="157"/>
        <v>1</v>
      </c>
      <c r="W686">
        <f t="shared" si="152"/>
        <v>0</v>
      </c>
      <c r="X686">
        <f t="shared" si="153"/>
        <v>0</v>
      </c>
      <c r="Y686">
        <f t="shared" si="154"/>
        <v>0</v>
      </c>
    </row>
    <row r="687" spans="1:25" hidden="1">
      <c r="A687" t="str">
        <f t="shared" si="155"/>
        <v>Moortgat 2025</v>
      </c>
      <c r="H687">
        <v>323.14999999999998</v>
      </c>
      <c r="I687">
        <v>100.57</v>
      </c>
      <c r="J687">
        <f t="shared" si="149"/>
        <v>0</v>
      </c>
      <c r="K687">
        <v>1.4000000000000002E-3</v>
      </c>
      <c r="O687">
        <v>1.29E-2</v>
      </c>
      <c r="S687">
        <f t="shared" si="150"/>
        <v>1</v>
      </c>
      <c r="T687">
        <f t="shared" si="151"/>
        <v>0</v>
      </c>
      <c r="U687">
        <f t="shared" si="156"/>
        <v>0</v>
      </c>
      <c r="V687">
        <f t="shared" si="157"/>
        <v>1</v>
      </c>
      <c r="W687">
        <f t="shared" si="152"/>
        <v>0</v>
      </c>
      <c r="X687">
        <f t="shared" si="153"/>
        <v>0</v>
      </c>
      <c r="Y687">
        <f t="shared" si="154"/>
        <v>0</v>
      </c>
    </row>
    <row r="688" spans="1:25" hidden="1">
      <c r="A688" t="str">
        <f t="shared" si="155"/>
        <v>Moortgat 2025</v>
      </c>
      <c r="H688">
        <v>323.14999999999998</v>
      </c>
      <c r="I688">
        <v>119.3</v>
      </c>
      <c r="J688">
        <f t="shared" si="149"/>
        <v>0</v>
      </c>
      <c r="K688" t="s">
        <v>90</v>
      </c>
      <c r="O688">
        <v>1.5100000000000001E-2</v>
      </c>
      <c r="S688">
        <f t="shared" si="150"/>
        <v>1</v>
      </c>
      <c r="T688">
        <f t="shared" si="151"/>
        <v>0</v>
      </c>
      <c r="U688">
        <f t="shared" si="156"/>
        <v>0</v>
      </c>
      <c r="V688">
        <f t="shared" si="157"/>
        <v>1</v>
      </c>
      <c r="W688">
        <f t="shared" si="152"/>
        <v>0</v>
      </c>
      <c r="X688">
        <f t="shared" si="153"/>
        <v>0</v>
      </c>
      <c r="Y688">
        <f t="shared" si="154"/>
        <v>0</v>
      </c>
    </row>
    <row r="689" spans="1:25" hidden="1">
      <c r="A689" t="str">
        <f t="shared" si="155"/>
        <v>Moortgat 2025</v>
      </c>
      <c r="H689">
        <v>323.14999999999998</v>
      </c>
      <c r="I689">
        <v>150</v>
      </c>
      <c r="J689">
        <f t="shared" si="149"/>
        <v>0</v>
      </c>
      <c r="K689">
        <v>1.1000000000000001E-3</v>
      </c>
      <c r="O689" t="s">
        <v>90</v>
      </c>
      <c r="S689">
        <f t="shared" si="150"/>
        <v>1</v>
      </c>
      <c r="T689">
        <f t="shared" si="151"/>
        <v>0</v>
      </c>
      <c r="U689">
        <f t="shared" si="156"/>
        <v>0</v>
      </c>
      <c r="V689">
        <f t="shared" si="157"/>
        <v>1</v>
      </c>
      <c r="W689">
        <f t="shared" si="152"/>
        <v>0</v>
      </c>
      <c r="X689">
        <f t="shared" si="153"/>
        <v>0</v>
      </c>
      <c r="Y689">
        <f t="shared" si="154"/>
        <v>0</v>
      </c>
    </row>
    <row r="690" spans="1:25" hidden="1">
      <c r="A690" t="str">
        <f t="shared" si="155"/>
        <v>Moortgat 2025</v>
      </c>
      <c r="H690">
        <v>323.14999999999998</v>
      </c>
      <c r="I690">
        <v>200</v>
      </c>
      <c r="J690">
        <f t="shared" si="149"/>
        <v>0</v>
      </c>
      <c r="K690">
        <v>8.9999999999999998E-4</v>
      </c>
      <c r="O690" t="s">
        <v>90</v>
      </c>
      <c r="S690">
        <f t="shared" si="150"/>
        <v>1</v>
      </c>
      <c r="T690">
        <f t="shared" si="151"/>
        <v>0</v>
      </c>
      <c r="U690">
        <f t="shared" si="156"/>
        <v>0</v>
      </c>
      <c r="V690">
        <f t="shared" si="157"/>
        <v>1</v>
      </c>
      <c r="W690">
        <f t="shared" si="152"/>
        <v>0</v>
      </c>
      <c r="X690">
        <f t="shared" si="153"/>
        <v>0</v>
      </c>
      <c r="Y690">
        <f t="shared" si="154"/>
        <v>0</v>
      </c>
    </row>
    <row r="691" spans="1:25" hidden="1">
      <c r="A691" t="str">
        <f t="shared" si="155"/>
        <v>Moortgat 2025</v>
      </c>
      <c r="H691">
        <v>323.14999999999998</v>
      </c>
      <c r="I691">
        <v>202.95</v>
      </c>
      <c r="J691">
        <f t="shared" si="149"/>
        <v>0</v>
      </c>
      <c r="K691">
        <v>8.0000000000000004E-4</v>
      </c>
      <c r="O691">
        <v>2.5399999999999999E-2</v>
      </c>
      <c r="S691">
        <f t="shared" si="150"/>
        <v>1</v>
      </c>
      <c r="T691">
        <f t="shared" si="151"/>
        <v>0</v>
      </c>
      <c r="U691">
        <f t="shared" si="156"/>
        <v>0</v>
      </c>
      <c r="V691">
        <f t="shared" si="157"/>
        <v>1</v>
      </c>
      <c r="W691">
        <f t="shared" si="152"/>
        <v>0</v>
      </c>
      <c r="X691">
        <f t="shared" si="153"/>
        <v>0</v>
      </c>
      <c r="Y691">
        <f t="shared" si="154"/>
        <v>0</v>
      </c>
    </row>
    <row r="692" spans="1:25" hidden="1">
      <c r="A692" t="str">
        <f t="shared" si="155"/>
        <v>Moortgat 2025</v>
      </c>
      <c r="H692">
        <v>323.14999999999998</v>
      </c>
      <c r="I692">
        <v>250</v>
      </c>
      <c r="J692">
        <f t="shared" si="149"/>
        <v>0</v>
      </c>
      <c r="K692">
        <v>8.0000000000000004E-4</v>
      </c>
      <c r="O692" t="s">
        <v>90</v>
      </c>
      <c r="S692">
        <f t="shared" si="150"/>
        <v>1</v>
      </c>
      <c r="T692">
        <f t="shared" si="151"/>
        <v>0</v>
      </c>
      <c r="U692">
        <f t="shared" si="156"/>
        <v>0</v>
      </c>
      <c r="V692">
        <f t="shared" si="157"/>
        <v>1</v>
      </c>
      <c r="W692">
        <f t="shared" si="152"/>
        <v>0</v>
      </c>
      <c r="X692">
        <f t="shared" si="153"/>
        <v>0</v>
      </c>
      <c r="Y692">
        <f t="shared" si="154"/>
        <v>0</v>
      </c>
    </row>
    <row r="693" spans="1:25" hidden="1">
      <c r="A693" t="str">
        <f t="shared" si="155"/>
        <v>Moortgat 2025</v>
      </c>
      <c r="H693">
        <v>323.14999999999998</v>
      </c>
      <c r="I693">
        <v>300</v>
      </c>
      <c r="J693">
        <f t="shared" si="149"/>
        <v>0</v>
      </c>
      <c r="K693">
        <v>7.000000000000001E-4</v>
      </c>
      <c r="O693" t="s">
        <v>90</v>
      </c>
      <c r="S693">
        <f t="shared" si="150"/>
        <v>1</v>
      </c>
      <c r="T693">
        <f t="shared" si="151"/>
        <v>0</v>
      </c>
      <c r="U693">
        <f t="shared" si="156"/>
        <v>0</v>
      </c>
      <c r="V693">
        <f t="shared" si="157"/>
        <v>1</v>
      </c>
      <c r="W693">
        <f t="shared" si="152"/>
        <v>0</v>
      </c>
      <c r="X693">
        <f t="shared" si="153"/>
        <v>0</v>
      </c>
      <c r="Y693">
        <f t="shared" si="154"/>
        <v>0</v>
      </c>
    </row>
    <row r="694" spans="1:25" hidden="1">
      <c r="A694" t="str">
        <f t="shared" si="155"/>
        <v>Moortgat 2025</v>
      </c>
      <c r="H694">
        <v>323.14999999999998</v>
      </c>
      <c r="I694">
        <v>405.05</v>
      </c>
      <c r="J694">
        <f t="shared" si="149"/>
        <v>0</v>
      </c>
      <c r="K694">
        <v>5.0000000000000001E-4</v>
      </c>
      <c r="O694">
        <v>4.9200000000000001E-2</v>
      </c>
      <c r="S694">
        <f t="shared" si="150"/>
        <v>1</v>
      </c>
      <c r="T694">
        <f t="shared" si="151"/>
        <v>0</v>
      </c>
      <c r="U694">
        <f t="shared" si="156"/>
        <v>0</v>
      </c>
      <c r="V694">
        <f t="shared" si="157"/>
        <v>1</v>
      </c>
      <c r="W694">
        <f t="shared" si="152"/>
        <v>0</v>
      </c>
      <c r="X694">
        <f t="shared" si="153"/>
        <v>0</v>
      </c>
      <c r="Y694">
        <f t="shared" si="154"/>
        <v>0</v>
      </c>
    </row>
    <row r="695" spans="1:25" hidden="1">
      <c r="A695" t="str">
        <f t="shared" si="155"/>
        <v>Moortgat 2025</v>
      </c>
      <c r="H695">
        <v>343.15</v>
      </c>
      <c r="I695">
        <v>50</v>
      </c>
      <c r="J695">
        <f t="shared" si="149"/>
        <v>0</v>
      </c>
      <c r="K695">
        <v>6.6E-3</v>
      </c>
      <c r="O695" t="s">
        <v>90</v>
      </c>
      <c r="S695">
        <f t="shared" si="150"/>
        <v>1</v>
      </c>
      <c r="T695">
        <f t="shared" si="151"/>
        <v>0</v>
      </c>
      <c r="U695">
        <f t="shared" si="156"/>
        <v>0</v>
      </c>
      <c r="V695">
        <f t="shared" si="157"/>
        <v>1</v>
      </c>
      <c r="W695">
        <f t="shared" si="152"/>
        <v>0</v>
      </c>
      <c r="X695">
        <f t="shared" si="153"/>
        <v>0</v>
      </c>
      <c r="Y695">
        <f t="shared" si="154"/>
        <v>0</v>
      </c>
    </row>
    <row r="696" spans="1:25" hidden="1">
      <c r="A696" t="str">
        <f t="shared" si="155"/>
        <v>Moortgat 2025</v>
      </c>
      <c r="H696">
        <v>343.15</v>
      </c>
      <c r="I696">
        <v>100.57</v>
      </c>
      <c r="J696">
        <f t="shared" si="149"/>
        <v>0</v>
      </c>
      <c r="K696">
        <v>3.5999999999999999E-3</v>
      </c>
      <c r="O696" t="s">
        <v>90</v>
      </c>
      <c r="S696">
        <f t="shared" si="150"/>
        <v>1</v>
      </c>
      <c r="T696">
        <f t="shared" si="151"/>
        <v>0</v>
      </c>
      <c r="U696">
        <f t="shared" si="156"/>
        <v>0</v>
      </c>
      <c r="V696">
        <f t="shared" si="157"/>
        <v>1</v>
      </c>
      <c r="W696">
        <f t="shared" si="152"/>
        <v>0</v>
      </c>
      <c r="X696">
        <f t="shared" si="153"/>
        <v>0</v>
      </c>
      <c r="Y696">
        <f t="shared" si="154"/>
        <v>0</v>
      </c>
    </row>
    <row r="697" spans="1:25" hidden="1">
      <c r="A697" t="str">
        <f t="shared" si="155"/>
        <v>Moortgat 2025</v>
      </c>
      <c r="H697">
        <v>343.15</v>
      </c>
      <c r="I697">
        <v>150</v>
      </c>
      <c r="J697">
        <f t="shared" si="149"/>
        <v>0</v>
      </c>
      <c r="K697">
        <v>2.5999999999999999E-3</v>
      </c>
      <c r="O697" t="s">
        <v>90</v>
      </c>
      <c r="S697">
        <f t="shared" si="150"/>
        <v>1</v>
      </c>
      <c r="T697">
        <f t="shared" si="151"/>
        <v>0</v>
      </c>
      <c r="U697">
        <f t="shared" si="156"/>
        <v>0</v>
      </c>
      <c r="V697">
        <f t="shared" si="157"/>
        <v>1</v>
      </c>
      <c r="W697">
        <f t="shared" si="152"/>
        <v>0</v>
      </c>
      <c r="X697">
        <f t="shared" si="153"/>
        <v>0</v>
      </c>
      <c r="Y697">
        <f t="shared" si="154"/>
        <v>0</v>
      </c>
    </row>
    <row r="698" spans="1:25" hidden="1">
      <c r="A698" t="str">
        <f t="shared" si="155"/>
        <v>Moortgat 2025</v>
      </c>
      <c r="H698">
        <v>343.15</v>
      </c>
      <c r="I698">
        <v>200</v>
      </c>
      <c r="J698">
        <f t="shared" ref="J698:J729" si="158">J697</f>
        <v>0</v>
      </c>
      <c r="K698">
        <v>2.0999999999999999E-3</v>
      </c>
      <c r="O698" t="s">
        <v>90</v>
      </c>
      <c r="S698">
        <f t="shared" ref="S698:S729" si="159">S697</f>
        <v>1</v>
      </c>
      <c r="T698">
        <f t="shared" ref="T698:T729" si="160">T697</f>
        <v>0</v>
      </c>
      <c r="U698">
        <f t="shared" si="156"/>
        <v>0</v>
      </c>
      <c r="V698">
        <f t="shared" si="157"/>
        <v>1</v>
      </c>
      <c r="W698">
        <f t="shared" ref="W698:W729" si="161">W697</f>
        <v>0</v>
      </c>
      <c r="X698">
        <f t="shared" ref="X698:X729" si="162">X697</f>
        <v>0</v>
      </c>
      <c r="Y698">
        <f t="shared" ref="Y698:Y729" si="163">Y697</f>
        <v>0</v>
      </c>
    </row>
    <row r="699" spans="1:25" hidden="1">
      <c r="A699" t="str">
        <f t="shared" ref="A699:A730" si="164">A698</f>
        <v>Moortgat 2025</v>
      </c>
      <c r="H699">
        <v>343.15</v>
      </c>
      <c r="I699">
        <v>250</v>
      </c>
      <c r="J699">
        <f t="shared" si="158"/>
        <v>0</v>
      </c>
      <c r="K699">
        <v>1.8E-3</v>
      </c>
      <c r="O699" t="s">
        <v>90</v>
      </c>
      <c r="S699">
        <f t="shared" si="159"/>
        <v>1</v>
      </c>
      <c r="T699">
        <f t="shared" si="160"/>
        <v>0</v>
      </c>
      <c r="U699">
        <f t="shared" ref="U699:U730" si="165">U698</f>
        <v>0</v>
      </c>
      <c r="V699">
        <f t="shared" ref="V699:V730" si="166">V698</f>
        <v>1</v>
      </c>
      <c r="W699">
        <f t="shared" si="161"/>
        <v>0</v>
      </c>
      <c r="X699">
        <f t="shared" si="162"/>
        <v>0</v>
      </c>
      <c r="Y699">
        <f t="shared" si="163"/>
        <v>0</v>
      </c>
    </row>
    <row r="700" spans="1:25" hidden="1">
      <c r="A700" t="str">
        <f t="shared" si="164"/>
        <v>Moortgat 2025</v>
      </c>
      <c r="H700">
        <v>343.15</v>
      </c>
      <c r="I700">
        <v>300</v>
      </c>
      <c r="J700">
        <f t="shared" si="158"/>
        <v>0</v>
      </c>
      <c r="K700">
        <v>1.6000000000000001E-3</v>
      </c>
      <c r="O700" t="s">
        <v>90</v>
      </c>
      <c r="S700">
        <f t="shared" si="159"/>
        <v>1</v>
      </c>
      <c r="T700">
        <f t="shared" si="160"/>
        <v>0</v>
      </c>
      <c r="U700">
        <f t="shared" si="165"/>
        <v>0</v>
      </c>
      <c r="V700">
        <f t="shared" si="166"/>
        <v>1</v>
      </c>
      <c r="W700">
        <f t="shared" si="161"/>
        <v>0</v>
      </c>
      <c r="X700">
        <f t="shared" si="162"/>
        <v>0</v>
      </c>
      <c r="Y700">
        <f t="shared" si="163"/>
        <v>0</v>
      </c>
    </row>
    <row r="701" spans="1:25" hidden="1">
      <c r="A701" t="str">
        <f t="shared" si="164"/>
        <v>Moortgat 2025</v>
      </c>
      <c r="H701">
        <v>348.15</v>
      </c>
      <c r="I701">
        <v>25</v>
      </c>
      <c r="J701">
        <f t="shared" si="158"/>
        <v>0</v>
      </c>
      <c r="K701" t="s">
        <v>90</v>
      </c>
      <c r="O701">
        <v>3.3E-3</v>
      </c>
      <c r="S701">
        <f t="shared" si="159"/>
        <v>1</v>
      </c>
      <c r="T701">
        <f t="shared" si="160"/>
        <v>0</v>
      </c>
      <c r="U701">
        <f t="shared" si="165"/>
        <v>0</v>
      </c>
      <c r="V701">
        <f t="shared" si="166"/>
        <v>1</v>
      </c>
      <c r="W701">
        <f t="shared" si="161"/>
        <v>0</v>
      </c>
      <c r="X701">
        <f t="shared" si="162"/>
        <v>0</v>
      </c>
      <c r="Y701">
        <f t="shared" si="163"/>
        <v>0</v>
      </c>
    </row>
    <row r="702" spans="1:25" hidden="1">
      <c r="A702" t="str">
        <f t="shared" si="164"/>
        <v>Moortgat 2025</v>
      </c>
      <c r="H702">
        <v>348.15</v>
      </c>
      <c r="I702">
        <v>51</v>
      </c>
      <c r="J702">
        <f t="shared" si="158"/>
        <v>0</v>
      </c>
      <c r="K702" t="s">
        <v>90</v>
      </c>
      <c r="O702">
        <v>6.6E-3</v>
      </c>
      <c r="S702">
        <f t="shared" si="159"/>
        <v>1</v>
      </c>
      <c r="T702">
        <f t="shared" si="160"/>
        <v>0</v>
      </c>
      <c r="U702">
        <f t="shared" si="165"/>
        <v>0</v>
      </c>
      <c r="V702">
        <f t="shared" si="166"/>
        <v>1</v>
      </c>
      <c r="W702">
        <f t="shared" si="161"/>
        <v>0</v>
      </c>
      <c r="X702">
        <f t="shared" si="162"/>
        <v>0</v>
      </c>
      <c r="Y702">
        <f t="shared" si="163"/>
        <v>0</v>
      </c>
    </row>
    <row r="703" spans="1:25" hidden="1">
      <c r="A703" t="str">
        <f t="shared" si="164"/>
        <v>Moortgat 2025</v>
      </c>
      <c r="H703">
        <v>348.15</v>
      </c>
      <c r="I703">
        <v>100.57</v>
      </c>
      <c r="J703">
        <f t="shared" si="158"/>
        <v>0</v>
      </c>
      <c r="K703" t="s">
        <v>90</v>
      </c>
      <c r="O703">
        <v>1.32E-2</v>
      </c>
      <c r="S703">
        <f t="shared" si="159"/>
        <v>1</v>
      </c>
      <c r="T703">
        <f t="shared" si="160"/>
        <v>0</v>
      </c>
      <c r="U703">
        <f t="shared" si="165"/>
        <v>0</v>
      </c>
      <c r="V703">
        <f t="shared" si="166"/>
        <v>1</v>
      </c>
      <c r="W703">
        <f t="shared" si="161"/>
        <v>0</v>
      </c>
      <c r="X703">
        <f t="shared" si="162"/>
        <v>0</v>
      </c>
      <c r="Y703">
        <f t="shared" si="163"/>
        <v>0</v>
      </c>
    </row>
    <row r="704" spans="1:25" hidden="1">
      <c r="A704" t="str">
        <f t="shared" si="164"/>
        <v>Moortgat 2025</v>
      </c>
      <c r="H704">
        <v>348.15</v>
      </c>
      <c r="I704">
        <v>202.95</v>
      </c>
      <c r="J704">
        <f t="shared" si="158"/>
        <v>0</v>
      </c>
      <c r="K704" t="s">
        <v>90</v>
      </c>
      <c r="O704">
        <v>2.6000000000000002E-2</v>
      </c>
      <c r="S704">
        <f t="shared" si="159"/>
        <v>1</v>
      </c>
      <c r="T704">
        <f t="shared" si="160"/>
        <v>0</v>
      </c>
      <c r="U704">
        <f t="shared" si="165"/>
        <v>0</v>
      </c>
      <c r="V704">
        <f t="shared" si="166"/>
        <v>1</v>
      </c>
      <c r="W704">
        <f t="shared" si="161"/>
        <v>0</v>
      </c>
      <c r="X704">
        <f t="shared" si="162"/>
        <v>0</v>
      </c>
      <c r="Y704">
        <f t="shared" si="163"/>
        <v>0</v>
      </c>
    </row>
    <row r="705" spans="1:25" hidden="1">
      <c r="A705" t="str">
        <f t="shared" si="164"/>
        <v>Moortgat 2025</v>
      </c>
      <c r="H705">
        <v>348.15</v>
      </c>
      <c r="I705">
        <v>405.05</v>
      </c>
      <c r="J705">
        <f t="shared" si="158"/>
        <v>0</v>
      </c>
      <c r="K705" t="s">
        <v>90</v>
      </c>
      <c r="O705">
        <v>5.04E-2</v>
      </c>
      <c r="S705">
        <f t="shared" si="159"/>
        <v>1</v>
      </c>
      <c r="T705">
        <f t="shared" si="160"/>
        <v>0</v>
      </c>
      <c r="U705">
        <f t="shared" si="165"/>
        <v>0</v>
      </c>
      <c r="V705">
        <f t="shared" si="166"/>
        <v>1</v>
      </c>
      <c r="W705">
        <f t="shared" si="161"/>
        <v>0</v>
      </c>
      <c r="X705">
        <f t="shared" si="162"/>
        <v>0</v>
      </c>
      <c r="Y705">
        <f t="shared" si="163"/>
        <v>0</v>
      </c>
    </row>
    <row r="706" spans="1:25" hidden="1">
      <c r="A706" t="str">
        <f t="shared" si="164"/>
        <v>Moortgat 2025</v>
      </c>
      <c r="H706">
        <v>366.48</v>
      </c>
      <c r="I706">
        <v>3.4</v>
      </c>
      <c r="J706">
        <f t="shared" si="158"/>
        <v>0</v>
      </c>
      <c r="K706">
        <v>0.247</v>
      </c>
      <c r="O706">
        <v>4.0000000000000002E-4</v>
      </c>
      <c r="S706">
        <f t="shared" si="159"/>
        <v>1</v>
      </c>
      <c r="T706">
        <f t="shared" si="160"/>
        <v>0</v>
      </c>
      <c r="U706">
        <f t="shared" si="165"/>
        <v>0</v>
      </c>
      <c r="V706">
        <f t="shared" si="166"/>
        <v>1</v>
      </c>
      <c r="W706">
        <f t="shared" si="161"/>
        <v>0</v>
      </c>
      <c r="X706">
        <f t="shared" si="162"/>
        <v>0</v>
      </c>
      <c r="Y706">
        <f t="shared" si="163"/>
        <v>0</v>
      </c>
    </row>
    <row r="707" spans="1:25" hidden="1">
      <c r="A707" t="str">
        <f t="shared" si="164"/>
        <v>Moortgat 2025</v>
      </c>
      <c r="H707">
        <v>366.48</v>
      </c>
      <c r="I707">
        <v>13.8</v>
      </c>
      <c r="J707">
        <f t="shared" si="158"/>
        <v>0</v>
      </c>
      <c r="K707">
        <v>5.7000000000000002E-2</v>
      </c>
      <c r="O707">
        <v>1.9E-3</v>
      </c>
      <c r="S707">
        <f t="shared" si="159"/>
        <v>1</v>
      </c>
      <c r="T707">
        <f t="shared" si="160"/>
        <v>0</v>
      </c>
      <c r="U707">
        <f t="shared" si="165"/>
        <v>0</v>
      </c>
      <c r="V707">
        <f t="shared" si="166"/>
        <v>1</v>
      </c>
      <c r="W707">
        <f t="shared" si="161"/>
        <v>0</v>
      </c>
      <c r="X707">
        <f t="shared" si="162"/>
        <v>0</v>
      </c>
      <c r="Y707">
        <f t="shared" si="163"/>
        <v>0</v>
      </c>
    </row>
    <row r="708" spans="1:25" hidden="1">
      <c r="A708" t="str">
        <f t="shared" si="164"/>
        <v>Moortgat 2025</v>
      </c>
      <c r="H708">
        <v>366.48</v>
      </c>
      <c r="I708">
        <v>27.6</v>
      </c>
      <c r="J708">
        <f t="shared" si="158"/>
        <v>0</v>
      </c>
      <c r="K708">
        <v>3.0800000000000001E-2</v>
      </c>
      <c r="O708">
        <v>3.7000000000000002E-3</v>
      </c>
      <c r="S708">
        <f t="shared" si="159"/>
        <v>1</v>
      </c>
      <c r="T708">
        <f t="shared" si="160"/>
        <v>0</v>
      </c>
      <c r="U708">
        <f t="shared" si="165"/>
        <v>0</v>
      </c>
      <c r="V708">
        <f t="shared" si="166"/>
        <v>1</v>
      </c>
      <c r="W708">
        <f t="shared" si="161"/>
        <v>0</v>
      </c>
      <c r="X708">
        <f t="shared" si="162"/>
        <v>0</v>
      </c>
      <c r="Y708">
        <f t="shared" si="163"/>
        <v>0</v>
      </c>
    </row>
    <row r="709" spans="1:25" hidden="1">
      <c r="A709" t="str">
        <f t="shared" si="164"/>
        <v>Moortgat 2025</v>
      </c>
      <c r="H709">
        <v>366.48</v>
      </c>
      <c r="I709">
        <v>31</v>
      </c>
      <c r="J709">
        <f t="shared" si="158"/>
        <v>0</v>
      </c>
      <c r="K709">
        <v>2.64E-2</v>
      </c>
      <c r="O709">
        <v>4.3E-3</v>
      </c>
      <c r="S709">
        <f t="shared" si="159"/>
        <v>1</v>
      </c>
      <c r="T709">
        <f t="shared" si="160"/>
        <v>0</v>
      </c>
      <c r="U709">
        <f t="shared" si="165"/>
        <v>0</v>
      </c>
      <c r="V709">
        <f t="shared" si="166"/>
        <v>1</v>
      </c>
      <c r="W709">
        <f t="shared" si="161"/>
        <v>0</v>
      </c>
      <c r="X709">
        <f t="shared" si="162"/>
        <v>0</v>
      </c>
      <c r="Y709">
        <f t="shared" si="163"/>
        <v>0</v>
      </c>
    </row>
    <row r="710" spans="1:25" hidden="1">
      <c r="A710" t="str">
        <f t="shared" si="164"/>
        <v>Moortgat 2025</v>
      </c>
      <c r="H710">
        <v>366.48</v>
      </c>
      <c r="I710">
        <v>55.13</v>
      </c>
      <c r="J710">
        <f t="shared" si="158"/>
        <v>0</v>
      </c>
      <c r="K710">
        <v>1.6299999999999999E-2</v>
      </c>
      <c r="O710">
        <v>7.4999999999999997E-3</v>
      </c>
      <c r="S710">
        <f t="shared" si="159"/>
        <v>1</v>
      </c>
      <c r="T710">
        <f t="shared" si="160"/>
        <v>0</v>
      </c>
      <c r="U710">
        <f t="shared" si="165"/>
        <v>0</v>
      </c>
      <c r="V710">
        <f t="shared" si="166"/>
        <v>1</v>
      </c>
      <c r="W710">
        <f t="shared" si="161"/>
        <v>0</v>
      </c>
      <c r="X710">
        <f t="shared" si="162"/>
        <v>0</v>
      </c>
      <c r="Y710">
        <f t="shared" si="163"/>
        <v>0</v>
      </c>
    </row>
    <row r="711" spans="1:25" hidden="1">
      <c r="A711" t="str">
        <f t="shared" si="164"/>
        <v>Moortgat 2025</v>
      </c>
      <c r="H711">
        <v>366.48</v>
      </c>
      <c r="I711">
        <v>65.5</v>
      </c>
      <c r="J711">
        <f t="shared" si="158"/>
        <v>0</v>
      </c>
      <c r="K711">
        <v>1.32E-2</v>
      </c>
      <c r="O711">
        <v>8.8999999999999999E-3</v>
      </c>
      <c r="S711">
        <f t="shared" si="159"/>
        <v>1</v>
      </c>
      <c r="T711">
        <f t="shared" si="160"/>
        <v>0</v>
      </c>
      <c r="U711">
        <f t="shared" si="165"/>
        <v>0</v>
      </c>
      <c r="V711">
        <f t="shared" si="166"/>
        <v>1</v>
      </c>
      <c r="W711">
        <f t="shared" si="161"/>
        <v>0</v>
      </c>
      <c r="X711">
        <f t="shared" si="162"/>
        <v>0</v>
      </c>
      <c r="Y711">
        <f t="shared" si="163"/>
        <v>0</v>
      </c>
    </row>
    <row r="712" spans="1:25" hidden="1">
      <c r="A712" t="str">
        <f t="shared" si="164"/>
        <v>Moortgat 2025</v>
      </c>
      <c r="H712">
        <v>366.48</v>
      </c>
      <c r="I712">
        <v>110.3</v>
      </c>
      <c r="J712">
        <f t="shared" si="158"/>
        <v>0</v>
      </c>
      <c r="K712">
        <v>6.5000000000000006E-3</v>
      </c>
      <c r="O712">
        <v>1.4999999999999999E-2</v>
      </c>
      <c r="S712">
        <f t="shared" si="159"/>
        <v>1</v>
      </c>
      <c r="T712">
        <f t="shared" si="160"/>
        <v>0</v>
      </c>
      <c r="U712">
        <f t="shared" si="165"/>
        <v>0</v>
      </c>
      <c r="V712">
        <f t="shared" si="166"/>
        <v>1</v>
      </c>
      <c r="W712">
        <f t="shared" si="161"/>
        <v>0</v>
      </c>
      <c r="X712">
        <f t="shared" si="162"/>
        <v>0</v>
      </c>
      <c r="Y712">
        <f t="shared" si="163"/>
        <v>0</v>
      </c>
    </row>
    <row r="713" spans="1:25" hidden="1">
      <c r="A713" t="str">
        <f t="shared" si="164"/>
        <v>Moortgat 2025</v>
      </c>
      <c r="H713">
        <v>366.48</v>
      </c>
      <c r="I713">
        <v>137.9</v>
      </c>
      <c r="J713">
        <f t="shared" si="158"/>
        <v>0</v>
      </c>
      <c r="K713">
        <v>6.7000000000000002E-3</v>
      </c>
      <c r="O713">
        <v>1.84E-2</v>
      </c>
      <c r="S713">
        <f t="shared" si="159"/>
        <v>1</v>
      </c>
      <c r="T713">
        <f t="shared" si="160"/>
        <v>0</v>
      </c>
      <c r="U713">
        <f t="shared" si="165"/>
        <v>0</v>
      </c>
      <c r="V713">
        <f t="shared" si="166"/>
        <v>1</v>
      </c>
      <c r="W713">
        <f t="shared" si="161"/>
        <v>0</v>
      </c>
      <c r="X713">
        <f t="shared" si="162"/>
        <v>0</v>
      </c>
      <c r="Y713">
        <f t="shared" si="163"/>
        <v>0</v>
      </c>
    </row>
    <row r="714" spans="1:25" hidden="1">
      <c r="A714" t="str">
        <f t="shared" si="164"/>
        <v>Moortgat 2025</v>
      </c>
      <c r="H714">
        <v>373.15</v>
      </c>
      <c r="I714">
        <v>21</v>
      </c>
      <c r="J714">
        <f t="shared" si="158"/>
        <v>0</v>
      </c>
      <c r="K714" t="s">
        <v>90</v>
      </c>
      <c r="O714">
        <v>3.0000000000000001E-3</v>
      </c>
      <c r="S714">
        <f t="shared" si="159"/>
        <v>1</v>
      </c>
      <c r="T714">
        <f t="shared" si="160"/>
        <v>0</v>
      </c>
      <c r="U714">
        <f t="shared" si="165"/>
        <v>0</v>
      </c>
      <c r="V714">
        <f t="shared" si="166"/>
        <v>1</v>
      </c>
      <c r="W714">
        <f t="shared" si="161"/>
        <v>0</v>
      </c>
      <c r="X714">
        <f t="shared" si="162"/>
        <v>0</v>
      </c>
      <c r="Y714">
        <f t="shared" si="163"/>
        <v>0</v>
      </c>
    </row>
    <row r="715" spans="1:25" hidden="1">
      <c r="A715" t="str">
        <f t="shared" si="164"/>
        <v>Moortgat 2025</v>
      </c>
      <c r="H715">
        <v>373.15</v>
      </c>
      <c r="I715">
        <v>25</v>
      </c>
      <c r="J715">
        <f t="shared" si="158"/>
        <v>0</v>
      </c>
      <c r="K715" t="s">
        <v>90</v>
      </c>
      <c r="O715">
        <v>3.7000000000000002E-3</v>
      </c>
      <c r="S715">
        <f t="shared" si="159"/>
        <v>1</v>
      </c>
      <c r="T715">
        <f t="shared" si="160"/>
        <v>0</v>
      </c>
      <c r="U715">
        <f t="shared" si="165"/>
        <v>0</v>
      </c>
      <c r="V715">
        <f t="shared" si="166"/>
        <v>1</v>
      </c>
      <c r="W715">
        <f t="shared" si="161"/>
        <v>0</v>
      </c>
      <c r="X715">
        <f t="shared" si="162"/>
        <v>0</v>
      </c>
      <c r="Y715">
        <f t="shared" si="163"/>
        <v>0</v>
      </c>
    </row>
    <row r="716" spans="1:25" hidden="1">
      <c r="A716" t="str">
        <f t="shared" si="164"/>
        <v>Moortgat 2025</v>
      </c>
      <c r="H716">
        <v>373.15</v>
      </c>
      <c r="I716">
        <v>31</v>
      </c>
      <c r="J716">
        <f t="shared" si="158"/>
        <v>0</v>
      </c>
      <c r="K716" t="s">
        <v>90</v>
      </c>
      <c r="O716">
        <v>4.5000000000000005E-3</v>
      </c>
      <c r="S716">
        <f t="shared" si="159"/>
        <v>1</v>
      </c>
      <c r="T716">
        <f t="shared" si="160"/>
        <v>0</v>
      </c>
      <c r="U716">
        <f t="shared" si="165"/>
        <v>0</v>
      </c>
      <c r="V716">
        <f t="shared" si="166"/>
        <v>1</v>
      </c>
      <c r="W716">
        <f t="shared" si="161"/>
        <v>0</v>
      </c>
      <c r="X716">
        <f t="shared" si="162"/>
        <v>0</v>
      </c>
      <c r="Y716">
        <f t="shared" si="163"/>
        <v>0</v>
      </c>
    </row>
    <row r="717" spans="1:25" hidden="1">
      <c r="A717" t="str">
        <f t="shared" si="164"/>
        <v>Moortgat 2025</v>
      </c>
      <c r="H717">
        <v>373.15</v>
      </c>
      <c r="I717">
        <v>42</v>
      </c>
      <c r="J717">
        <f t="shared" si="158"/>
        <v>0</v>
      </c>
      <c r="K717" t="s">
        <v>90</v>
      </c>
      <c r="O717">
        <v>5.6000000000000008E-3</v>
      </c>
      <c r="S717">
        <f t="shared" si="159"/>
        <v>1</v>
      </c>
      <c r="T717">
        <f t="shared" si="160"/>
        <v>0</v>
      </c>
      <c r="U717">
        <f t="shared" si="165"/>
        <v>0</v>
      </c>
      <c r="V717">
        <f t="shared" si="166"/>
        <v>1</v>
      </c>
      <c r="W717">
        <f t="shared" si="161"/>
        <v>0</v>
      </c>
      <c r="X717">
        <f t="shared" si="162"/>
        <v>0</v>
      </c>
      <c r="Y717">
        <f t="shared" si="163"/>
        <v>0</v>
      </c>
    </row>
    <row r="718" spans="1:25" hidden="1">
      <c r="A718" t="str">
        <f t="shared" si="164"/>
        <v>Moortgat 2025</v>
      </c>
      <c r="H718">
        <v>373.15</v>
      </c>
      <c r="I718">
        <v>51</v>
      </c>
      <c r="J718">
        <f t="shared" si="158"/>
        <v>0</v>
      </c>
      <c r="K718" t="s">
        <v>90</v>
      </c>
      <c r="O718">
        <v>7.3000000000000001E-3</v>
      </c>
      <c r="S718">
        <f t="shared" si="159"/>
        <v>1</v>
      </c>
      <c r="T718">
        <f t="shared" si="160"/>
        <v>0</v>
      </c>
      <c r="U718">
        <f t="shared" si="165"/>
        <v>0</v>
      </c>
      <c r="V718">
        <f t="shared" si="166"/>
        <v>1</v>
      </c>
      <c r="W718">
        <f t="shared" si="161"/>
        <v>0</v>
      </c>
      <c r="X718">
        <f t="shared" si="162"/>
        <v>0</v>
      </c>
      <c r="Y718">
        <f t="shared" si="163"/>
        <v>0</v>
      </c>
    </row>
    <row r="719" spans="1:25" hidden="1">
      <c r="A719" t="str">
        <f t="shared" si="164"/>
        <v>Moortgat 2025</v>
      </c>
      <c r="H719">
        <v>373.15</v>
      </c>
      <c r="I719">
        <v>57</v>
      </c>
      <c r="J719">
        <f t="shared" si="158"/>
        <v>0</v>
      </c>
      <c r="K719" t="s">
        <v>90</v>
      </c>
      <c r="O719">
        <v>8.199999999999999E-3</v>
      </c>
      <c r="S719">
        <f t="shared" si="159"/>
        <v>1</v>
      </c>
      <c r="T719">
        <f t="shared" si="160"/>
        <v>0</v>
      </c>
      <c r="U719">
        <f t="shared" si="165"/>
        <v>0</v>
      </c>
      <c r="V719">
        <f t="shared" si="166"/>
        <v>1</v>
      </c>
      <c r="W719">
        <f t="shared" si="161"/>
        <v>0</v>
      </c>
      <c r="X719">
        <f t="shared" si="162"/>
        <v>0</v>
      </c>
      <c r="Y719">
        <f t="shared" si="163"/>
        <v>0</v>
      </c>
    </row>
    <row r="720" spans="1:25" hidden="1">
      <c r="A720" t="str">
        <f t="shared" si="164"/>
        <v>Moortgat 2025</v>
      </c>
      <c r="H720">
        <v>373.15</v>
      </c>
      <c r="I720">
        <v>62</v>
      </c>
      <c r="J720">
        <f t="shared" si="158"/>
        <v>0</v>
      </c>
      <c r="K720" t="s">
        <v>90</v>
      </c>
      <c r="O720">
        <v>8.199999999999999E-3</v>
      </c>
      <c r="S720">
        <f t="shared" si="159"/>
        <v>1</v>
      </c>
      <c r="T720">
        <f t="shared" si="160"/>
        <v>0</v>
      </c>
      <c r="U720">
        <f t="shared" si="165"/>
        <v>0</v>
      </c>
      <c r="V720">
        <f t="shared" si="166"/>
        <v>1</v>
      </c>
      <c r="W720">
        <f t="shared" si="161"/>
        <v>0</v>
      </c>
      <c r="X720">
        <f t="shared" si="162"/>
        <v>0</v>
      </c>
      <c r="Y720">
        <f t="shared" si="163"/>
        <v>0</v>
      </c>
    </row>
    <row r="721" spans="1:25" hidden="1">
      <c r="A721" t="str">
        <f t="shared" si="164"/>
        <v>Moortgat 2025</v>
      </c>
      <c r="H721">
        <v>373.15</v>
      </c>
      <c r="I721">
        <v>82</v>
      </c>
      <c r="J721">
        <f t="shared" si="158"/>
        <v>0</v>
      </c>
      <c r="K721" t="s">
        <v>90</v>
      </c>
      <c r="O721">
        <v>1.0800000000000001E-2</v>
      </c>
      <c r="S721">
        <f t="shared" si="159"/>
        <v>1</v>
      </c>
      <c r="T721">
        <f t="shared" si="160"/>
        <v>0</v>
      </c>
      <c r="U721">
        <f t="shared" si="165"/>
        <v>0</v>
      </c>
      <c r="V721">
        <f t="shared" si="166"/>
        <v>1</v>
      </c>
      <c r="W721">
        <f t="shared" si="161"/>
        <v>0</v>
      </c>
      <c r="X721">
        <f t="shared" si="162"/>
        <v>0</v>
      </c>
      <c r="Y721">
        <f t="shared" si="163"/>
        <v>0</v>
      </c>
    </row>
    <row r="722" spans="1:25" hidden="1">
      <c r="A722" t="str">
        <f t="shared" si="164"/>
        <v>Moortgat 2025</v>
      </c>
      <c r="H722">
        <v>373.15</v>
      </c>
      <c r="I722">
        <v>100.57</v>
      </c>
      <c r="J722">
        <f t="shared" si="158"/>
        <v>0</v>
      </c>
      <c r="K722" t="s">
        <v>90</v>
      </c>
      <c r="O722">
        <v>1.4499999999999999E-2</v>
      </c>
      <c r="S722">
        <f t="shared" si="159"/>
        <v>1</v>
      </c>
      <c r="T722">
        <f t="shared" si="160"/>
        <v>0</v>
      </c>
      <c r="U722">
        <f t="shared" si="165"/>
        <v>0</v>
      </c>
      <c r="V722">
        <f t="shared" si="166"/>
        <v>1</v>
      </c>
      <c r="W722">
        <f t="shared" si="161"/>
        <v>0</v>
      </c>
      <c r="X722">
        <f t="shared" si="162"/>
        <v>0</v>
      </c>
      <c r="Y722">
        <f t="shared" si="163"/>
        <v>0</v>
      </c>
    </row>
    <row r="723" spans="1:25" hidden="1">
      <c r="A723" t="str">
        <f t="shared" si="164"/>
        <v>Moortgat 2025</v>
      </c>
      <c r="H723">
        <v>373.15</v>
      </c>
      <c r="I723">
        <v>102</v>
      </c>
      <c r="J723">
        <f t="shared" si="158"/>
        <v>0</v>
      </c>
      <c r="K723" t="s">
        <v>90</v>
      </c>
      <c r="O723">
        <v>1.32E-2</v>
      </c>
      <c r="S723">
        <f t="shared" si="159"/>
        <v>1</v>
      </c>
      <c r="T723">
        <f t="shared" si="160"/>
        <v>0</v>
      </c>
      <c r="U723">
        <f t="shared" si="165"/>
        <v>0</v>
      </c>
      <c r="V723">
        <f t="shared" si="166"/>
        <v>1</v>
      </c>
      <c r="W723">
        <f t="shared" si="161"/>
        <v>0</v>
      </c>
      <c r="X723">
        <f t="shared" si="162"/>
        <v>0</v>
      </c>
      <c r="Y723">
        <f t="shared" si="163"/>
        <v>0</v>
      </c>
    </row>
    <row r="724" spans="1:25" hidden="1">
      <c r="A724" t="str">
        <f t="shared" si="164"/>
        <v>Moortgat 2025</v>
      </c>
      <c r="H724">
        <v>373.15</v>
      </c>
      <c r="I724">
        <v>120.9</v>
      </c>
      <c r="J724">
        <f t="shared" si="158"/>
        <v>0</v>
      </c>
      <c r="K724" t="s">
        <v>90</v>
      </c>
      <c r="O724">
        <v>1.7500000000000002E-2</v>
      </c>
      <c r="S724">
        <f t="shared" si="159"/>
        <v>1</v>
      </c>
      <c r="T724">
        <f t="shared" si="160"/>
        <v>0</v>
      </c>
      <c r="U724">
        <f t="shared" si="165"/>
        <v>0</v>
      </c>
      <c r="V724">
        <f t="shared" si="166"/>
        <v>1</v>
      </c>
      <c r="W724">
        <f t="shared" si="161"/>
        <v>0</v>
      </c>
      <c r="X724">
        <f t="shared" si="162"/>
        <v>0</v>
      </c>
      <c r="Y724">
        <f t="shared" si="163"/>
        <v>0</v>
      </c>
    </row>
    <row r="725" spans="1:25" hidden="1">
      <c r="A725" t="str">
        <f t="shared" si="164"/>
        <v>Moortgat 2025</v>
      </c>
      <c r="H725">
        <v>373.15</v>
      </c>
      <c r="I725">
        <v>153.69999999999999</v>
      </c>
      <c r="J725">
        <f t="shared" si="158"/>
        <v>0</v>
      </c>
      <c r="K725" t="s">
        <v>90</v>
      </c>
      <c r="O725">
        <v>2.23E-2</v>
      </c>
      <c r="S725">
        <f t="shared" si="159"/>
        <v>1</v>
      </c>
      <c r="T725">
        <f t="shared" si="160"/>
        <v>0</v>
      </c>
      <c r="U725">
        <f t="shared" si="165"/>
        <v>0</v>
      </c>
      <c r="V725">
        <f t="shared" si="166"/>
        <v>1</v>
      </c>
      <c r="W725">
        <f t="shared" si="161"/>
        <v>0</v>
      </c>
      <c r="X725">
        <f t="shared" si="162"/>
        <v>0</v>
      </c>
      <c r="Y725">
        <f t="shared" si="163"/>
        <v>0</v>
      </c>
    </row>
    <row r="726" spans="1:25" hidden="1">
      <c r="A726" t="str">
        <f t="shared" si="164"/>
        <v>Moortgat 2025</v>
      </c>
      <c r="H726">
        <v>373.15</v>
      </c>
      <c r="I726">
        <v>202.95</v>
      </c>
      <c r="J726">
        <f t="shared" si="158"/>
        <v>0</v>
      </c>
      <c r="K726" t="s">
        <v>90</v>
      </c>
      <c r="O726">
        <v>2.8500000000000001E-2</v>
      </c>
      <c r="S726">
        <f t="shared" si="159"/>
        <v>1</v>
      </c>
      <c r="T726">
        <f t="shared" si="160"/>
        <v>0</v>
      </c>
      <c r="U726">
        <f t="shared" si="165"/>
        <v>0</v>
      </c>
      <c r="V726">
        <f t="shared" si="166"/>
        <v>1</v>
      </c>
      <c r="W726">
        <f t="shared" si="161"/>
        <v>0</v>
      </c>
      <c r="X726">
        <f t="shared" si="162"/>
        <v>0</v>
      </c>
      <c r="Y726">
        <f t="shared" si="163"/>
        <v>0</v>
      </c>
    </row>
    <row r="727" spans="1:25" hidden="1">
      <c r="A727" t="str">
        <f t="shared" si="164"/>
        <v>Moortgat 2025</v>
      </c>
      <c r="H727">
        <v>373.15</v>
      </c>
      <c r="I727">
        <v>405.05</v>
      </c>
      <c r="J727">
        <f t="shared" si="158"/>
        <v>0</v>
      </c>
      <c r="K727" t="s">
        <v>90</v>
      </c>
      <c r="O727">
        <v>5.4600000000000003E-2</v>
      </c>
      <c r="S727">
        <f t="shared" si="159"/>
        <v>1</v>
      </c>
      <c r="T727">
        <f t="shared" si="160"/>
        <v>0</v>
      </c>
      <c r="U727">
        <f t="shared" si="165"/>
        <v>0</v>
      </c>
      <c r="V727">
        <f t="shared" si="166"/>
        <v>1</v>
      </c>
      <c r="W727">
        <f t="shared" si="161"/>
        <v>0</v>
      </c>
      <c r="X727">
        <f t="shared" si="162"/>
        <v>0</v>
      </c>
      <c r="Y727">
        <f t="shared" si="163"/>
        <v>0</v>
      </c>
    </row>
    <row r="728" spans="1:25" hidden="1">
      <c r="A728" t="str">
        <f t="shared" si="164"/>
        <v>Moortgat 2025</v>
      </c>
      <c r="H728">
        <v>398.15</v>
      </c>
      <c r="I728">
        <v>23</v>
      </c>
      <c r="J728">
        <f t="shared" si="158"/>
        <v>0</v>
      </c>
      <c r="K728" t="s">
        <v>90</v>
      </c>
      <c r="O728">
        <v>3.4000000000000002E-3</v>
      </c>
      <c r="S728">
        <f t="shared" si="159"/>
        <v>1</v>
      </c>
      <c r="T728">
        <f t="shared" si="160"/>
        <v>0</v>
      </c>
      <c r="U728">
        <f t="shared" si="165"/>
        <v>0</v>
      </c>
      <c r="V728">
        <f t="shared" si="166"/>
        <v>1</v>
      </c>
      <c r="W728">
        <f t="shared" si="161"/>
        <v>0</v>
      </c>
      <c r="X728">
        <f t="shared" si="162"/>
        <v>0</v>
      </c>
      <c r="Y728">
        <f t="shared" si="163"/>
        <v>0</v>
      </c>
    </row>
    <row r="729" spans="1:25" hidden="1">
      <c r="A729" t="str">
        <f t="shared" si="164"/>
        <v>Moortgat 2025</v>
      </c>
      <c r="H729">
        <v>398.15</v>
      </c>
      <c r="I729">
        <v>33</v>
      </c>
      <c r="J729">
        <f t="shared" si="158"/>
        <v>0</v>
      </c>
      <c r="K729" t="s">
        <v>90</v>
      </c>
      <c r="O729">
        <v>5.0000000000000001E-3</v>
      </c>
      <c r="S729">
        <f t="shared" si="159"/>
        <v>1</v>
      </c>
      <c r="T729">
        <f t="shared" si="160"/>
        <v>0</v>
      </c>
      <c r="U729">
        <f t="shared" si="165"/>
        <v>0</v>
      </c>
      <c r="V729">
        <f t="shared" si="166"/>
        <v>1</v>
      </c>
      <c r="W729">
        <f t="shared" si="161"/>
        <v>0</v>
      </c>
      <c r="X729">
        <f t="shared" si="162"/>
        <v>0</v>
      </c>
      <c r="Y729">
        <f t="shared" si="163"/>
        <v>0</v>
      </c>
    </row>
    <row r="730" spans="1:25" hidden="1">
      <c r="A730" t="str">
        <f t="shared" si="164"/>
        <v>Moortgat 2025</v>
      </c>
      <c r="H730">
        <v>398.15</v>
      </c>
      <c r="I730">
        <v>43</v>
      </c>
      <c r="J730">
        <f t="shared" ref="J730:J754" si="167">J729</f>
        <v>0</v>
      </c>
      <c r="K730" t="s">
        <v>90</v>
      </c>
      <c r="O730">
        <v>6.5000000000000006E-3</v>
      </c>
      <c r="S730">
        <f t="shared" ref="S730:S754" si="168">S729</f>
        <v>1</v>
      </c>
      <c r="T730">
        <f t="shared" ref="T730:T754" si="169">T729</f>
        <v>0</v>
      </c>
      <c r="U730">
        <f t="shared" si="165"/>
        <v>0</v>
      </c>
      <c r="V730">
        <f t="shared" si="166"/>
        <v>1</v>
      </c>
      <c r="W730">
        <f t="shared" ref="W730:W754" si="170">W729</f>
        <v>0</v>
      </c>
      <c r="X730">
        <f t="shared" ref="X730:X754" si="171">X729</f>
        <v>0</v>
      </c>
      <c r="Y730">
        <f t="shared" ref="Y730:Y754" si="172">Y729</f>
        <v>0</v>
      </c>
    </row>
    <row r="731" spans="1:25" hidden="1">
      <c r="A731" t="str">
        <f t="shared" ref="A731:A762" si="173">A730</f>
        <v>Moortgat 2025</v>
      </c>
      <c r="H731">
        <v>398.15</v>
      </c>
      <c r="I731">
        <v>51.96</v>
      </c>
      <c r="J731">
        <f t="shared" si="167"/>
        <v>0</v>
      </c>
      <c r="K731" t="s">
        <v>90</v>
      </c>
      <c r="O731">
        <v>7.1999999999999998E-3</v>
      </c>
      <c r="S731">
        <f t="shared" si="168"/>
        <v>1</v>
      </c>
      <c r="T731">
        <f t="shared" si="169"/>
        <v>0</v>
      </c>
      <c r="U731">
        <f t="shared" ref="U731:U754" si="174">U730</f>
        <v>0</v>
      </c>
      <c r="V731">
        <f t="shared" ref="V731:V754" si="175">V730</f>
        <v>1</v>
      </c>
      <c r="W731">
        <f t="shared" si="170"/>
        <v>0</v>
      </c>
      <c r="X731">
        <f t="shared" si="171"/>
        <v>0</v>
      </c>
      <c r="Y731">
        <f t="shared" si="172"/>
        <v>0</v>
      </c>
    </row>
    <row r="732" spans="1:25" hidden="1">
      <c r="A732" t="str">
        <f t="shared" si="173"/>
        <v>Moortgat 2025</v>
      </c>
      <c r="H732">
        <v>398.15</v>
      </c>
      <c r="I732">
        <v>63</v>
      </c>
      <c r="J732">
        <f t="shared" si="167"/>
        <v>0</v>
      </c>
      <c r="K732" t="s">
        <v>90</v>
      </c>
      <c r="O732">
        <v>9.300000000000001E-3</v>
      </c>
      <c r="S732">
        <f t="shared" si="168"/>
        <v>1</v>
      </c>
      <c r="T732">
        <f t="shared" si="169"/>
        <v>0</v>
      </c>
      <c r="U732">
        <f t="shared" si="174"/>
        <v>0</v>
      </c>
      <c r="V732">
        <f t="shared" si="175"/>
        <v>1</v>
      </c>
      <c r="W732">
        <f t="shared" si="170"/>
        <v>0</v>
      </c>
      <c r="X732">
        <f t="shared" si="171"/>
        <v>0</v>
      </c>
      <c r="Y732">
        <f t="shared" si="172"/>
        <v>0</v>
      </c>
    </row>
    <row r="733" spans="1:25" hidden="1">
      <c r="A733" t="str">
        <f t="shared" si="173"/>
        <v>Moortgat 2025</v>
      </c>
      <c r="H733">
        <v>398.15</v>
      </c>
      <c r="I733">
        <v>82</v>
      </c>
      <c r="J733">
        <f t="shared" si="167"/>
        <v>0</v>
      </c>
      <c r="K733" t="s">
        <v>90</v>
      </c>
      <c r="O733">
        <v>1.1299999999999999E-2</v>
      </c>
      <c r="S733">
        <f t="shared" si="168"/>
        <v>1</v>
      </c>
      <c r="T733">
        <f t="shared" si="169"/>
        <v>0</v>
      </c>
      <c r="U733">
        <f t="shared" si="174"/>
        <v>0</v>
      </c>
      <c r="V733">
        <f t="shared" si="175"/>
        <v>1</v>
      </c>
      <c r="W733">
        <f t="shared" si="170"/>
        <v>0</v>
      </c>
      <c r="X733">
        <f t="shared" si="171"/>
        <v>0</v>
      </c>
      <c r="Y733">
        <f t="shared" si="172"/>
        <v>0</v>
      </c>
    </row>
    <row r="734" spans="1:25" hidden="1">
      <c r="A734" t="str">
        <f t="shared" si="173"/>
        <v>Moortgat 2025</v>
      </c>
      <c r="H734">
        <v>398.15</v>
      </c>
      <c r="I734">
        <v>83</v>
      </c>
      <c r="J734">
        <f t="shared" si="167"/>
        <v>0</v>
      </c>
      <c r="K734" t="s">
        <v>90</v>
      </c>
      <c r="O734">
        <v>1.21E-2</v>
      </c>
      <c r="S734">
        <f t="shared" si="168"/>
        <v>1</v>
      </c>
      <c r="T734">
        <f t="shared" si="169"/>
        <v>0</v>
      </c>
      <c r="U734">
        <f t="shared" si="174"/>
        <v>0</v>
      </c>
      <c r="V734">
        <f t="shared" si="175"/>
        <v>1</v>
      </c>
      <c r="W734">
        <f t="shared" si="170"/>
        <v>0</v>
      </c>
      <c r="X734">
        <f t="shared" si="171"/>
        <v>0</v>
      </c>
      <c r="Y734">
        <f t="shared" si="172"/>
        <v>0</v>
      </c>
    </row>
    <row r="735" spans="1:25" hidden="1">
      <c r="A735" t="str">
        <f t="shared" si="173"/>
        <v>Moortgat 2025</v>
      </c>
      <c r="H735">
        <v>398.15</v>
      </c>
      <c r="I735">
        <v>87.05</v>
      </c>
      <c r="J735">
        <f t="shared" si="167"/>
        <v>0</v>
      </c>
      <c r="K735" t="s">
        <v>90</v>
      </c>
      <c r="O735">
        <v>1.21E-2</v>
      </c>
      <c r="S735">
        <f t="shared" si="168"/>
        <v>1</v>
      </c>
      <c r="T735">
        <f t="shared" si="169"/>
        <v>0</v>
      </c>
      <c r="U735">
        <f t="shared" si="174"/>
        <v>0</v>
      </c>
      <c r="V735">
        <f t="shared" si="175"/>
        <v>1</v>
      </c>
      <c r="W735">
        <f t="shared" si="170"/>
        <v>0</v>
      </c>
      <c r="X735">
        <f t="shared" si="171"/>
        <v>0</v>
      </c>
      <c r="Y735">
        <f t="shared" si="172"/>
        <v>0</v>
      </c>
    </row>
    <row r="736" spans="1:25" hidden="1">
      <c r="A736" t="str">
        <f t="shared" si="173"/>
        <v>Moortgat 2025</v>
      </c>
      <c r="H736">
        <v>398.15</v>
      </c>
      <c r="I736">
        <v>102</v>
      </c>
      <c r="J736">
        <f t="shared" si="167"/>
        <v>0</v>
      </c>
      <c r="K736" t="s">
        <v>90</v>
      </c>
      <c r="O736">
        <v>1.43E-2</v>
      </c>
      <c r="S736">
        <f t="shared" si="168"/>
        <v>1</v>
      </c>
      <c r="T736">
        <f t="shared" si="169"/>
        <v>0</v>
      </c>
      <c r="U736">
        <f t="shared" si="174"/>
        <v>0</v>
      </c>
      <c r="V736">
        <f t="shared" si="175"/>
        <v>1</v>
      </c>
      <c r="W736">
        <f t="shared" si="170"/>
        <v>0</v>
      </c>
      <c r="X736">
        <f t="shared" si="171"/>
        <v>0</v>
      </c>
      <c r="Y736">
        <f t="shared" si="172"/>
        <v>0</v>
      </c>
    </row>
    <row r="737" spans="1:25" hidden="1">
      <c r="A737" t="str">
        <f t="shared" si="173"/>
        <v>Moortgat 2025</v>
      </c>
      <c r="H737">
        <v>422.89</v>
      </c>
      <c r="I737">
        <v>21</v>
      </c>
      <c r="J737">
        <f t="shared" si="167"/>
        <v>0</v>
      </c>
      <c r="K737" t="s">
        <v>90</v>
      </c>
      <c r="O737">
        <v>3.3E-3</v>
      </c>
      <c r="S737">
        <f t="shared" si="168"/>
        <v>1</v>
      </c>
      <c r="T737">
        <f t="shared" si="169"/>
        <v>0</v>
      </c>
      <c r="U737">
        <f t="shared" si="174"/>
        <v>0</v>
      </c>
      <c r="V737">
        <f t="shared" si="175"/>
        <v>1</v>
      </c>
      <c r="W737">
        <f t="shared" si="170"/>
        <v>0</v>
      </c>
      <c r="X737">
        <f t="shared" si="171"/>
        <v>0</v>
      </c>
      <c r="Y737">
        <f t="shared" si="172"/>
        <v>0</v>
      </c>
    </row>
    <row r="738" spans="1:25" hidden="1">
      <c r="A738" t="str">
        <f t="shared" si="173"/>
        <v>Moortgat 2025</v>
      </c>
      <c r="H738">
        <v>422.89</v>
      </c>
      <c r="I738">
        <v>30</v>
      </c>
      <c r="J738">
        <f t="shared" si="167"/>
        <v>0</v>
      </c>
      <c r="K738" t="s">
        <v>90</v>
      </c>
      <c r="O738">
        <v>5.0000000000000001E-3</v>
      </c>
      <c r="S738">
        <f t="shared" si="168"/>
        <v>1</v>
      </c>
      <c r="T738">
        <f t="shared" si="169"/>
        <v>0</v>
      </c>
      <c r="U738">
        <f t="shared" si="174"/>
        <v>0</v>
      </c>
      <c r="V738">
        <f t="shared" si="175"/>
        <v>1</v>
      </c>
      <c r="W738">
        <f t="shared" si="170"/>
        <v>0</v>
      </c>
      <c r="X738">
        <f t="shared" si="171"/>
        <v>0</v>
      </c>
      <c r="Y738">
        <f t="shared" si="172"/>
        <v>0</v>
      </c>
    </row>
    <row r="739" spans="1:25" hidden="1">
      <c r="A739" t="str">
        <f t="shared" si="173"/>
        <v>Moortgat 2025</v>
      </c>
      <c r="H739">
        <v>422.89</v>
      </c>
      <c r="I739">
        <v>31</v>
      </c>
      <c r="J739">
        <f t="shared" si="167"/>
        <v>0</v>
      </c>
      <c r="K739">
        <v>0.157</v>
      </c>
      <c r="O739">
        <v>4.6999999999999993E-3</v>
      </c>
      <c r="S739">
        <f t="shared" si="168"/>
        <v>1</v>
      </c>
      <c r="T739">
        <f t="shared" si="169"/>
        <v>0</v>
      </c>
      <c r="U739">
        <f t="shared" si="174"/>
        <v>0</v>
      </c>
      <c r="V739">
        <f t="shared" si="175"/>
        <v>1</v>
      </c>
      <c r="W739">
        <f t="shared" si="170"/>
        <v>0</v>
      </c>
      <c r="X739">
        <f t="shared" si="171"/>
        <v>0</v>
      </c>
      <c r="Y739">
        <f t="shared" si="172"/>
        <v>0</v>
      </c>
    </row>
    <row r="740" spans="1:25" hidden="1">
      <c r="A740" t="str">
        <f t="shared" si="173"/>
        <v>Moortgat 2025</v>
      </c>
      <c r="H740">
        <v>422.89</v>
      </c>
      <c r="I740">
        <v>40</v>
      </c>
      <c r="J740">
        <f t="shared" si="167"/>
        <v>0</v>
      </c>
      <c r="K740" t="s">
        <v>90</v>
      </c>
      <c r="O740">
        <v>6.6E-3</v>
      </c>
      <c r="S740">
        <f t="shared" si="168"/>
        <v>1</v>
      </c>
      <c r="T740">
        <f t="shared" si="169"/>
        <v>0</v>
      </c>
      <c r="U740">
        <f t="shared" si="174"/>
        <v>0</v>
      </c>
      <c r="V740">
        <f t="shared" si="175"/>
        <v>1</v>
      </c>
      <c r="W740">
        <f t="shared" si="170"/>
        <v>0</v>
      </c>
      <c r="X740">
        <f t="shared" si="171"/>
        <v>0</v>
      </c>
      <c r="Y740">
        <f t="shared" si="172"/>
        <v>0</v>
      </c>
    </row>
    <row r="741" spans="1:25" hidden="1">
      <c r="A741" t="str">
        <f t="shared" si="173"/>
        <v>Moortgat 2025</v>
      </c>
      <c r="H741">
        <v>422.89</v>
      </c>
      <c r="I741">
        <v>42</v>
      </c>
      <c r="J741">
        <f t="shared" si="167"/>
        <v>0</v>
      </c>
      <c r="K741" t="s">
        <v>90</v>
      </c>
      <c r="O741">
        <v>6.0000000000000001E-3</v>
      </c>
      <c r="S741">
        <f t="shared" si="168"/>
        <v>1</v>
      </c>
      <c r="T741">
        <f t="shared" si="169"/>
        <v>0</v>
      </c>
      <c r="U741">
        <f t="shared" si="174"/>
        <v>0</v>
      </c>
      <c r="V741">
        <f t="shared" si="175"/>
        <v>1</v>
      </c>
      <c r="W741">
        <f t="shared" si="170"/>
        <v>0</v>
      </c>
      <c r="X741">
        <f t="shared" si="171"/>
        <v>0</v>
      </c>
      <c r="Y741">
        <f t="shared" si="172"/>
        <v>0</v>
      </c>
    </row>
    <row r="742" spans="1:25" hidden="1">
      <c r="A742" t="str">
        <f t="shared" si="173"/>
        <v>Moortgat 2025</v>
      </c>
      <c r="H742">
        <v>422.89</v>
      </c>
      <c r="I742">
        <v>50</v>
      </c>
      <c r="J742">
        <f t="shared" si="167"/>
        <v>0</v>
      </c>
      <c r="K742">
        <v>0.106</v>
      </c>
      <c r="O742" t="s">
        <v>90</v>
      </c>
      <c r="S742">
        <f t="shared" si="168"/>
        <v>1</v>
      </c>
      <c r="T742">
        <f t="shared" si="169"/>
        <v>0</v>
      </c>
      <c r="U742">
        <f t="shared" si="174"/>
        <v>0</v>
      </c>
      <c r="V742">
        <f t="shared" si="175"/>
        <v>1</v>
      </c>
      <c r="W742">
        <f t="shared" si="170"/>
        <v>0</v>
      </c>
      <c r="X742">
        <f t="shared" si="171"/>
        <v>0</v>
      </c>
      <c r="Y742">
        <f t="shared" si="172"/>
        <v>0</v>
      </c>
    </row>
    <row r="743" spans="1:25" hidden="1">
      <c r="A743" t="str">
        <f t="shared" si="173"/>
        <v>Moortgat 2025</v>
      </c>
      <c r="H743">
        <v>422.89</v>
      </c>
      <c r="I743">
        <v>51.96</v>
      </c>
      <c r="J743">
        <f t="shared" si="167"/>
        <v>0</v>
      </c>
      <c r="K743" t="s">
        <v>90</v>
      </c>
      <c r="O743">
        <v>8.3999999999999995E-3</v>
      </c>
      <c r="S743">
        <f t="shared" si="168"/>
        <v>1</v>
      </c>
      <c r="T743">
        <f t="shared" si="169"/>
        <v>0</v>
      </c>
      <c r="U743">
        <f t="shared" si="174"/>
        <v>0</v>
      </c>
      <c r="V743">
        <f t="shared" si="175"/>
        <v>1</v>
      </c>
      <c r="W743">
        <f t="shared" si="170"/>
        <v>0</v>
      </c>
      <c r="X743">
        <f t="shared" si="171"/>
        <v>0</v>
      </c>
      <c r="Y743">
        <f t="shared" si="172"/>
        <v>0</v>
      </c>
    </row>
    <row r="744" spans="1:25" hidden="1">
      <c r="A744" t="str">
        <f t="shared" si="173"/>
        <v>Moortgat 2025</v>
      </c>
      <c r="H744">
        <v>422.89</v>
      </c>
      <c r="I744">
        <v>54.3</v>
      </c>
      <c r="J744">
        <f t="shared" si="167"/>
        <v>0</v>
      </c>
      <c r="K744" t="s">
        <v>90</v>
      </c>
      <c r="O744">
        <v>9.7999999999999997E-3</v>
      </c>
      <c r="S744">
        <f t="shared" si="168"/>
        <v>1</v>
      </c>
      <c r="T744">
        <f t="shared" si="169"/>
        <v>0</v>
      </c>
      <c r="U744">
        <f t="shared" si="174"/>
        <v>0</v>
      </c>
      <c r="V744">
        <f t="shared" si="175"/>
        <v>1</v>
      </c>
      <c r="W744">
        <f t="shared" si="170"/>
        <v>0</v>
      </c>
      <c r="X744">
        <f t="shared" si="171"/>
        <v>0</v>
      </c>
      <c r="Y744">
        <f t="shared" si="172"/>
        <v>0</v>
      </c>
    </row>
    <row r="745" spans="1:25" hidden="1">
      <c r="A745" t="str">
        <f t="shared" si="173"/>
        <v>Moortgat 2025</v>
      </c>
      <c r="H745">
        <v>422.89</v>
      </c>
      <c r="I745">
        <v>55.13</v>
      </c>
      <c r="J745">
        <f t="shared" si="167"/>
        <v>0</v>
      </c>
      <c r="K745" t="s">
        <v>90</v>
      </c>
      <c r="O745">
        <v>8.8000000000000005E-3</v>
      </c>
      <c r="S745">
        <f t="shared" si="168"/>
        <v>1</v>
      </c>
      <c r="T745">
        <f t="shared" si="169"/>
        <v>0</v>
      </c>
      <c r="U745">
        <f t="shared" si="174"/>
        <v>0</v>
      </c>
      <c r="V745">
        <f t="shared" si="175"/>
        <v>1</v>
      </c>
      <c r="W745">
        <f t="shared" si="170"/>
        <v>0</v>
      </c>
      <c r="X745">
        <f t="shared" si="171"/>
        <v>0</v>
      </c>
      <c r="Y745">
        <f t="shared" si="172"/>
        <v>0</v>
      </c>
    </row>
    <row r="746" spans="1:25" hidden="1">
      <c r="A746" t="str">
        <f t="shared" si="173"/>
        <v>Moortgat 2025</v>
      </c>
      <c r="H746">
        <v>422.89</v>
      </c>
      <c r="I746">
        <v>62</v>
      </c>
      <c r="J746">
        <f t="shared" si="167"/>
        <v>0</v>
      </c>
      <c r="K746" t="s">
        <v>90</v>
      </c>
      <c r="O746">
        <v>9.3999999999999986E-3</v>
      </c>
      <c r="S746">
        <f t="shared" si="168"/>
        <v>1</v>
      </c>
      <c r="T746">
        <f t="shared" si="169"/>
        <v>0</v>
      </c>
      <c r="U746">
        <f t="shared" si="174"/>
        <v>0</v>
      </c>
      <c r="V746">
        <f t="shared" si="175"/>
        <v>1</v>
      </c>
      <c r="W746">
        <f t="shared" si="170"/>
        <v>0</v>
      </c>
      <c r="X746">
        <f t="shared" si="171"/>
        <v>0</v>
      </c>
      <c r="Y746">
        <f t="shared" si="172"/>
        <v>0</v>
      </c>
    </row>
    <row r="747" spans="1:25" hidden="1">
      <c r="A747" t="str">
        <f t="shared" si="173"/>
        <v>Moortgat 2025</v>
      </c>
      <c r="H747">
        <v>422.89</v>
      </c>
      <c r="I747">
        <v>65.5</v>
      </c>
      <c r="J747">
        <f t="shared" si="167"/>
        <v>0</v>
      </c>
      <c r="K747">
        <v>7.5300000000000006E-2</v>
      </c>
      <c r="O747">
        <v>1.1599999999999999E-2</v>
      </c>
      <c r="S747">
        <f t="shared" si="168"/>
        <v>1</v>
      </c>
      <c r="T747">
        <f t="shared" si="169"/>
        <v>0</v>
      </c>
      <c r="U747">
        <f t="shared" si="174"/>
        <v>0</v>
      </c>
      <c r="V747">
        <f t="shared" si="175"/>
        <v>1</v>
      </c>
      <c r="W747">
        <f t="shared" si="170"/>
        <v>0</v>
      </c>
      <c r="X747">
        <f t="shared" si="171"/>
        <v>0</v>
      </c>
      <c r="Y747">
        <f t="shared" si="172"/>
        <v>0</v>
      </c>
    </row>
    <row r="748" spans="1:25" hidden="1">
      <c r="A748" t="str">
        <f t="shared" si="173"/>
        <v>Moortgat 2025</v>
      </c>
      <c r="H748">
        <v>422.89</v>
      </c>
      <c r="I748">
        <v>75.97</v>
      </c>
      <c r="J748">
        <f t="shared" si="167"/>
        <v>0</v>
      </c>
      <c r="K748" t="s">
        <v>90</v>
      </c>
      <c r="O748">
        <v>1.2500000000000001E-2</v>
      </c>
      <c r="S748">
        <f t="shared" si="168"/>
        <v>1</v>
      </c>
      <c r="T748">
        <f t="shared" si="169"/>
        <v>0</v>
      </c>
      <c r="U748">
        <f t="shared" si="174"/>
        <v>0</v>
      </c>
      <c r="V748">
        <f t="shared" si="175"/>
        <v>1</v>
      </c>
      <c r="W748">
        <f t="shared" si="170"/>
        <v>0</v>
      </c>
      <c r="X748">
        <f t="shared" si="171"/>
        <v>0</v>
      </c>
      <c r="Y748">
        <f t="shared" si="172"/>
        <v>0</v>
      </c>
    </row>
    <row r="749" spans="1:25" hidden="1">
      <c r="A749" t="str">
        <f t="shared" si="173"/>
        <v>Moortgat 2025</v>
      </c>
      <c r="H749">
        <v>422.89</v>
      </c>
      <c r="I749">
        <v>82</v>
      </c>
      <c r="J749">
        <f t="shared" si="167"/>
        <v>0</v>
      </c>
      <c r="K749" t="s">
        <v>90</v>
      </c>
      <c r="O749">
        <v>1.34E-2</v>
      </c>
      <c r="S749">
        <f t="shared" si="168"/>
        <v>1</v>
      </c>
      <c r="T749">
        <f t="shared" si="169"/>
        <v>0</v>
      </c>
      <c r="U749">
        <f t="shared" si="174"/>
        <v>0</v>
      </c>
      <c r="V749">
        <f t="shared" si="175"/>
        <v>1</v>
      </c>
      <c r="W749">
        <f t="shared" si="170"/>
        <v>0</v>
      </c>
      <c r="X749">
        <f t="shared" si="171"/>
        <v>0</v>
      </c>
      <c r="Y749">
        <f t="shared" si="172"/>
        <v>0</v>
      </c>
    </row>
    <row r="750" spans="1:25" hidden="1">
      <c r="A750" t="str">
        <f t="shared" si="173"/>
        <v>Moortgat 2025</v>
      </c>
      <c r="H750">
        <v>422.89</v>
      </c>
      <c r="I750">
        <v>87.05</v>
      </c>
      <c r="J750">
        <f t="shared" si="167"/>
        <v>0</v>
      </c>
      <c r="K750" t="s">
        <v>90</v>
      </c>
      <c r="O750">
        <v>1.6E-2</v>
      </c>
      <c r="S750">
        <f t="shared" si="168"/>
        <v>1</v>
      </c>
      <c r="T750">
        <f t="shared" si="169"/>
        <v>0</v>
      </c>
      <c r="U750">
        <f t="shared" si="174"/>
        <v>0</v>
      </c>
      <c r="V750">
        <f t="shared" si="175"/>
        <v>1</v>
      </c>
      <c r="W750">
        <f t="shared" si="170"/>
        <v>0</v>
      </c>
      <c r="X750">
        <f t="shared" si="171"/>
        <v>0</v>
      </c>
      <c r="Y750">
        <f t="shared" si="172"/>
        <v>0</v>
      </c>
    </row>
    <row r="751" spans="1:25" hidden="1">
      <c r="A751" t="str">
        <f t="shared" si="173"/>
        <v>Moortgat 2025</v>
      </c>
      <c r="H751">
        <v>422.89</v>
      </c>
      <c r="I751">
        <v>100.57</v>
      </c>
      <c r="J751">
        <f t="shared" si="167"/>
        <v>0</v>
      </c>
      <c r="K751">
        <v>0.06</v>
      </c>
      <c r="O751" t="s">
        <v>90</v>
      </c>
      <c r="S751">
        <f t="shared" si="168"/>
        <v>1</v>
      </c>
      <c r="T751">
        <f t="shared" si="169"/>
        <v>0</v>
      </c>
      <c r="U751">
        <f t="shared" si="174"/>
        <v>0</v>
      </c>
      <c r="V751">
        <f t="shared" si="175"/>
        <v>1</v>
      </c>
      <c r="W751">
        <f t="shared" si="170"/>
        <v>0</v>
      </c>
      <c r="X751">
        <f t="shared" si="171"/>
        <v>0</v>
      </c>
      <c r="Y751">
        <f t="shared" si="172"/>
        <v>0</v>
      </c>
    </row>
    <row r="752" spans="1:25" hidden="1">
      <c r="A752" t="str">
        <f t="shared" si="173"/>
        <v>Moortgat 2025</v>
      </c>
      <c r="H752">
        <v>422.89</v>
      </c>
      <c r="I752">
        <v>103.4</v>
      </c>
      <c r="J752">
        <f t="shared" si="167"/>
        <v>0</v>
      </c>
      <c r="K752">
        <v>5.1299999999999998E-2</v>
      </c>
      <c r="O752">
        <v>1.8799999999999997E-2</v>
      </c>
      <c r="S752">
        <f t="shared" si="168"/>
        <v>1</v>
      </c>
      <c r="T752">
        <f t="shared" si="169"/>
        <v>0</v>
      </c>
      <c r="U752">
        <f t="shared" si="174"/>
        <v>0</v>
      </c>
      <c r="V752">
        <f t="shared" si="175"/>
        <v>1</v>
      </c>
      <c r="W752">
        <f t="shared" si="170"/>
        <v>0</v>
      </c>
      <c r="X752">
        <f t="shared" si="171"/>
        <v>0</v>
      </c>
      <c r="Y752">
        <f t="shared" si="172"/>
        <v>0</v>
      </c>
    </row>
    <row r="753" spans="1:25" hidden="1">
      <c r="A753" t="str">
        <f t="shared" si="173"/>
        <v>Moortgat 2025</v>
      </c>
      <c r="H753">
        <v>422.89</v>
      </c>
      <c r="I753">
        <v>150</v>
      </c>
      <c r="J753">
        <f t="shared" si="167"/>
        <v>0</v>
      </c>
      <c r="K753">
        <v>4.4000000000000004E-2</v>
      </c>
      <c r="O753" t="s">
        <v>90</v>
      </c>
      <c r="S753">
        <f t="shared" si="168"/>
        <v>1</v>
      </c>
      <c r="T753">
        <f t="shared" si="169"/>
        <v>0</v>
      </c>
      <c r="U753">
        <f t="shared" si="174"/>
        <v>0</v>
      </c>
      <c r="V753">
        <f t="shared" si="175"/>
        <v>1</v>
      </c>
      <c r="W753">
        <f t="shared" si="170"/>
        <v>0</v>
      </c>
      <c r="X753">
        <f t="shared" si="171"/>
        <v>0</v>
      </c>
      <c r="Y753">
        <f t="shared" si="172"/>
        <v>0</v>
      </c>
    </row>
    <row r="754" spans="1:25" hidden="1">
      <c r="A754" t="str">
        <f t="shared" si="173"/>
        <v>Moortgat 2025</v>
      </c>
      <c r="H754">
        <v>422.89</v>
      </c>
      <c r="I754">
        <v>200</v>
      </c>
      <c r="J754">
        <f t="shared" si="167"/>
        <v>0</v>
      </c>
      <c r="K754">
        <v>3.6000000000000004E-2</v>
      </c>
      <c r="O754" t="s">
        <v>90</v>
      </c>
      <c r="S754">
        <f t="shared" si="168"/>
        <v>1</v>
      </c>
      <c r="T754">
        <f t="shared" si="169"/>
        <v>0</v>
      </c>
      <c r="U754">
        <f t="shared" si="174"/>
        <v>0</v>
      </c>
      <c r="V754">
        <f t="shared" si="175"/>
        <v>1</v>
      </c>
      <c r="W754">
        <f t="shared" si="170"/>
        <v>0</v>
      </c>
      <c r="X754">
        <f t="shared" si="171"/>
        <v>0</v>
      </c>
      <c r="Y754">
        <f t="shared" si="172"/>
        <v>0</v>
      </c>
    </row>
    <row r="755" spans="1:25" hidden="1">
      <c r="A755" t="str">
        <f t="shared" si="173"/>
        <v>Moortgat 2025</v>
      </c>
      <c r="H755">
        <v>422.89</v>
      </c>
      <c r="I755">
        <v>250</v>
      </c>
      <c r="K755">
        <v>3.1200000000000002E-2</v>
      </c>
      <c r="O755" t="s">
        <v>90</v>
      </c>
    </row>
    <row r="756" spans="1:25" hidden="1">
      <c r="A756" t="str">
        <f t="shared" si="173"/>
        <v>Moortgat 2025</v>
      </c>
      <c r="H756">
        <v>422.89</v>
      </c>
      <c r="I756">
        <v>300</v>
      </c>
      <c r="K756">
        <v>2.8300000000000002E-2</v>
      </c>
      <c r="O756" t="s">
        <v>90</v>
      </c>
    </row>
    <row r="757" spans="1:25" hidden="1">
      <c r="A757" t="str">
        <f t="shared" si="173"/>
        <v>Moortgat 2025</v>
      </c>
      <c r="H757">
        <v>448.15</v>
      </c>
      <c r="I757">
        <v>22</v>
      </c>
      <c r="K757" t="s">
        <v>90</v>
      </c>
      <c r="O757">
        <v>3.3E-3</v>
      </c>
    </row>
    <row r="758" spans="1:25" hidden="1">
      <c r="A758" t="str">
        <f t="shared" si="173"/>
        <v>Moortgat 2025</v>
      </c>
      <c r="H758">
        <v>448.15</v>
      </c>
      <c r="I758">
        <v>29</v>
      </c>
      <c r="K758" t="s">
        <v>90</v>
      </c>
      <c r="O758">
        <v>4.7999999999999996E-3</v>
      </c>
    </row>
    <row r="759" spans="1:25" hidden="1">
      <c r="A759" t="str">
        <f t="shared" si="173"/>
        <v>Moortgat 2025</v>
      </c>
      <c r="H759">
        <v>448.15</v>
      </c>
      <c r="I759">
        <v>39</v>
      </c>
      <c r="K759" t="s">
        <v>90</v>
      </c>
      <c r="O759">
        <v>6.6E-3</v>
      </c>
    </row>
    <row r="760" spans="1:25" hidden="1">
      <c r="A760" t="str">
        <f t="shared" si="173"/>
        <v>Moortgat 2025</v>
      </c>
      <c r="H760">
        <v>448.15</v>
      </c>
      <c r="I760">
        <v>50</v>
      </c>
      <c r="K760">
        <v>0.20600000000000002</v>
      </c>
      <c r="O760" t="s">
        <v>90</v>
      </c>
    </row>
    <row r="761" spans="1:25" hidden="1">
      <c r="A761" t="str">
        <f t="shared" si="173"/>
        <v>Moortgat 2025</v>
      </c>
      <c r="H761">
        <v>448.15</v>
      </c>
      <c r="I761">
        <v>51.96</v>
      </c>
      <c r="K761" t="s">
        <v>90</v>
      </c>
      <c r="O761">
        <v>7.4999999999999997E-3</v>
      </c>
    </row>
    <row r="762" spans="1:25" hidden="1">
      <c r="A762" t="str">
        <f t="shared" si="173"/>
        <v>Moortgat 2025</v>
      </c>
      <c r="H762">
        <v>448.15</v>
      </c>
      <c r="I762">
        <v>60.15</v>
      </c>
      <c r="K762" t="s">
        <v>90</v>
      </c>
      <c r="O762">
        <v>9.5999999999999992E-3</v>
      </c>
    </row>
    <row r="763" spans="1:25" hidden="1">
      <c r="A763" t="str">
        <f t="shared" ref="A763:A783" si="176">A762</f>
        <v>Moortgat 2025</v>
      </c>
      <c r="H763">
        <v>448.15</v>
      </c>
      <c r="I763">
        <v>62</v>
      </c>
      <c r="K763" t="s">
        <v>90</v>
      </c>
      <c r="O763">
        <v>9.3999999999999986E-3</v>
      </c>
    </row>
    <row r="764" spans="1:25" hidden="1">
      <c r="A764" t="str">
        <f t="shared" si="176"/>
        <v>Moortgat 2025</v>
      </c>
      <c r="H764">
        <v>448.15</v>
      </c>
      <c r="I764">
        <v>80</v>
      </c>
      <c r="K764" t="s">
        <v>90</v>
      </c>
      <c r="O764">
        <v>1.24E-2</v>
      </c>
    </row>
    <row r="765" spans="1:25" hidden="1">
      <c r="A765" t="str">
        <f t="shared" si="176"/>
        <v>Moortgat 2025</v>
      </c>
      <c r="H765">
        <v>448.15</v>
      </c>
      <c r="I765">
        <v>100.57</v>
      </c>
      <c r="K765">
        <v>0.121</v>
      </c>
      <c r="O765" t="s">
        <v>90</v>
      </c>
    </row>
    <row r="766" spans="1:25" hidden="1">
      <c r="A766" t="str">
        <f t="shared" si="176"/>
        <v>Moortgat 2025</v>
      </c>
      <c r="H766">
        <v>448.15</v>
      </c>
      <c r="I766">
        <v>150</v>
      </c>
      <c r="K766">
        <v>9.2699999999999991E-2</v>
      </c>
      <c r="O766" t="s">
        <v>90</v>
      </c>
    </row>
    <row r="767" spans="1:25" hidden="1">
      <c r="A767" t="str">
        <f t="shared" si="176"/>
        <v>Moortgat 2025</v>
      </c>
      <c r="H767">
        <v>448.15</v>
      </c>
      <c r="I767">
        <v>200</v>
      </c>
      <c r="K767">
        <v>7.8E-2</v>
      </c>
      <c r="O767" t="s">
        <v>90</v>
      </c>
    </row>
    <row r="768" spans="1:25" hidden="1">
      <c r="A768" t="str">
        <f t="shared" si="176"/>
        <v>Moortgat 2025</v>
      </c>
      <c r="H768">
        <v>448.15</v>
      </c>
      <c r="I768">
        <v>250</v>
      </c>
      <c r="K768">
        <v>6.88E-2</v>
      </c>
      <c r="O768" t="s">
        <v>90</v>
      </c>
    </row>
    <row r="769" spans="1:25" hidden="1">
      <c r="A769" t="str">
        <f t="shared" si="176"/>
        <v>Moortgat 2025</v>
      </c>
      <c r="H769">
        <v>448.15</v>
      </c>
      <c r="I769">
        <v>300</v>
      </c>
      <c r="K769">
        <v>6.2300000000000001E-2</v>
      </c>
      <c r="O769" t="s">
        <v>90</v>
      </c>
    </row>
    <row r="770" spans="1:25" hidden="1">
      <c r="A770" t="str">
        <f t="shared" si="176"/>
        <v>Moortgat 2025</v>
      </c>
      <c r="H770">
        <v>473.15</v>
      </c>
      <c r="I770">
        <v>36</v>
      </c>
      <c r="K770" t="s">
        <v>90</v>
      </c>
      <c r="O770">
        <v>5.6999999999999993E-3</v>
      </c>
    </row>
    <row r="771" spans="1:25" hidden="1">
      <c r="A771" t="str">
        <f t="shared" si="176"/>
        <v>Moortgat 2025</v>
      </c>
      <c r="H771">
        <v>473.15</v>
      </c>
      <c r="I771">
        <v>42</v>
      </c>
      <c r="K771" t="s">
        <v>90</v>
      </c>
      <c r="O771">
        <v>5.5000000000000005E-3</v>
      </c>
    </row>
    <row r="772" spans="1:25" hidden="1">
      <c r="A772" t="str">
        <f t="shared" si="176"/>
        <v>Moortgat 2025</v>
      </c>
      <c r="H772">
        <v>473.15</v>
      </c>
      <c r="I772">
        <v>46</v>
      </c>
      <c r="K772" t="s">
        <v>90</v>
      </c>
      <c r="O772">
        <v>8.3999999999999995E-3</v>
      </c>
    </row>
    <row r="773" spans="1:25" hidden="1">
      <c r="A773" t="str">
        <f t="shared" si="176"/>
        <v>Moortgat 2025</v>
      </c>
      <c r="H773">
        <v>473.15</v>
      </c>
      <c r="I773">
        <v>50</v>
      </c>
      <c r="K773">
        <v>0.26600000000000001</v>
      </c>
      <c r="O773" t="s">
        <v>90</v>
      </c>
    </row>
    <row r="774" spans="1:25" hidden="1">
      <c r="A774" t="str">
        <f t="shared" si="176"/>
        <v>Moortgat 2025</v>
      </c>
      <c r="H774">
        <v>473.15</v>
      </c>
      <c r="I774">
        <v>51.96</v>
      </c>
      <c r="K774" t="s">
        <v>90</v>
      </c>
      <c r="O774">
        <v>7.4999999999999997E-3</v>
      </c>
    </row>
    <row r="775" spans="1:25" hidden="1">
      <c r="A775" t="str">
        <f t="shared" si="176"/>
        <v>Moortgat 2025</v>
      </c>
      <c r="H775">
        <v>473.15</v>
      </c>
      <c r="I775">
        <v>75.97</v>
      </c>
      <c r="K775" t="s">
        <v>90</v>
      </c>
      <c r="O775">
        <v>1.2199999999999999E-2</v>
      </c>
    </row>
    <row r="776" spans="1:25" hidden="1">
      <c r="A776" t="str">
        <f t="shared" si="176"/>
        <v>Moortgat 2025</v>
      </c>
      <c r="H776">
        <v>473.15</v>
      </c>
      <c r="I776">
        <v>82</v>
      </c>
      <c r="K776" t="s">
        <v>90</v>
      </c>
      <c r="O776">
        <v>1.24E-2</v>
      </c>
    </row>
    <row r="777" spans="1:25" hidden="1">
      <c r="A777" t="str">
        <f t="shared" si="176"/>
        <v>Moortgat 2025</v>
      </c>
      <c r="H777">
        <v>473.15</v>
      </c>
      <c r="I777">
        <v>100.57</v>
      </c>
      <c r="K777">
        <v>0.14800000000000002</v>
      </c>
      <c r="O777" t="s">
        <v>90</v>
      </c>
    </row>
    <row r="778" spans="1:25" hidden="1">
      <c r="A778" t="str">
        <f t="shared" si="176"/>
        <v>Moortgat 2025</v>
      </c>
      <c r="H778">
        <v>473.15</v>
      </c>
      <c r="I778">
        <v>102</v>
      </c>
      <c r="K778" t="s">
        <v>90</v>
      </c>
      <c r="O778">
        <v>1.3999999999999999E-2</v>
      </c>
    </row>
    <row r="779" spans="1:25" hidden="1">
      <c r="A779" t="str">
        <f t="shared" si="176"/>
        <v>Moortgat 2025</v>
      </c>
      <c r="H779">
        <v>473.15</v>
      </c>
      <c r="I779">
        <v>118</v>
      </c>
      <c r="K779" t="s">
        <v>90</v>
      </c>
      <c r="O779">
        <v>1.6200000000000003E-2</v>
      </c>
    </row>
    <row r="780" spans="1:25" hidden="1">
      <c r="A780" t="str">
        <f t="shared" si="176"/>
        <v>Moortgat 2025</v>
      </c>
      <c r="H780">
        <v>473.15</v>
      </c>
      <c r="I780">
        <v>150</v>
      </c>
      <c r="K780">
        <v>0.10800000000000001</v>
      </c>
      <c r="O780" t="s">
        <v>90</v>
      </c>
    </row>
    <row r="781" spans="1:25" hidden="1">
      <c r="A781" t="str">
        <f t="shared" si="176"/>
        <v>Moortgat 2025</v>
      </c>
      <c r="H781">
        <v>473.15</v>
      </c>
      <c r="I781">
        <v>200</v>
      </c>
      <c r="K781">
        <v>8.8000000000000009E-2</v>
      </c>
      <c r="O781" t="s">
        <v>90</v>
      </c>
    </row>
    <row r="782" spans="1:25" hidden="1">
      <c r="A782" t="str">
        <f t="shared" si="176"/>
        <v>Moortgat 2025</v>
      </c>
      <c r="H782">
        <v>473.15</v>
      </c>
      <c r="I782">
        <v>250</v>
      </c>
      <c r="K782">
        <v>7.5999999999999998E-2</v>
      </c>
      <c r="O782" t="s">
        <v>90</v>
      </c>
    </row>
    <row r="783" spans="1:25" hidden="1">
      <c r="A783" t="str">
        <f t="shared" si="176"/>
        <v>Moortgat 2025</v>
      </c>
      <c r="H783">
        <v>473.15</v>
      </c>
      <c r="I783">
        <v>300</v>
      </c>
      <c r="K783">
        <v>6.9000000000000006E-2</v>
      </c>
      <c r="O783" t="s">
        <v>90</v>
      </c>
    </row>
    <row r="784" spans="1:25" hidden="1">
      <c r="A784" t="s">
        <v>69</v>
      </c>
      <c r="E784">
        <v>4.4999999999999998E-2</v>
      </c>
      <c r="F784">
        <v>71.2</v>
      </c>
      <c r="H784">
        <v>373.15</v>
      </c>
      <c r="I784">
        <v>3.25</v>
      </c>
      <c r="J784">
        <v>0</v>
      </c>
      <c r="K784">
        <f t="shared" ref="K784:K815" si="177">1-F784/100</f>
        <v>0.28799999999999992</v>
      </c>
      <c r="L784">
        <f t="shared" ref="L784:L815" si="178">E784/100</f>
        <v>4.4999999999999999E-4</v>
      </c>
      <c r="S784">
        <f t="shared" ref="S784:S815" si="179">S783</f>
        <v>0</v>
      </c>
      <c r="T784">
        <f t="shared" ref="T784:T815" si="180">T783</f>
        <v>0</v>
      </c>
      <c r="U784">
        <f t="shared" ref="U784:U815" si="181">U783</f>
        <v>0</v>
      </c>
      <c r="V784">
        <f t="shared" ref="V784:V815" si="182">V783</f>
        <v>0</v>
      </c>
      <c r="W784">
        <f t="shared" ref="W784:W815" si="183">W783</f>
        <v>0</v>
      </c>
      <c r="X784">
        <f t="shared" ref="X784:X815" si="184">X783</f>
        <v>0</v>
      </c>
      <c r="Y784">
        <f t="shared" ref="Y784:Y815" si="185">Y783</f>
        <v>0</v>
      </c>
    </row>
    <row r="785" spans="1:25" hidden="1">
      <c r="A785" t="str">
        <f t="shared" ref="A785:A832" si="186">A784</f>
        <v>Muller 1988</v>
      </c>
      <c r="E785">
        <v>9.8000000000000004E-2</v>
      </c>
      <c r="F785">
        <v>84.5</v>
      </c>
      <c r="H785">
        <f t="shared" ref="H785:H790" si="187">H784</f>
        <v>373.15</v>
      </c>
      <c r="I785">
        <v>6</v>
      </c>
      <c r="J785">
        <v>0</v>
      </c>
      <c r="K785">
        <f t="shared" si="177"/>
        <v>0.15500000000000003</v>
      </c>
      <c r="L785">
        <f t="shared" si="178"/>
        <v>9.7999999999999997E-4</v>
      </c>
      <c r="S785">
        <f t="shared" si="179"/>
        <v>0</v>
      </c>
      <c r="T785">
        <f t="shared" si="180"/>
        <v>0</v>
      </c>
      <c r="U785">
        <f t="shared" si="181"/>
        <v>0</v>
      </c>
      <c r="V785">
        <f t="shared" si="182"/>
        <v>0</v>
      </c>
      <c r="W785">
        <f t="shared" si="183"/>
        <v>0</v>
      </c>
      <c r="X785">
        <f t="shared" si="184"/>
        <v>0</v>
      </c>
      <c r="Y785">
        <f t="shared" si="185"/>
        <v>0</v>
      </c>
    </row>
    <row r="786" spans="1:25" hidden="1">
      <c r="A786" t="str">
        <f t="shared" si="186"/>
        <v>Muller 1988</v>
      </c>
      <c r="E786">
        <v>0.159</v>
      </c>
      <c r="F786">
        <v>89.3</v>
      </c>
      <c r="H786">
        <f t="shared" si="187"/>
        <v>373.15</v>
      </c>
      <c r="I786">
        <v>9.2000000000000011</v>
      </c>
      <c r="J786">
        <v>0</v>
      </c>
      <c r="K786">
        <f t="shared" si="177"/>
        <v>0.10699999999999998</v>
      </c>
      <c r="L786">
        <f t="shared" si="178"/>
        <v>1.5900000000000001E-3</v>
      </c>
      <c r="S786">
        <f t="shared" si="179"/>
        <v>0</v>
      </c>
      <c r="T786">
        <f t="shared" si="180"/>
        <v>0</v>
      </c>
      <c r="U786">
        <f t="shared" si="181"/>
        <v>0</v>
      </c>
      <c r="V786">
        <f t="shared" si="182"/>
        <v>0</v>
      </c>
      <c r="W786">
        <f t="shared" si="183"/>
        <v>0</v>
      </c>
      <c r="X786">
        <f t="shared" si="184"/>
        <v>0</v>
      </c>
      <c r="Y786">
        <f t="shared" si="185"/>
        <v>0</v>
      </c>
    </row>
    <row r="787" spans="1:25" hidden="1">
      <c r="A787" t="str">
        <f t="shared" si="186"/>
        <v>Muller 1988</v>
      </c>
      <c r="E787">
        <v>0.20799999999999999</v>
      </c>
      <c r="F787">
        <v>92.3</v>
      </c>
      <c r="H787">
        <f t="shared" si="187"/>
        <v>373.15</v>
      </c>
      <c r="I787">
        <v>11.91</v>
      </c>
      <c r="J787">
        <v>0</v>
      </c>
      <c r="K787">
        <f t="shared" si="177"/>
        <v>7.7000000000000068E-2</v>
      </c>
      <c r="L787">
        <f t="shared" si="178"/>
        <v>2.0799999999999998E-3</v>
      </c>
      <c r="S787">
        <f t="shared" si="179"/>
        <v>0</v>
      </c>
      <c r="T787">
        <f t="shared" si="180"/>
        <v>0</v>
      </c>
      <c r="U787">
        <f t="shared" si="181"/>
        <v>0</v>
      </c>
      <c r="V787">
        <f t="shared" si="182"/>
        <v>0</v>
      </c>
      <c r="W787">
        <f t="shared" si="183"/>
        <v>0</v>
      </c>
      <c r="X787">
        <f t="shared" si="184"/>
        <v>0</v>
      </c>
      <c r="Y787">
        <f t="shared" si="185"/>
        <v>0</v>
      </c>
    </row>
    <row r="788" spans="1:25" hidden="1">
      <c r="A788" t="str">
        <f t="shared" si="186"/>
        <v>Muller 1988</v>
      </c>
      <c r="E788">
        <v>0.26100000000000001</v>
      </c>
      <c r="F788">
        <v>93.1</v>
      </c>
      <c r="H788">
        <f t="shared" si="187"/>
        <v>373.15</v>
      </c>
      <c r="I788">
        <v>14.52</v>
      </c>
      <c r="J788">
        <v>0</v>
      </c>
      <c r="K788">
        <f t="shared" si="177"/>
        <v>6.9000000000000061E-2</v>
      </c>
      <c r="L788">
        <f t="shared" si="178"/>
        <v>2.6099999999999999E-3</v>
      </c>
      <c r="S788">
        <f t="shared" si="179"/>
        <v>0</v>
      </c>
      <c r="T788">
        <f t="shared" si="180"/>
        <v>0</v>
      </c>
      <c r="U788">
        <f t="shared" si="181"/>
        <v>0</v>
      </c>
      <c r="V788">
        <f t="shared" si="182"/>
        <v>0</v>
      </c>
      <c r="W788">
        <f t="shared" si="183"/>
        <v>0</v>
      </c>
      <c r="X788">
        <f t="shared" si="184"/>
        <v>0</v>
      </c>
      <c r="Y788">
        <f t="shared" si="185"/>
        <v>0</v>
      </c>
    </row>
    <row r="789" spans="1:25" hidden="1">
      <c r="A789" t="str">
        <f t="shared" si="186"/>
        <v>Muller 1988</v>
      </c>
      <c r="E789">
        <v>0.32800000000000001</v>
      </c>
      <c r="F789">
        <v>94.6</v>
      </c>
      <c r="H789">
        <f t="shared" si="187"/>
        <v>373.15</v>
      </c>
      <c r="I789">
        <v>18.16</v>
      </c>
      <c r="J789">
        <v>0</v>
      </c>
      <c r="K789">
        <f t="shared" si="177"/>
        <v>5.4000000000000048E-2</v>
      </c>
      <c r="L789">
        <f t="shared" si="178"/>
        <v>3.2799999999999999E-3</v>
      </c>
      <c r="S789">
        <f t="shared" si="179"/>
        <v>0</v>
      </c>
      <c r="T789">
        <f t="shared" si="180"/>
        <v>0</v>
      </c>
      <c r="U789">
        <f t="shared" si="181"/>
        <v>0</v>
      </c>
      <c r="V789">
        <f t="shared" si="182"/>
        <v>0</v>
      </c>
      <c r="W789">
        <f t="shared" si="183"/>
        <v>0</v>
      </c>
      <c r="X789">
        <f t="shared" si="184"/>
        <v>0</v>
      </c>
      <c r="Y789">
        <f t="shared" si="185"/>
        <v>0</v>
      </c>
    </row>
    <row r="790" spans="1:25" hidden="1">
      <c r="A790" t="str">
        <f t="shared" si="186"/>
        <v>Muller 1988</v>
      </c>
      <c r="E790">
        <v>0.41399999999999998</v>
      </c>
      <c r="F790">
        <v>95.5</v>
      </c>
      <c r="H790">
        <f t="shared" si="187"/>
        <v>373.15</v>
      </c>
      <c r="I790">
        <v>23.07</v>
      </c>
      <c r="J790">
        <v>0</v>
      </c>
      <c r="K790">
        <f t="shared" si="177"/>
        <v>4.500000000000004E-2</v>
      </c>
      <c r="L790">
        <f t="shared" si="178"/>
        <v>4.1399999999999996E-3</v>
      </c>
      <c r="S790">
        <f t="shared" si="179"/>
        <v>0</v>
      </c>
      <c r="T790">
        <f t="shared" si="180"/>
        <v>0</v>
      </c>
      <c r="U790">
        <f t="shared" si="181"/>
        <v>0</v>
      </c>
      <c r="V790">
        <f t="shared" si="182"/>
        <v>0</v>
      </c>
      <c r="W790">
        <f t="shared" si="183"/>
        <v>0</v>
      </c>
      <c r="X790">
        <f t="shared" si="184"/>
        <v>0</v>
      </c>
      <c r="Y790">
        <f t="shared" si="185"/>
        <v>0</v>
      </c>
    </row>
    <row r="791" spans="1:25" hidden="1">
      <c r="A791" t="str">
        <f t="shared" si="186"/>
        <v>Muller 1988</v>
      </c>
      <c r="E791">
        <v>7.0999999999999994E-2</v>
      </c>
      <c r="F791">
        <v>66.3</v>
      </c>
      <c r="H791">
        <v>393.15</v>
      </c>
      <c r="I791">
        <v>5.99</v>
      </c>
      <c r="J791">
        <v>0</v>
      </c>
      <c r="K791">
        <f t="shared" si="177"/>
        <v>0.33700000000000008</v>
      </c>
      <c r="L791">
        <f t="shared" si="178"/>
        <v>7.0999999999999991E-4</v>
      </c>
      <c r="S791">
        <f t="shared" si="179"/>
        <v>0</v>
      </c>
      <c r="T791">
        <f t="shared" si="180"/>
        <v>0</v>
      </c>
      <c r="U791">
        <f t="shared" si="181"/>
        <v>0</v>
      </c>
      <c r="V791">
        <f t="shared" si="182"/>
        <v>0</v>
      </c>
      <c r="W791">
        <f t="shared" si="183"/>
        <v>0</v>
      </c>
      <c r="X791">
        <f t="shared" si="184"/>
        <v>0</v>
      </c>
      <c r="Y791">
        <f t="shared" si="185"/>
        <v>0</v>
      </c>
    </row>
    <row r="792" spans="1:25" hidden="1">
      <c r="A792" t="str">
        <f t="shared" si="186"/>
        <v>Muller 1988</v>
      </c>
      <c r="E792">
        <v>0.127</v>
      </c>
      <c r="F792">
        <v>79.5</v>
      </c>
      <c r="H792">
        <f t="shared" ref="H792:H797" si="188">H791</f>
        <v>393.15</v>
      </c>
      <c r="I792">
        <v>9.3899999999999988</v>
      </c>
      <c r="J792">
        <v>0</v>
      </c>
      <c r="K792">
        <f t="shared" si="177"/>
        <v>0.20499999999999996</v>
      </c>
      <c r="L792">
        <f t="shared" si="178"/>
        <v>1.2700000000000001E-3</v>
      </c>
      <c r="S792">
        <f t="shared" si="179"/>
        <v>0</v>
      </c>
      <c r="T792">
        <f t="shared" si="180"/>
        <v>0</v>
      </c>
      <c r="U792">
        <f t="shared" si="181"/>
        <v>0</v>
      </c>
      <c r="V792">
        <f t="shared" si="182"/>
        <v>0</v>
      </c>
      <c r="W792">
        <f t="shared" si="183"/>
        <v>0</v>
      </c>
      <c r="X792">
        <f t="shared" si="184"/>
        <v>0</v>
      </c>
      <c r="Y792">
        <f t="shared" si="185"/>
        <v>0</v>
      </c>
    </row>
    <row r="793" spans="1:25" hidden="1">
      <c r="A793" t="str">
        <f t="shared" si="186"/>
        <v>Muller 1988</v>
      </c>
      <c r="E793">
        <v>0.18099999999999999</v>
      </c>
      <c r="F793">
        <v>84</v>
      </c>
      <c r="H793">
        <f t="shared" si="188"/>
        <v>393.15</v>
      </c>
      <c r="I793">
        <v>12.649999999999999</v>
      </c>
      <c r="J793">
        <v>0</v>
      </c>
      <c r="K793">
        <f t="shared" si="177"/>
        <v>0.16000000000000003</v>
      </c>
      <c r="L793">
        <f t="shared" si="178"/>
        <v>1.81E-3</v>
      </c>
      <c r="S793">
        <f t="shared" si="179"/>
        <v>0</v>
      </c>
      <c r="T793">
        <f t="shared" si="180"/>
        <v>0</v>
      </c>
      <c r="U793">
        <f t="shared" si="181"/>
        <v>0</v>
      </c>
      <c r="V793">
        <f t="shared" si="182"/>
        <v>0</v>
      </c>
      <c r="W793">
        <f t="shared" si="183"/>
        <v>0</v>
      </c>
      <c r="X793">
        <f t="shared" si="184"/>
        <v>0</v>
      </c>
      <c r="Y793">
        <f t="shared" si="185"/>
        <v>0</v>
      </c>
    </row>
    <row r="794" spans="1:25" hidden="1">
      <c r="A794" t="str">
        <f t="shared" si="186"/>
        <v>Muller 1988</v>
      </c>
      <c r="E794">
        <v>0.23899999999999999</v>
      </c>
      <c r="F794">
        <v>87.8</v>
      </c>
      <c r="H794">
        <f t="shared" si="188"/>
        <v>393.15</v>
      </c>
      <c r="I794">
        <v>16.309999999999999</v>
      </c>
      <c r="J794">
        <v>0</v>
      </c>
      <c r="K794">
        <f t="shared" si="177"/>
        <v>0.122</v>
      </c>
      <c r="L794">
        <f t="shared" si="178"/>
        <v>2.3899999999999998E-3</v>
      </c>
      <c r="S794">
        <f t="shared" si="179"/>
        <v>0</v>
      </c>
      <c r="T794">
        <f t="shared" si="180"/>
        <v>0</v>
      </c>
      <c r="U794">
        <f t="shared" si="181"/>
        <v>0</v>
      </c>
      <c r="V794">
        <f t="shared" si="182"/>
        <v>0</v>
      </c>
      <c r="W794">
        <f t="shared" si="183"/>
        <v>0</v>
      </c>
      <c r="X794">
        <f t="shared" si="184"/>
        <v>0</v>
      </c>
      <c r="Y794">
        <f t="shared" si="185"/>
        <v>0</v>
      </c>
    </row>
    <row r="795" spans="1:25" hidden="1">
      <c r="A795" t="str">
        <f t="shared" si="186"/>
        <v>Muller 1988</v>
      </c>
      <c r="E795">
        <v>0.29799999999999999</v>
      </c>
      <c r="F795">
        <v>89.8</v>
      </c>
      <c r="H795">
        <f t="shared" si="188"/>
        <v>393.15</v>
      </c>
      <c r="I795">
        <v>19.950000000000003</v>
      </c>
      <c r="J795">
        <v>0</v>
      </c>
      <c r="K795">
        <f t="shared" si="177"/>
        <v>0.10199999999999998</v>
      </c>
      <c r="L795">
        <f t="shared" si="178"/>
        <v>2.98E-3</v>
      </c>
      <c r="S795">
        <f t="shared" si="179"/>
        <v>0</v>
      </c>
      <c r="T795">
        <f t="shared" si="180"/>
        <v>0</v>
      </c>
      <c r="U795">
        <f t="shared" si="181"/>
        <v>0</v>
      </c>
      <c r="V795">
        <f t="shared" si="182"/>
        <v>0</v>
      </c>
      <c r="W795">
        <f t="shared" si="183"/>
        <v>0</v>
      </c>
      <c r="X795">
        <f t="shared" si="184"/>
        <v>0</v>
      </c>
      <c r="Y795">
        <f t="shared" si="185"/>
        <v>0</v>
      </c>
    </row>
    <row r="796" spans="1:25" hidden="1">
      <c r="A796" t="str">
        <f t="shared" si="186"/>
        <v>Muller 1988</v>
      </c>
      <c r="E796">
        <v>0.36299999999999999</v>
      </c>
      <c r="F796">
        <v>91.7</v>
      </c>
      <c r="H796">
        <f t="shared" si="188"/>
        <v>393.15</v>
      </c>
      <c r="I796">
        <v>24.119999999999997</v>
      </c>
      <c r="J796">
        <v>0</v>
      </c>
      <c r="K796">
        <f t="shared" si="177"/>
        <v>8.2999999999999963E-2</v>
      </c>
      <c r="L796">
        <f t="shared" si="178"/>
        <v>3.63E-3</v>
      </c>
      <c r="S796">
        <f t="shared" si="179"/>
        <v>0</v>
      </c>
      <c r="T796">
        <f t="shared" si="180"/>
        <v>0</v>
      </c>
      <c r="U796">
        <f t="shared" si="181"/>
        <v>0</v>
      </c>
      <c r="V796">
        <f t="shared" si="182"/>
        <v>0</v>
      </c>
      <c r="W796">
        <f t="shared" si="183"/>
        <v>0</v>
      </c>
      <c r="X796">
        <f t="shared" si="184"/>
        <v>0</v>
      </c>
      <c r="Y796">
        <f t="shared" si="185"/>
        <v>0</v>
      </c>
    </row>
    <row r="797" spans="1:25" hidden="1">
      <c r="A797" t="str">
        <f t="shared" si="186"/>
        <v>Muller 1988</v>
      </c>
      <c r="E797">
        <v>0.42799999999999999</v>
      </c>
      <c r="F797">
        <v>92.6</v>
      </c>
      <c r="H797">
        <f t="shared" si="188"/>
        <v>393.15</v>
      </c>
      <c r="I797">
        <v>28.479999999999997</v>
      </c>
      <c r="J797">
        <v>0</v>
      </c>
      <c r="K797">
        <f t="shared" si="177"/>
        <v>7.4000000000000066E-2</v>
      </c>
      <c r="L797">
        <f t="shared" si="178"/>
        <v>4.28E-3</v>
      </c>
      <c r="S797">
        <f t="shared" si="179"/>
        <v>0</v>
      </c>
      <c r="T797">
        <f t="shared" si="180"/>
        <v>0</v>
      </c>
      <c r="U797">
        <f t="shared" si="181"/>
        <v>0</v>
      </c>
      <c r="V797">
        <f t="shared" si="182"/>
        <v>0</v>
      </c>
      <c r="W797">
        <f t="shared" si="183"/>
        <v>0</v>
      </c>
      <c r="X797">
        <f t="shared" si="184"/>
        <v>0</v>
      </c>
      <c r="Y797">
        <f t="shared" si="185"/>
        <v>0</v>
      </c>
    </row>
    <row r="798" spans="1:25" hidden="1">
      <c r="A798" t="str">
        <f t="shared" si="186"/>
        <v>Muller 1988</v>
      </c>
      <c r="E798">
        <v>4.7E-2</v>
      </c>
      <c r="F798">
        <v>43.1</v>
      </c>
      <c r="H798">
        <v>413.15</v>
      </c>
      <c r="I798">
        <v>6.5</v>
      </c>
      <c r="J798">
        <v>0</v>
      </c>
      <c r="K798">
        <f t="shared" si="177"/>
        <v>0.56899999999999995</v>
      </c>
      <c r="L798">
        <f t="shared" si="178"/>
        <v>4.6999999999999999E-4</v>
      </c>
      <c r="S798">
        <f t="shared" si="179"/>
        <v>0</v>
      </c>
      <c r="T798">
        <f t="shared" si="180"/>
        <v>0</v>
      </c>
      <c r="U798">
        <f t="shared" si="181"/>
        <v>0</v>
      </c>
      <c r="V798">
        <f t="shared" si="182"/>
        <v>0</v>
      </c>
      <c r="W798">
        <f t="shared" si="183"/>
        <v>0</v>
      </c>
      <c r="X798">
        <f t="shared" si="184"/>
        <v>0</v>
      </c>
      <c r="Y798">
        <f t="shared" si="185"/>
        <v>0</v>
      </c>
    </row>
    <row r="799" spans="1:25" hidden="1">
      <c r="A799" t="str">
        <f t="shared" si="186"/>
        <v>Muller 1988</v>
      </c>
      <c r="E799">
        <v>9.1999999999999998E-2</v>
      </c>
      <c r="F799">
        <v>59.4</v>
      </c>
      <c r="H799">
        <f t="shared" ref="H799:H804" si="189">H798</f>
        <v>413.15</v>
      </c>
      <c r="I799">
        <v>9.26</v>
      </c>
      <c r="J799">
        <v>0</v>
      </c>
      <c r="K799">
        <f t="shared" si="177"/>
        <v>0.40600000000000003</v>
      </c>
      <c r="L799">
        <f t="shared" si="178"/>
        <v>9.2000000000000003E-4</v>
      </c>
      <c r="S799">
        <f t="shared" si="179"/>
        <v>0</v>
      </c>
      <c r="T799">
        <f t="shared" si="180"/>
        <v>0</v>
      </c>
      <c r="U799">
        <f t="shared" si="181"/>
        <v>0</v>
      </c>
      <c r="V799">
        <f t="shared" si="182"/>
        <v>0</v>
      </c>
      <c r="W799">
        <f t="shared" si="183"/>
        <v>0</v>
      </c>
      <c r="X799">
        <f t="shared" si="184"/>
        <v>0</v>
      </c>
      <c r="Y799">
        <f t="shared" si="185"/>
        <v>0</v>
      </c>
    </row>
    <row r="800" spans="1:25" hidden="1">
      <c r="A800" t="str">
        <f t="shared" si="186"/>
        <v>Muller 1988</v>
      </c>
      <c r="E800">
        <v>0.13300000000000001</v>
      </c>
      <c r="F800">
        <v>68.3</v>
      </c>
      <c r="H800">
        <f t="shared" si="189"/>
        <v>413.15</v>
      </c>
      <c r="I800">
        <v>11.93</v>
      </c>
      <c r="J800">
        <v>0</v>
      </c>
      <c r="K800">
        <f t="shared" si="177"/>
        <v>0.31700000000000006</v>
      </c>
      <c r="L800">
        <f t="shared" si="178"/>
        <v>1.33E-3</v>
      </c>
      <c r="S800">
        <f t="shared" si="179"/>
        <v>0</v>
      </c>
      <c r="T800">
        <f t="shared" si="180"/>
        <v>0</v>
      </c>
      <c r="U800">
        <f t="shared" si="181"/>
        <v>0</v>
      </c>
      <c r="V800">
        <f t="shared" si="182"/>
        <v>0</v>
      </c>
      <c r="W800">
        <f t="shared" si="183"/>
        <v>0</v>
      </c>
      <c r="X800">
        <f t="shared" si="184"/>
        <v>0</v>
      </c>
      <c r="Y800">
        <f t="shared" si="185"/>
        <v>0</v>
      </c>
    </row>
    <row r="801" spans="1:25" hidden="1">
      <c r="A801" t="str">
        <f t="shared" si="186"/>
        <v>Muller 1988</v>
      </c>
      <c r="E801">
        <v>0.19700000000000001</v>
      </c>
      <c r="F801">
        <v>75.8</v>
      </c>
      <c r="H801">
        <f t="shared" si="189"/>
        <v>413.15</v>
      </c>
      <c r="I801">
        <v>16.03</v>
      </c>
      <c r="J801">
        <v>0</v>
      </c>
      <c r="K801">
        <f t="shared" si="177"/>
        <v>0.24199999999999999</v>
      </c>
      <c r="L801">
        <f t="shared" si="178"/>
        <v>1.97E-3</v>
      </c>
      <c r="S801">
        <f t="shared" si="179"/>
        <v>0</v>
      </c>
      <c r="T801">
        <f t="shared" si="180"/>
        <v>0</v>
      </c>
      <c r="U801">
        <f t="shared" si="181"/>
        <v>0</v>
      </c>
      <c r="V801">
        <f t="shared" si="182"/>
        <v>0</v>
      </c>
      <c r="W801">
        <f t="shared" si="183"/>
        <v>0</v>
      </c>
      <c r="X801">
        <f t="shared" si="184"/>
        <v>0</v>
      </c>
      <c r="Y801">
        <f t="shared" si="185"/>
        <v>0</v>
      </c>
    </row>
    <row r="802" spans="1:25" hidden="1">
      <c r="A802" t="str">
        <f t="shared" si="186"/>
        <v>Muller 1988</v>
      </c>
      <c r="E802">
        <v>0.25800000000000001</v>
      </c>
      <c r="F802">
        <v>80</v>
      </c>
      <c r="H802">
        <f t="shared" si="189"/>
        <v>413.15</v>
      </c>
      <c r="I802">
        <v>20.099999999999998</v>
      </c>
      <c r="J802">
        <v>0</v>
      </c>
      <c r="K802">
        <f t="shared" si="177"/>
        <v>0.19999999999999996</v>
      </c>
      <c r="L802">
        <f t="shared" si="178"/>
        <v>2.5800000000000003E-3</v>
      </c>
      <c r="S802">
        <f t="shared" si="179"/>
        <v>0</v>
      </c>
      <c r="T802">
        <f t="shared" si="180"/>
        <v>0</v>
      </c>
      <c r="U802">
        <f t="shared" si="181"/>
        <v>0</v>
      </c>
      <c r="V802">
        <f t="shared" si="182"/>
        <v>0</v>
      </c>
      <c r="W802">
        <f t="shared" si="183"/>
        <v>0</v>
      </c>
      <c r="X802">
        <f t="shared" si="184"/>
        <v>0</v>
      </c>
      <c r="Y802">
        <f t="shared" si="185"/>
        <v>0</v>
      </c>
    </row>
    <row r="803" spans="1:25" hidden="1">
      <c r="A803" t="str">
        <f t="shared" si="186"/>
        <v>Muller 1988</v>
      </c>
      <c r="E803">
        <v>0.32500000000000001</v>
      </c>
      <c r="F803">
        <v>83.9</v>
      </c>
      <c r="H803">
        <f t="shared" si="189"/>
        <v>413.15</v>
      </c>
      <c r="I803">
        <v>24.89</v>
      </c>
      <c r="J803">
        <v>0</v>
      </c>
      <c r="K803">
        <f t="shared" si="177"/>
        <v>0.16099999999999992</v>
      </c>
      <c r="L803">
        <f t="shared" si="178"/>
        <v>3.2500000000000003E-3</v>
      </c>
      <c r="S803">
        <f t="shared" si="179"/>
        <v>0</v>
      </c>
      <c r="T803">
        <f t="shared" si="180"/>
        <v>0</v>
      </c>
      <c r="U803">
        <f t="shared" si="181"/>
        <v>0</v>
      </c>
      <c r="V803">
        <f t="shared" si="182"/>
        <v>0</v>
      </c>
      <c r="W803">
        <f t="shared" si="183"/>
        <v>0</v>
      </c>
      <c r="X803">
        <f t="shared" si="184"/>
        <v>0</v>
      </c>
      <c r="Y803">
        <f t="shared" si="185"/>
        <v>0</v>
      </c>
    </row>
    <row r="804" spans="1:25" hidden="1">
      <c r="A804" t="str">
        <f t="shared" si="186"/>
        <v>Muller 1988</v>
      </c>
      <c r="E804">
        <v>0.43</v>
      </c>
      <c r="F804">
        <v>87.2</v>
      </c>
      <c r="H804">
        <f t="shared" si="189"/>
        <v>413.15</v>
      </c>
      <c r="I804">
        <v>32.47</v>
      </c>
      <c r="J804">
        <v>0</v>
      </c>
      <c r="K804">
        <f t="shared" si="177"/>
        <v>0.128</v>
      </c>
      <c r="L804">
        <f t="shared" si="178"/>
        <v>4.3E-3</v>
      </c>
      <c r="S804">
        <f t="shared" si="179"/>
        <v>0</v>
      </c>
      <c r="T804">
        <f t="shared" si="180"/>
        <v>0</v>
      </c>
      <c r="U804">
        <f t="shared" si="181"/>
        <v>0</v>
      </c>
      <c r="V804">
        <f t="shared" si="182"/>
        <v>0</v>
      </c>
      <c r="W804">
        <f t="shared" si="183"/>
        <v>0</v>
      </c>
      <c r="X804">
        <f t="shared" si="184"/>
        <v>0</v>
      </c>
      <c r="Y804">
        <f t="shared" si="185"/>
        <v>0</v>
      </c>
    </row>
    <row r="805" spans="1:25" hidden="1">
      <c r="A805" t="str">
        <f t="shared" si="186"/>
        <v>Muller 1988</v>
      </c>
      <c r="E805">
        <v>3.9E-2</v>
      </c>
      <c r="F805">
        <v>26.8</v>
      </c>
      <c r="H805">
        <v>433.15</v>
      </c>
      <c r="I805">
        <v>8.7799999999999994</v>
      </c>
      <c r="J805">
        <v>0</v>
      </c>
      <c r="K805">
        <f t="shared" si="177"/>
        <v>0.73199999999999998</v>
      </c>
      <c r="L805">
        <f t="shared" si="178"/>
        <v>3.8999999999999999E-4</v>
      </c>
      <c r="S805">
        <f t="shared" si="179"/>
        <v>0</v>
      </c>
      <c r="T805">
        <f t="shared" si="180"/>
        <v>0</v>
      </c>
      <c r="U805">
        <f t="shared" si="181"/>
        <v>0</v>
      </c>
      <c r="V805">
        <f t="shared" si="182"/>
        <v>0</v>
      </c>
      <c r="W805">
        <f t="shared" si="183"/>
        <v>0</v>
      </c>
      <c r="X805">
        <f t="shared" si="184"/>
        <v>0</v>
      </c>
      <c r="Y805">
        <f t="shared" si="185"/>
        <v>0</v>
      </c>
    </row>
    <row r="806" spans="1:25" hidden="1">
      <c r="A806" t="str">
        <f t="shared" si="186"/>
        <v>Muller 1988</v>
      </c>
      <c r="E806">
        <v>8.4000000000000005E-2</v>
      </c>
      <c r="F806">
        <v>42.1</v>
      </c>
      <c r="H806">
        <f t="shared" ref="H806:H811" si="190">H805</f>
        <v>433.15</v>
      </c>
      <c r="I806">
        <v>11.44</v>
      </c>
      <c r="J806">
        <v>0</v>
      </c>
      <c r="K806">
        <f t="shared" si="177"/>
        <v>0.57899999999999996</v>
      </c>
      <c r="L806">
        <f t="shared" si="178"/>
        <v>8.4000000000000003E-4</v>
      </c>
      <c r="S806">
        <f t="shared" si="179"/>
        <v>0</v>
      </c>
      <c r="T806">
        <f t="shared" si="180"/>
        <v>0</v>
      </c>
      <c r="U806">
        <f t="shared" si="181"/>
        <v>0</v>
      </c>
      <c r="V806">
        <f t="shared" si="182"/>
        <v>0</v>
      </c>
      <c r="W806">
        <f t="shared" si="183"/>
        <v>0</v>
      </c>
      <c r="X806">
        <f t="shared" si="184"/>
        <v>0</v>
      </c>
      <c r="Y806">
        <f t="shared" si="185"/>
        <v>0</v>
      </c>
    </row>
    <row r="807" spans="1:25" hidden="1">
      <c r="A807" t="str">
        <f t="shared" si="186"/>
        <v>Muller 1988</v>
      </c>
      <c r="E807">
        <v>0.13100000000000001</v>
      </c>
      <c r="F807">
        <v>52.4</v>
      </c>
      <c r="H807">
        <f t="shared" si="190"/>
        <v>433.15</v>
      </c>
      <c r="I807">
        <v>14.17</v>
      </c>
      <c r="J807">
        <v>0</v>
      </c>
      <c r="K807">
        <f t="shared" si="177"/>
        <v>0.47599999999999998</v>
      </c>
      <c r="L807">
        <f t="shared" si="178"/>
        <v>1.31E-3</v>
      </c>
      <c r="S807">
        <f t="shared" si="179"/>
        <v>0</v>
      </c>
      <c r="T807">
        <f t="shared" si="180"/>
        <v>0</v>
      </c>
      <c r="U807">
        <f t="shared" si="181"/>
        <v>0</v>
      </c>
      <c r="V807">
        <f t="shared" si="182"/>
        <v>0</v>
      </c>
      <c r="W807">
        <f t="shared" si="183"/>
        <v>0</v>
      </c>
      <c r="X807">
        <f t="shared" si="184"/>
        <v>0</v>
      </c>
      <c r="Y807">
        <f t="shared" si="185"/>
        <v>0</v>
      </c>
    </row>
    <row r="808" spans="1:25" hidden="1">
      <c r="A808" t="str">
        <f t="shared" si="186"/>
        <v>Muller 1988</v>
      </c>
      <c r="E808">
        <v>0.186</v>
      </c>
      <c r="F808">
        <v>61.2</v>
      </c>
      <c r="H808">
        <f t="shared" si="190"/>
        <v>433.15</v>
      </c>
      <c r="I808">
        <v>17.77</v>
      </c>
      <c r="J808">
        <v>0</v>
      </c>
      <c r="K808">
        <f t="shared" si="177"/>
        <v>0.38800000000000001</v>
      </c>
      <c r="L808">
        <f t="shared" si="178"/>
        <v>1.8599999999999999E-3</v>
      </c>
      <c r="S808">
        <f t="shared" si="179"/>
        <v>0</v>
      </c>
      <c r="T808">
        <f t="shared" si="180"/>
        <v>0</v>
      </c>
      <c r="U808">
        <f t="shared" si="181"/>
        <v>0</v>
      </c>
      <c r="V808">
        <f t="shared" si="182"/>
        <v>0</v>
      </c>
      <c r="W808">
        <f t="shared" si="183"/>
        <v>0</v>
      </c>
      <c r="X808">
        <f t="shared" si="184"/>
        <v>0</v>
      </c>
      <c r="Y808">
        <f t="shared" si="185"/>
        <v>0</v>
      </c>
    </row>
    <row r="809" spans="1:25" hidden="1">
      <c r="A809" t="str">
        <f t="shared" si="186"/>
        <v>Muller 1988</v>
      </c>
      <c r="E809">
        <v>0.249</v>
      </c>
      <c r="F809">
        <v>67.7</v>
      </c>
      <c r="H809">
        <f t="shared" si="190"/>
        <v>433.15</v>
      </c>
      <c r="I809">
        <v>21.83</v>
      </c>
      <c r="J809">
        <v>0</v>
      </c>
      <c r="K809">
        <f t="shared" si="177"/>
        <v>0.32299999999999995</v>
      </c>
      <c r="L809">
        <f t="shared" si="178"/>
        <v>2.49E-3</v>
      </c>
      <c r="S809">
        <f t="shared" si="179"/>
        <v>0</v>
      </c>
      <c r="T809">
        <f t="shared" si="180"/>
        <v>0</v>
      </c>
      <c r="U809">
        <f t="shared" si="181"/>
        <v>0</v>
      </c>
      <c r="V809">
        <f t="shared" si="182"/>
        <v>0</v>
      </c>
      <c r="W809">
        <f t="shared" si="183"/>
        <v>0</v>
      </c>
      <c r="X809">
        <f t="shared" si="184"/>
        <v>0</v>
      </c>
      <c r="Y809">
        <f t="shared" si="185"/>
        <v>0</v>
      </c>
    </row>
    <row r="810" spans="1:25" hidden="1">
      <c r="A810" t="str">
        <f t="shared" si="186"/>
        <v>Muller 1988</v>
      </c>
      <c r="E810">
        <v>0.308</v>
      </c>
      <c r="F810">
        <v>72.5</v>
      </c>
      <c r="H810">
        <f t="shared" si="190"/>
        <v>433.15</v>
      </c>
      <c r="I810">
        <v>25.880000000000003</v>
      </c>
      <c r="J810">
        <v>0</v>
      </c>
      <c r="K810">
        <f t="shared" si="177"/>
        <v>0.27500000000000002</v>
      </c>
      <c r="L810">
        <f t="shared" si="178"/>
        <v>3.0799999999999998E-3</v>
      </c>
      <c r="S810">
        <f t="shared" si="179"/>
        <v>0</v>
      </c>
      <c r="T810">
        <f t="shared" si="180"/>
        <v>0</v>
      </c>
      <c r="U810">
        <f t="shared" si="181"/>
        <v>0</v>
      </c>
      <c r="V810">
        <f t="shared" si="182"/>
        <v>0</v>
      </c>
      <c r="W810">
        <f t="shared" si="183"/>
        <v>0</v>
      </c>
      <c r="X810">
        <f t="shared" si="184"/>
        <v>0</v>
      </c>
      <c r="Y810">
        <f t="shared" si="185"/>
        <v>0</v>
      </c>
    </row>
    <row r="811" spans="1:25" hidden="1">
      <c r="A811" t="str">
        <f t="shared" si="186"/>
        <v>Muller 1988</v>
      </c>
      <c r="E811">
        <v>0.434</v>
      </c>
      <c r="F811">
        <v>78.900000000000006</v>
      </c>
      <c r="H811">
        <f t="shared" si="190"/>
        <v>433.15</v>
      </c>
      <c r="I811">
        <v>34.799999999999997</v>
      </c>
      <c r="J811">
        <v>0</v>
      </c>
      <c r="K811">
        <f t="shared" si="177"/>
        <v>0.21099999999999997</v>
      </c>
      <c r="L811">
        <f t="shared" si="178"/>
        <v>4.3400000000000001E-3</v>
      </c>
      <c r="S811">
        <f t="shared" si="179"/>
        <v>0</v>
      </c>
      <c r="T811">
        <f t="shared" si="180"/>
        <v>0</v>
      </c>
      <c r="U811">
        <f t="shared" si="181"/>
        <v>0</v>
      </c>
      <c r="V811">
        <f t="shared" si="182"/>
        <v>0</v>
      </c>
      <c r="W811">
        <f t="shared" si="183"/>
        <v>0</v>
      </c>
      <c r="X811">
        <f t="shared" si="184"/>
        <v>0</v>
      </c>
      <c r="Y811">
        <f t="shared" si="185"/>
        <v>0</v>
      </c>
    </row>
    <row r="812" spans="1:25" hidden="1">
      <c r="A812" t="str">
        <f t="shared" si="186"/>
        <v>Muller 1988</v>
      </c>
      <c r="E812">
        <v>8.1000000000000003E-2</v>
      </c>
      <c r="F812">
        <v>27.2</v>
      </c>
      <c r="H812">
        <v>453.15</v>
      </c>
      <c r="I812">
        <v>14.39</v>
      </c>
      <c r="J812">
        <v>0</v>
      </c>
      <c r="K812">
        <f t="shared" si="177"/>
        <v>0.72799999999999998</v>
      </c>
      <c r="L812">
        <f t="shared" si="178"/>
        <v>8.1000000000000006E-4</v>
      </c>
      <c r="S812">
        <f t="shared" si="179"/>
        <v>0</v>
      </c>
      <c r="T812">
        <f t="shared" si="180"/>
        <v>0</v>
      </c>
      <c r="U812">
        <f t="shared" si="181"/>
        <v>0</v>
      </c>
      <c r="V812">
        <f t="shared" si="182"/>
        <v>0</v>
      </c>
      <c r="W812">
        <f t="shared" si="183"/>
        <v>0</v>
      </c>
      <c r="X812">
        <f t="shared" si="184"/>
        <v>0</v>
      </c>
      <c r="Y812">
        <f t="shared" si="185"/>
        <v>0</v>
      </c>
    </row>
    <row r="813" spans="1:25" hidden="1">
      <c r="A813" t="str">
        <f t="shared" si="186"/>
        <v>Muller 1988</v>
      </c>
      <c r="E813">
        <v>0.186</v>
      </c>
      <c r="F813">
        <v>47.8</v>
      </c>
      <c r="H813">
        <f t="shared" ref="H813:H818" si="191">H812</f>
        <v>453.15</v>
      </c>
      <c r="I813">
        <v>21.009999999999998</v>
      </c>
      <c r="J813">
        <v>0</v>
      </c>
      <c r="K813">
        <f t="shared" si="177"/>
        <v>0.52200000000000002</v>
      </c>
      <c r="L813">
        <f t="shared" si="178"/>
        <v>1.8599999999999999E-3</v>
      </c>
      <c r="S813">
        <f t="shared" si="179"/>
        <v>0</v>
      </c>
      <c r="T813">
        <f t="shared" si="180"/>
        <v>0</v>
      </c>
      <c r="U813">
        <f t="shared" si="181"/>
        <v>0</v>
      </c>
      <c r="V813">
        <f t="shared" si="182"/>
        <v>0</v>
      </c>
      <c r="W813">
        <f t="shared" si="183"/>
        <v>0</v>
      </c>
      <c r="X813">
        <f t="shared" si="184"/>
        <v>0</v>
      </c>
      <c r="Y813">
        <f t="shared" si="185"/>
        <v>0</v>
      </c>
    </row>
    <row r="814" spans="1:25" hidden="1">
      <c r="A814" t="str">
        <f t="shared" si="186"/>
        <v>Muller 1988</v>
      </c>
      <c r="E814">
        <v>0.27</v>
      </c>
      <c r="F814">
        <v>56.9</v>
      </c>
      <c r="H814">
        <f t="shared" si="191"/>
        <v>453.15</v>
      </c>
      <c r="I814">
        <v>26.150000000000002</v>
      </c>
      <c r="J814">
        <v>0</v>
      </c>
      <c r="K814">
        <f t="shared" si="177"/>
        <v>0.43100000000000005</v>
      </c>
      <c r="L814">
        <f t="shared" si="178"/>
        <v>2.7000000000000001E-3</v>
      </c>
      <c r="S814">
        <f t="shared" si="179"/>
        <v>0</v>
      </c>
      <c r="T814">
        <f t="shared" si="180"/>
        <v>0</v>
      </c>
      <c r="U814">
        <f t="shared" si="181"/>
        <v>0</v>
      </c>
      <c r="V814">
        <f t="shared" si="182"/>
        <v>0</v>
      </c>
      <c r="W814">
        <f t="shared" si="183"/>
        <v>0</v>
      </c>
      <c r="X814">
        <f t="shared" si="184"/>
        <v>0</v>
      </c>
      <c r="Y814">
        <f t="shared" si="185"/>
        <v>0</v>
      </c>
    </row>
    <row r="815" spans="1:25" hidden="1">
      <c r="A815" t="str">
        <f t="shared" si="186"/>
        <v>Muller 1988</v>
      </c>
      <c r="E815">
        <v>0.374</v>
      </c>
      <c r="F815">
        <v>64.099999999999994</v>
      </c>
      <c r="H815">
        <f t="shared" si="191"/>
        <v>453.15</v>
      </c>
      <c r="I815">
        <v>32.799999999999997</v>
      </c>
      <c r="J815">
        <v>0</v>
      </c>
      <c r="K815">
        <f t="shared" si="177"/>
        <v>0.3590000000000001</v>
      </c>
      <c r="L815">
        <f t="shared" si="178"/>
        <v>3.7399999999999998E-3</v>
      </c>
      <c r="S815">
        <f t="shared" si="179"/>
        <v>0</v>
      </c>
      <c r="T815">
        <f t="shared" si="180"/>
        <v>0</v>
      </c>
      <c r="U815">
        <f t="shared" si="181"/>
        <v>0</v>
      </c>
      <c r="V815">
        <f t="shared" si="182"/>
        <v>0</v>
      </c>
      <c r="W815">
        <f t="shared" si="183"/>
        <v>0</v>
      </c>
      <c r="X815">
        <f t="shared" si="184"/>
        <v>0</v>
      </c>
      <c r="Y815">
        <f t="shared" si="185"/>
        <v>0</v>
      </c>
    </row>
    <row r="816" spans="1:25" hidden="1">
      <c r="A816" t="str">
        <f t="shared" si="186"/>
        <v>Muller 1988</v>
      </c>
      <c r="E816">
        <v>0.49299999999999999</v>
      </c>
      <c r="F816">
        <v>70</v>
      </c>
      <c r="H816">
        <f t="shared" si="191"/>
        <v>453.15</v>
      </c>
      <c r="I816">
        <v>40.700000000000003</v>
      </c>
      <c r="J816">
        <v>0</v>
      </c>
      <c r="K816">
        <f t="shared" ref="K816:K832" si="192">1-F816/100</f>
        <v>0.30000000000000004</v>
      </c>
      <c r="L816">
        <f t="shared" ref="L816:L832" si="193">E816/100</f>
        <v>4.9300000000000004E-3</v>
      </c>
      <c r="S816">
        <f t="shared" ref="S816:S832" si="194">S815</f>
        <v>0</v>
      </c>
      <c r="T816">
        <f t="shared" ref="T816:T832" si="195">T815</f>
        <v>0</v>
      </c>
      <c r="U816">
        <f t="shared" ref="U816:U832" si="196">U815</f>
        <v>0</v>
      </c>
      <c r="V816">
        <f t="shared" ref="V816:V832" si="197">V815</f>
        <v>0</v>
      </c>
      <c r="W816">
        <f t="shared" ref="W816:W832" si="198">W815</f>
        <v>0</v>
      </c>
      <c r="X816">
        <f t="shared" ref="X816:X832" si="199">X815</f>
        <v>0</v>
      </c>
      <c r="Y816">
        <f t="shared" ref="Y816:Y832" si="200">Y815</f>
        <v>0</v>
      </c>
    </row>
    <row r="817" spans="1:25" hidden="1">
      <c r="A817" t="str">
        <f t="shared" si="186"/>
        <v>Muller 1988</v>
      </c>
      <c r="E817">
        <v>0.61499999999999999</v>
      </c>
      <c r="F817">
        <v>74.3</v>
      </c>
      <c r="H817">
        <f t="shared" si="191"/>
        <v>453.15</v>
      </c>
      <c r="I817">
        <v>49.1</v>
      </c>
      <c r="J817">
        <v>0</v>
      </c>
      <c r="K817">
        <f t="shared" si="192"/>
        <v>0.25700000000000001</v>
      </c>
      <c r="L817">
        <f t="shared" si="193"/>
        <v>6.1500000000000001E-3</v>
      </c>
      <c r="S817">
        <f t="shared" si="194"/>
        <v>0</v>
      </c>
      <c r="T817">
        <f t="shared" si="195"/>
        <v>0</v>
      </c>
      <c r="U817">
        <f t="shared" si="196"/>
        <v>0</v>
      </c>
      <c r="V817">
        <f t="shared" si="197"/>
        <v>0</v>
      </c>
      <c r="W817">
        <f t="shared" si="198"/>
        <v>0</v>
      </c>
      <c r="X817">
        <f t="shared" si="199"/>
        <v>0</v>
      </c>
      <c r="Y817">
        <f t="shared" si="200"/>
        <v>0</v>
      </c>
    </row>
    <row r="818" spans="1:25" hidden="1">
      <c r="A818" t="str">
        <f t="shared" si="186"/>
        <v>Muller 1988</v>
      </c>
      <c r="E818">
        <v>0.78300000000000003</v>
      </c>
      <c r="F818">
        <v>79.3</v>
      </c>
      <c r="H818">
        <f t="shared" si="191"/>
        <v>453.15</v>
      </c>
      <c r="I818">
        <v>62.699999999999996</v>
      </c>
      <c r="J818">
        <v>0</v>
      </c>
      <c r="K818">
        <f t="shared" si="192"/>
        <v>0.20700000000000007</v>
      </c>
      <c r="L818">
        <f t="shared" si="193"/>
        <v>7.8300000000000002E-3</v>
      </c>
      <c r="S818">
        <f t="shared" si="194"/>
        <v>0</v>
      </c>
      <c r="T818">
        <f t="shared" si="195"/>
        <v>0</v>
      </c>
      <c r="U818">
        <f t="shared" si="196"/>
        <v>0</v>
      </c>
      <c r="V818">
        <f t="shared" si="197"/>
        <v>0</v>
      </c>
      <c r="W818">
        <f t="shared" si="198"/>
        <v>0</v>
      </c>
      <c r="X818">
        <f t="shared" si="199"/>
        <v>0</v>
      </c>
      <c r="Y818">
        <f t="shared" si="200"/>
        <v>0</v>
      </c>
    </row>
    <row r="819" spans="1:25" hidden="1">
      <c r="A819" t="str">
        <f t="shared" si="186"/>
        <v>Muller 1988</v>
      </c>
      <c r="E819">
        <v>6.8000000000000005E-2</v>
      </c>
      <c r="F819">
        <v>23.3</v>
      </c>
      <c r="H819">
        <v>473.15</v>
      </c>
      <c r="I819">
        <v>20</v>
      </c>
      <c r="J819">
        <v>0</v>
      </c>
      <c r="K819">
        <f t="shared" si="192"/>
        <v>0.76700000000000002</v>
      </c>
      <c r="L819">
        <f t="shared" si="193"/>
        <v>6.8000000000000005E-4</v>
      </c>
      <c r="S819">
        <f t="shared" si="194"/>
        <v>0</v>
      </c>
      <c r="T819">
        <f t="shared" si="195"/>
        <v>0</v>
      </c>
      <c r="U819">
        <f t="shared" si="196"/>
        <v>0</v>
      </c>
      <c r="V819">
        <f t="shared" si="197"/>
        <v>0</v>
      </c>
      <c r="W819">
        <f t="shared" si="198"/>
        <v>0</v>
      </c>
      <c r="X819">
        <f t="shared" si="199"/>
        <v>0</v>
      </c>
      <c r="Y819">
        <f t="shared" si="200"/>
        <v>0</v>
      </c>
    </row>
    <row r="820" spans="1:25" hidden="1">
      <c r="A820" t="str">
        <f t="shared" si="186"/>
        <v>Muller 1988</v>
      </c>
      <c r="E820">
        <v>0.156</v>
      </c>
      <c r="F820">
        <v>37.1</v>
      </c>
      <c r="H820">
        <f t="shared" ref="H820:H832" si="201">H819</f>
        <v>473.15</v>
      </c>
      <c r="I820">
        <v>24.94</v>
      </c>
      <c r="J820">
        <v>0</v>
      </c>
      <c r="K820">
        <f t="shared" si="192"/>
        <v>0.629</v>
      </c>
      <c r="L820">
        <f t="shared" si="193"/>
        <v>1.56E-3</v>
      </c>
      <c r="S820">
        <f t="shared" si="194"/>
        <v>0</v>
      </c>
      <c r="T820">
        <f t="shared" si="195"/>
        <v>0</v>
      </c>
      <c r="U820">
        <f t="shared" si="196"/>
        <v>0</v>
      </c>
      <c r="V820">
        <f t="shared" si="197"/>
        <v>0</v>
      </c>
      <c r="W820">
        <f t="shared" si="198"/>
        <v>0</v>
      </c>
      <c r="X820">
        <f t="shared" si="199"/>
        <v>0</v>
      </c>
      <c r="Y820">
        <f t="shared" si="200"/>
        <v>0</v>
      </c>
    </row>
    <row r="821" spans="1:25" hidden="1">
      <c r="A821" t="str">
        <f t="shared" si="186"/>
        <v>Muller 1988</v>
      </c>
      <c r="E821">
        <v>0.25700000000000001</v>
      </c>
      <c r="F821">
        <v>48.6</v>
      </c>
      <c r="H821">
        <f t="shared" si="201"/>
        <v>473.15</v>
      </c>
      <c r="I821">
        <v>31</v>
      </c>
      <c r="J821">
        <v>0</v>
      </c>
      <c r="K821">
        <f t="shared" si="192"/>
        <v>0.51400000000000001</v>
      </c>
      <c r="L821">
        <f t="shared" si="193"/>
        <v>2.5700000000000002E-3</v>
      </c>
      <c r="S821">
        <f t="shared" si="194"/>
        <v>0</v>
      </c>
      <c r="T821">
        <f t="shared" si="195"/>
        <v>0</v>
      </c>
      <c r="U821">
        <f t="shared" si="196"/>
        <v>0</v>
      </c>
      <c r="V821">
        <f t="shared" si="197"/>
        <v>0</v>
      </c>
      <c r="W821">
        <f t="shared" si="198"/>
        <v>0</v>
      </c>
      <c r="X821">
        <f t="shared" si="199"/>
        <v>0</v>
      </c>
      <c r="Y821">
        <f t="shared" si="200"/>
        <v>0</v>
      </c>
    </row>
    <row r="822" spans="1:25" hidden="1">
      <c r="A822" t="str">
        <f t="shared" si="186"/>
        <v>Muller 1988</v>
      </c>
      <c r="E822">
        <v>0.374</v>
      </c>
      <c r="F822">
        <v>57.4</v>
      </c>
      <c r="H822">
        <f t="shared" si="201"/>
        <v>473.15</v>
      </c>
      <c r="I822">
        <v>37.599999999999994</v>
      </c>
      <c r="J822">
        <v>0</v>
      </c>
      <c r="K822">
        <f t="shared" si="192"/>
        <v>0.42600000000000005</v>
      </c>
      <c r="L822">
        <f t="shared" si="193"/>
        <v>3.7399999999999998E-3</v>
      </c>
      <c r="S822">
        <f t="shared" si="194"/>
        <v>0</v>
      </c>
      <c r="T822">
        <f t="shared" si="195"/>
        <v>0</v>
      </c>
      <c r="U822">
        <f t="shared" si="196"/>
        <v>0</v>
      </c>
      <c r="V822">
        <f t="shared" si="197"/>
        <v>0</v>
      </c>
      <c r="W822">
        <f t="shared" si="198"/>
        <v>0</v>
      </c>
      <c r="X822">
        <f t="shared" si="199"/>
        <v>0</v>
      </c>
      <c r="Y822">
        <f t="shared" si="200"/>
        <v>0</v>
      </c>
    </row>
    <row r="823" spans="1:25" hidden="1">
      <c r="A823" t="str">
        <f t="shared" si="186"/>
        <v>Muller 1988</v>
      </c>
      <c r="E823">
        <v>0.5</v>
      </c>
      <c r="F823">
        <v>63.5</v>
      </c>
      <c r="H823">
        <f t="shared" si="201"/>
        <v>473.15</v>
      </c>
      <c r="I823">
        <v>45.7</v>
      </c>
      <c r="J823">
        <v>0</v>
      </c>
      <c r="K823">
        <f t="shared" si="192"/>
        <v>0.36499999999999999</v>
      </c>
      <c r="L823">
        <f t="shared" si="193"/>
        <v>5.0000000000000001E-3</v>
      </c>
      <c r="S823">
        <f t="shared" si="194"/>
        <v>0</v>
      </c>
      <c r="T823">
        <f t="shared" si="195"/>
        <v>0</v>
      </c>
      <c r="U823">
        <f t="shared" si="196"/>
        <v>0</v>
      </c>
      <c r="V823">
        <f t="shared" si="197"/>
        <v>0</v>
      </c>
      <c r="W823">
        <f t="shared" si="198"/>
        <v>0</v>
      </c>
      <c r="X823">
        <f t="shared" si="199"/>
        <v>0</v>
      </c>
      <c r="Y823">
        <f t="shared" si="200"/>
        <v>0</v>
      </c>
    </row>
    <row r="824" spans="1:25" hidden="1">
      <c r="A824" t="str">
        <f t="shared" si="186"/>
        <v>Muller 1988</v>
      </c>
      <c r="E824">
        <v>0.71199999999999997</v>
      </c>
      <c r="F824">
        <v>70.8</v>
      </c>
      <c r="H824">
        <f t="shared" si="201"/>
        <v>473.15</v>
      </c>
      <c r="I824">
        <v>60.4</v>
      </c>
      <c r="J824">
        <v>0</v>
      </c>
      <c r="K824">
        <f t="shared" si="192"/>
        <v>0.29200000000000004</v>
      </c>
      <c r="L824">
        <f t="shared" si="193"/>
        <v>7.1199999999999996E-3</v>
      </c>
      <c r="S824">
        <f t="shared" si="194"/>
        <v>0</v>
      </c>
      <c r="T824">
        <f t="shared" si="195"/>
        <v>0</v>
      </c>
      <c r="U824">
        <f t="shared" si="196"/>
        <v>0</v>
      </c>
      <c r="V824">
        <f t="shared" si="197"/>
        <v>0</v>
      </c>
      <c r="W824">
        <f t="shared" si="198"/>
        <v>0</v>
      </c>
      <c r="X824">
        <f t="shared" si="199"/>
        <v>0</v>
      </c>
      <c r="Y824">
        <f t="shared" si="200"/>
        <v>0</v>
      </c>
    </row>
    <row r="825" spans="1:25" hidden="1">
      <c r="A825" t="str">
        <f t="shared" si="186"/>
        <v>Muller 1988</v>
      </c>
      <c r="E825">
        <v>0.93200000000000005</v>
      </c>
      <c r="F825">
        <v>75.599999999999994</v>
      </c>
      <c r="H825">
        <f t="shared" si="201"/>
        <v>473.15</v>
      </c>
      <c r="I825">
        <v>78</v>
      </c>
      <c r="J825">
        <v>0</v>
      </c>
      <c r="K825">
        <f t="shared" si="192"/>
        <v>0.24400000000000011</v>
      </c>
      <c r="L825">
        <f t="shared" si="193"/>
        <v>9.3200000000000002E-3</v>
      </c>
      <c r="S825">
        <f t="shared" si="194"/>
        <v>0</v>
      </c>
      <c r="T825">
        <f t="shared" si="195"/>
        <v>0</v>
      </c>
      <c r="U825">
        <f t="shared" si="196"/>
        <v>0</v>
      </c>
      <c r="V825">
        <f t="shared" si="197"/>
        <v>0</v>
      </c>
      <c r="W825">
        <f t="shared" si="198"/>
        <v>0</v>
      </c>
      <c r="X825">
        <f t="shared" si="199"/>
        <v>0</v>
      </c>
      <c r="Y825">
        <f t="shared" si="200"/>
        <v>0</v>
      </c>
    </row>
    <row r="826" spans="1:25" hidden="1">
      <c r="A826" t="str">
        <f t="shared" si="186"/>
        <v>Muller 1988</v>
      </c>
      <c r="E826">
        <v>9.0999999999999998E-2</v>
      </c>
      <c r="F826">
        <v>24.5</v>
      </c>
      <c r="H826">
        <f t="shared" si="201"/>
        <v>473.15</v>
      </c>
      <c r="I826">
        <v>20.270000000000003</v>
      </c>
      <c r="J826">
        <v>0</v>
      </c>
      <c r="K826">
        <f t="shared" si="192"/>
        <v>0.755</v>
      </c>
      <c r="L826">
        <f t="shared" si="193"/>
        <v>9.1E-4</v>
      </c>
      <c r="S826">
        <f t="shared" si="194"/>
        <v>0</v>
      </c>
      <c r="T826">
        <f t="shared" si="195"/>
        <v>0</v>
      </c>
      <c r="U826">
        <f t="shared" si="196"/>
        <v>0</v>
      </c>
      <c r="V826">
        <f t="shared" si="197"/>
        <v>0</v>
      </c>
      <c r="W826">
        <f t="shared" si="198"/>
        <v>0</v>
      </c>
      <c r="X826">
        <f t="shared" si="199"/>
        <v>0</v>
      </c>
      <c r="Y826">
        <f t="shared" si="200"/>
        <v>0</v>
      </c>
    </row>
    <row r="827" spans="1:25" hidden="1">
      <c r="A827" t="str">
        <f t="shared" si="186"/>
        <v>Muller 1988</v>
      </c>
      <c r="E827">
        <v>0.19600000000000001</v>
      </c>
      <c r="F827">
        <v>40.799999999999997</v>
      </c>
      <c r="H827">
        <f t="shared" si="201"/>
        <v>473.15</v>
      </c>
      <c r="I827">
        <v>26.38</v>
      </c>
      <c r="J827">
        <v>0</v>
      </c>
      <c r="K827">
        <f t="shared" si="192"/>
        <v>0.59200000000000008</v>
      </c>
      <c r="L827">
        <f t="shared" si="193"/>
        <v>1.9599999999999999E-3</v>
      </c>
      <c r="S827">
        <f t="shared" si="194"/>
        <v>0</v>
      </c>
      <c r="T827">
        <f t="shared" si="195"/>
        <v>0</v>
      </c>
      <c r="U827">
        <f t="shared" si="196"/>
        <v>0</v>
      </c>
      <c r="V827">
        <f t="shared" si="197"/>
        <v>0</v>
      </c>
      <c r="W827">
        <f t="shared" si="198"/>
        <v>0</v>
      </c>
      <c r="X827">
        <f t="shared" si="199"/>
        <v>0</v>
      </c>
      <c r="Y827">
        <f t="shared" si="200"/>
        <v>0</v>
      </c>
    </row>
    <row r="828" spans="1:25" hidden="1">
      <c r="A828" t="str">
        <f t="shared" si="186"/>
        <v>Muller 1988</v>
      </c>
      <c r="E828">
        <v>0.32</v>
      </c>
      <c r="F828">
        <v>52.9</v>
      </c>
      <c r="H828">
        <f t="shared" si="201"/>
        <v>473.15</v>
      </c>
      <c r="I828">
        <v>34</v>
      </c>
      <c r="J828">
        <v>0</v>
      </c>
      <c r="K828">
        <f t="shared" si="192"/>
        <v>0.47099999999999997</v>
      </c>
      <c r="L828">
        <f t="shared" si="193"/>
        <v>3.2000000000000002E-3</v>
      </c>
      <c r="S828">
        <f t="shared" si="194"/>
        <v>0</v>
      </c>
      <c r="T828">
        <f t="shared" si="195"/>
        <v>0</v>
      </c>
      <c r="U828">
        <f t="shared" si="196"/>
        <v>0</v>
      </c>
      <c r="V828">
        <f t="shared" si="197"/>
        <v>0</v>
      </c>
      <c r="W828">
        <f t="shared" si="198"/>
        <v>0</v>
      </c>
      <c r="X828">
        <f t="shared" si="199"/>
        <v>0</v>
      </c>
      <c r="Y828">
        <f t="shared" si="200"/>
        <v>0</v>
      </c>
    </row>
    <row r="829" spans="1:25" hidden="1">
      <c r="A829" t="str">
        <f t="shared" si="186"/>
        <v>Muller 1988</v>
      </c>
      <c r="E829">
        <v>0.44800000000000001</v>
      </c>
      <c r="F829">
        <v>60.8</v>
      </c>
      <c r="H829">
        <f t="shared" si="201"/>
        <v>473.15</v>
      </c>
      <c r="I829">
        <v>42</v>
      </c>
      <c r="J829">
        <v>0</v>
      </c>
      <c r="K829">
        <f t="shared" si="192"/>
        <v>0.39200000000000002</v>
      </c>
      <c r="L829">
        <f t="shared" si="193"/>
        <v>4.4800000000000005E-3</v>
      </c>
      <c r="S829">
        <f t="shared" si="194"/>
        <v>0</v>
      </c>
      <c r="T829">
        <f t="shared" si="195"/>
        <v>0</v>
      </c>
      <c r="U829">
        <f t="shared" si="196"/>
        <v>0</v>
      </c>
      <c r="V829">
        <f t="shared" si="197"/>
        <v>0</v>
      </c>
      <c r="W829">
        <f t="shared" si="198"/>
        <v>0</v>
      </c>
      <c r="X829">
        <f t="shared" si="199"/>
        <v>0</v>
      </c>
      <c r="Y829">
        <f t="shared" si="200"/>
        <v>0</v>
      </c>
    </row>
    <row r="830" spans="1:25" hidden="1">
      <c r="A830" t="str">
        <f t="shared" si="186"/>
        <v>Muller 1988</v>
      </c>
      <c r="E830">
        <v>0.58599999999999997</v>
      </c>
      <c r="F830">
        <v>66.8</v>
      </c>
      <c r="H830">
        <f t="shared" si="201"/>
        <v>473.15</v>
      </c>
      <c r="I830">
        <v>51.2</v>
      </c>
      <c r="J830">
        <v>0</v>
      </c>
      <c r="K830">
        <f t="shared" si="192"/>
        <v>0.33200000000000007</v>
      </c>
      <c r="L830">
        <f t="shared" si="193"/>
        <v>5.8599999999999998E-3</v>
      </c>
      <c r="S830">
        <f t="shared" si="194"/>
        <v>0</v>
      </c>
      <c r="T830">
        <f t="shared" si="195"/>
        <v>0</v>
      </c>
      <c r="U830">
        <f t="shared" si="196"/>
        <v>0</v>
      </c>
      <c r="V830">
        <f t="shared" si="197"/>
        <v>0</v>
      </c>
      <c r="W830">
        <f t="shared" si="198"/>
        <v>0</v>
      </c>
      <c r="X830">
        <f t="shared" si="199"/>
        <v>0</v>
      </c>
      <c r="Y830">
        <f t="shared" si="200"/>
        <v>0</v>
      </c>
    </row>
    <row r="831" spans="1:25" hidden="1">
      <c r="A831" t="str">
        <f t="shared" si="186"/>
        <v>Muller 1988</v>
      </c>
      <c r="E831">
        <v>0.78900000000000003</v>
      </c>
      <c r="F831">
        <v>72.400000000000006</v>
      </c>
      <c r="H831">
        <f t="shared" si="201"/>
        <v>473.15</v>
      </c>
      <c r="I831">
        <v>65.199999999999989</v>
      </c>
      <c r="J831">
        <v>0</v>
      </c>
      <c r="K831">
        <f t="shared" si="192"/>
        <v>0.27599999999999991</v>
      </c>
      <c r="L831">
        <f t="shared" si="193"/>
        <v>7.8900000000000012E-3</v>
      </c>
      <c r="S831">
        <f t="shared" si="194"/>
        <v>0</v>
      </c>
      <c r="T831">
        <f t="shared" si="195"/>
        <v>0</v>
      </c>
      <c r="U831">
        <f t="shared" si="196"/>
        <v>0</v>
      </c>
      <c r="V831">
        <f t="shared" si="197"/>
        <v>0</v>
      </c>
      <c r="W831">
        <f t="shared" si="198"/>
        <v>0</v>
      </c>
      <c r="X831">
        <f t="shared" si="199"/>
        <v>0</v>
      </c>
      <c r="Y831">
        <f t="shared" si="200"/>
        <v>0</v>
      </c>
    </row>
    <row r="832" spans="1:25" hidden="1">
      <c r="A832" t="str">
        <f t="shared" si="186"/>
        <v>Muller 1988</v>
      </c>
      <c r="E832">
        <v>1.032</v>
      </c>
      <c r="F832">
        <v>76.2</v>
      </c>
      <c r="H832">
        <f t="shared" si="201"/>
        <v>473.15</v>
      </c>
      <c r="I832">
        <v>81.099999999999994</v>
      </c>
      <c r="J832">
        <v>0</v>
      </c>
      <c r="K832">
        <f t="shared" si="192"/>
        <v>0.23799999999999999</v>
      </c>
      <c r="L832">
        <f t="shared" si="193"/>
        <v>1.0320000000000001E-2</v>
      </c>
      <c r="S832">
        <f t="shared" si="194"/>
        <v>0</v>
      </c>
      <c r="T832">
        <f t="shared" si="195"/>
        <v>0</v>
      </c>
      <c r="U832">
        <f t="shared" si="196"/>
        <v>0</v>
      </c>
      <c r="V832">
        <f t="shared" si="197"/>
        <v>0</v>
      </c>
      <c r="W832">
        <f t="shared" si="198"/>
        <v>0</v>
      </c>
      <c r="X832">
        <f t="shared" si="199"/>
        <v>0</v>
      </c>
      <c r="Y832">
        <f t="shared" si="200"/>
        <v>0</v>
      </c>
    </row>
    <row r="833" spans="1:25" hidden="1">
      <c r="A833" t="s">
        <v>26</v>
      </c>
      <c r="B833">
        <v>100</v>
      </c>
      <c r="C833">
        <v>1989.3</v>
      </c>
      <c r="F833">
        <v>0.67100000000000004</v>
      </c>
      <c r="H833">
        <f t="shared" ref="H833:H864" si="202">ROUND((B833- 32) * 5/9 + 273.15,2)</f>
        <v>310.93</v>
      </c>
      <c r="I833">
        <f t="shared" ref="I833:I864" si="203">ROUND(C833/14.504,2)</f>
        <v>137.16</v>
      </c>
      <c r="J833">
        <v>0</v>
      </c>
      <c r="K833">
        <f t="shared" ref="K833:K864" si="204">F833*0.001</f>
        <v>6.7100000000000005E-4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</row>
    <row r="834" spans="1:25" hidden="1">
      <c r="A834" t="str">
        <f t="shared" ref="A834:A844" si="205">A833</f>
        <v>Olds 1942</v>
      </c>
      <c r="B834">
        <f t="shared" ref="B834:B844" si="206">B833</f>
        <v>100</v>
      </c>
      <c r="C834">
        <v>1955.9</v>
      </c>
      <c r="F834">
        <v>0.67100000000000004</v>
      </c>
      <c r="H834">
        <f t="shared" si="202"/>
        <v>310.93</v>
      </c>
      <c r="I834">
        <f t="shared" si="203"/>
        <v>134.85</v>
      </c>
      <c r="J834">
        <f t="shared" ref="J834:J865" si="207">J833</f>
        <v>0</v>
      </c>
      <c r="K834">
        <f t="shared" si="204"/>
        <v>6.7100000000000005E-4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</row>
    <row r="835" spans="1:25" hidden="1">
      <c r="A835" t="str">
        <f t="shared" si="205"/>
        <v>Olds 1942</v>
      </c>
      <c r="B835">
        <f t="shared" si="206"/>
        <v>100</v>
      </c>
      <c r="C835">
        <v>3025.8</v>
      </c>
      <c r="F835">
        <v>0.63</v>
      </c>
      <c r="H835">
        <f t="shared" si="202"/>
        <v>310.93</v>
      </c>
      <c r="I835">
        <f t="shared" si="203"/>
        <v>208.62</v>
      </c>
      <c r="J835">
        <f t="shared" si="207"/>
        <v>0</v>
      </c>
      <c r="K835">
        <f t="shared" si="204"/>
        <v>6.3000000000000003E-4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</row>
    <row r="836" spans="1:25" hidden="1">
      <c r="A836" t="str">
        <f t="shared" si="205"/>
        <v>Olds 1942</v>
      </c>
      <c r="B836">
        <f t="shared" si="206"/>
        <v>100</v>
      </c>
      <c r="C836">
        <v>3019.4</v>
      </c>
      <c r="F836">
        <v>0.64500000000000002</v>
      </c>
      <c r="H836">
        <f t="shared" si="202"/>
        <v>310.93</v>
      </c>
      <c r="I836">
        <f t="shared" si="203"/>
        <v>208.18</v>
      </c>
      <c r="J836">
        <f t="shared" si="207"/>
        <v>0</v>
      </c>
      <c r="K836">
        <f t="shared" si="204"/>
        <v>6.4500000000000007E-4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</row>
    <row r="837" spans="1:25" hidden="1">
      <c r="A837" t="str">
        <f t="shared" si="205"/>
        <v>Olds 1942</v>
      </c>
      <c r="B837">
        <f t="shared" si="206"/>
        <v>100</v>
      </c>
      <c r="C837">
        <v>1249.5999999999999</v>
      </c>
      <c r="F837">
        <v>1.4670000000000001</v>
      </c>
      <c r="H837">
        <f t="shared" si="202"/>
        <v>310.93</v>
      </c>
      <c r="I837">
        <f t="shared" si="203"/>
        <v>86.16</v>
      </c>
      <c r="J837">
        <f t="shared" si="207"/>
        <v>0</v>
      </c>
      <c r="K837">
        <f t="shared" si="204"/>
        <v>1.4670000000000002E-3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</row>
    <row r="838" spans="1:25" hidden="1">
      <c r="A838" t="str">
        <f t="shared" si="205"/>
        <v>Olds 1942</v>
      </c>
      <c r="B838">
        <f t="shared" si="206"/>
        <v>100</v>
      </c>
      <c r="C838">
        <v>1203.4000000000001</v>
      </c>
      <c r="F838">
        <v>1.278</v>
      </c>
      <c r="H838">
        <f t="shared" si="202"/>
        <v>310.93</v>
      </c>
      <c r="I838">
        <f t="shared" si="203"/>
        <v>82.97</v>
      </c>
      <c r="J838">
        <f t="shared" si="207"/>
        <v>0</v>
      </c>
      <c r="K838">
        <f t="shared" si="204"/>
        <v>1.2780000000000001E-3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</row>
    <row r="839" spans="1:25" hidden="1">
      <c r="A839" t="str">
        <f t="shared" si="205"/>
        <v>Olds 1942</v>
      </c>
      <c r="B839">
        <f t="shared" si="206"/>
        <v>100</v>
      </c>
      <c r="C839">
        <v>6049.8</v>
      </c>
      <c r="E839" s="1"/>
      <c r="F839">
        <v>0.48399999999999999</v>
      </c>
      <c r="H839">
        <f t="shared" si="202"/>
        <v>310.93</v>
      </c>
      <c r="I839">
        <f t="shared" si="203"/>
        <v>417.11</v>
      </c>
      <c r="J839">
        <f t="shared" si="207"/>
        <v>0</v>
      </c>
      <c r="K839">
        <f t="shared" si="204"/>
        <v>4.84E-4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</row>
    <row r="840" spans="1:25" hidden="1">
      <c r="A840" t="str">
        <f t="shared" si="205"/>
        <v>Olds 1942</v>
      </c>
      <c r="B840">
        <f t="shared" si="206"/>
        <v>100</v>
      </c>
      <c r="C840">
        <v>5027.7</v>
      </c>
      <c r="E840" s="1"/>
      <c r="F840">
        <v>0.50600000000000001</v>
      </c>
      <c r="H840">
        <f t="shared" si="202"/>
        <v>310.93</v>
      </c>
      <c r="I840">
        <f t="shared" si="203"/>
        <v>346.64</v>
      </c>
      <c r="J840">
        <f t="shared" si="207"/>
        <v>0</v>
      </c>
      <c r="K840">
        <f t="shared" si="204"/>
        <v>5.0600000000000005E-4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</row>
    <row r="841" spans="1:25" hidden="1">
      <c r="A841" t="str">
        <f t="shared" si="205"/>
        <v>Olds 1942</v>
      </c>
      <c r="B841">
        <f t="shared" si="206"/>
        <v>100</v>
      </c>
      <c r="C841">
        <v>4049.1</v>
      </c>
      <c r="E841" s="1"/>
      <c r="F841">
        <v>0.42299999999999999</v>
      </c>
      <c r="H841">
        <f t="shared" si="202"/>
        <v>310.93</v>
      </c>
      <c r="I841">
        <f t="shared" si="203"/>
        <v>279.17</v>
      </c>
      <c r="J841">
        <f t="shared" si="207"/>
        <v>0</v>
      </c>
      <c r="K841">
        <f t="shared" si="204"/>
        <v>4.2299999999999998E-4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</row>
    <row r="842" spans="1:25" hidden="1">
      <c r="A842" t="str">
        <f t="shared" si="205"/>
        <v>Olds 1942</v>
      </c>
      <c r="B842">
        <f t="shared" si="206"/>
        <v>100</v>
      </c>
      <c r="C842">
        <v>9042.4</v>
      </c>
      <c r="E842" s="1"/>
      <c r="F842">
        <v>0.40799999999999997</v>
      </c>
      <c r="H842">
        <f t="shared" si="202"/>
        <v>310.93</v>
      </c>
      <c r="I842">
        <f t="shared" si="203"/>
        <v>623.44000000000005</v>
      </c>
      <c r="J842">
        <f t="shared" si="207"/>
        <v>0</v>
      </c>
      <c r="K842">
        <f t="shared" si="204"/>
        <v>4.08E-4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</row>
    <row r="843" spans="1:25" hidden="1">
      <c r="A843" t="str">
        <f t="shared" si="205"/>
        <v>Olds 1942</v>
      </c>
      <c r="B843">
        <f t="shared" si="206"/>
        <v>100</v>
      </c>
      <c r="C843">
        <v>8029.7</v>
      </c>
      <c r="E843" s="1"/>
      <c r="F843">
        <v>0.42699999999999999</v>
      </c>
      <c r="H843">
        <f t="shared" si="202"/>
        <v>310.93</v>
      </c>
      <c r="I843">
        <f t="shared" si="203"/>
        <v>553.62</v>
      </c>
      <c r="J843">
        <f t="shared" si="207"/>
        <v>0</v>
      </c>
      <c r="K843">
        <f t="shared" si="204"/>
        <v>4.2700000000000002E-4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</row>
    <row r="844" spans="1:25" hidden="1">
      <c r="A844" t="str">
        <f t="shared" si="205"/>
        <v>Olds 1942</v>
      </c>
      <c r="B844">
        <f t="shared" si="206"/>
        <v>100</v>
      </c>
      <c r="C844">
        <v>7037.5</v>
      </c>
      <c r="E844" s="1"/>
      <c r="F844">
        <v>0.42299999999999999</v>
      </c>
      <c r="H844">
        <f t="shared" si="202"/>
        <v>310.93</v>
      </c>
      <c r="I844">
        <f t="shared" si="203"/>
        <v>485.21</v>
      </c>
      <c r="J844">
        <f t="shared" si="207"/>
        <v>0</v>
      </c>
      <c r="K844">
        <f t="shared" si="204"/>
        <v>4.2299999999999998E-4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</row>
    <row r="845" spans="1:25" hidden="1">
      <c r="A845" t="str">
        <f t="shared" ref="A845:A876" si="208">A844</f>
        <v>Olds 1942</v>
      </c>
      <c r="B845">
        <v>160</v>
      </c>
      <c r="C845">
        <v>9885</v>
      </c>
      <c r="E845" s="1"/>
      <c r="F845">
        <v>1.6919999999999999</v>
      </c>
      <c r="H845">
        <f t="shared" si="202"/>
        <v>344.26</v>
      </c>
      <c r="I845">
        <f t="shared" si="203"/>
        <v>681.54</v>
      </c>
      <c r="J845">
        <f t="shared" si="207"/>
        <v>0</v>
      </c>
      <c r="K845">
        <f t="shared" si="204"/>
        <v>1.6919999999999999E-3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</row>
    <row r="846" spans="1:25" hidden="1">
      <c r="A846" t="str">
        <f t="shared" si="208"/>
        <v>Olds 1942</v>
      </c>
      <c r="B846">
        <f t="shared" ref="B846:B853" si="209">B845</f>
        <v>160</v>
      </c>
      <c r="C846">
        <v>6061.7</v>
      </c>
      <c r="E846" s="1"/>
      <c r="F846">
        <v>1.89</v>
      </c>
      <c r="H846">
        <f t="shared" si="202"/>
        <v>344.26</v>
      </c>
      <c r="I846">
        <f t="shared" si="203"/>
        <v>417.93</v>
      </c>
      <c r="J846">
        <f t="shared" si="207"/>
        <v>0</v>
      </c>
      <c r="K846">
        <f t="shared" si="204"/>
        <v>1.89E-3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</row>
    <row r="847" spans="1:25" hidden="1">
      <c r="A847" t="str">
        <f t="shared" si="208"/>
        <v>Olds 1942</v>
      </c>
      <c r="B847">
        <f t="shared" si="209"/>
        <v>160</v>
      </c>
      <c r="C847">
        <v>5098.3999999999996</v>
      </c>
      <c r="E847" s="1"/>
      <c r="F847">
        <v>2.1280000000000001</v>
      </c>
      <c r="H847">
        <f t="shared" si="202"/>
        <v>344.26</v>
      </c>
      <c r="I847">
        <f t="shared" si="203"/>
        <v>351.52</v>
      </c>
      <c r="J847">
        <f t="shared" si="207"/>
        <v>0</v>
      </c>
      <c r="K847">
        <f t="shared" si="204"/>
        <v>2.1280000000000001E-3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</row>
    <row r="848" spans="1:25" hidden="1">
      <c r="A848" t="str">
        <f t="shared" si="208"/>
        <v>Olds 1942</v>
      </c>
      <c r="B848">
        <f t="shared" si="209"/>
        <v>160</v>
      </c>
      <c r="C848">
        <v>4090.8</v>
      </c>
      <c r="E848" s="1"/>
      <c r="F848">
        <v>2.3010000000000002</v>
      </c>
      <c r="H848">
        <f t="shared" si="202"/>
        <v>344.26</v>
      </c>
      <c r="I848">
        <f t="shared" si="203"/>
        <v>282.05</v>
      </c>
      <c r="J848">
        <f t="shared" si="207"/>
        <v>0</v>
      </c>
      <c r="K848">
        <f t="shared" si="204"/>
        <v>2.3010000000000001E-3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</row>
    <row r="849" spans="1:25" hidden="1">
      <c r="A849" t="str">
        <f t="shared" si="208"/>
        <v>Olds 1942</v>
      </c>
      <c r="B849">
        <f t="shared" si="209"/>
        <v>160</v>
      </c>
      <c r="C849">
        <v>3055</v>
      </c>
      <c r="F849">
        <v>2.7210000000000001</v>
      </c>
      <c r="H849">
        <f t="shared" si="202"/>
        <v>344.26</v>
      </c>
      <c r="I849">
        <f t="shared" si="203"/>
        <v>210.63</v>
      </c>
      <c r="J849">
        <f t="shared" si="207"/>
        <v>0</v>
      </c>
      <c r="K849">
        <f t="shared" si="204"/>
        <v>2.7210000000000003E-3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</row>
    <row r="850" spans="1:25" hidden="1">
      <c r="A850" t="str">
        <f t="shared" si="208"/>
        <v>Olds 1942</v>
      </c>
      <c r="B850">
        <f t="shared" si="209"/>
        <v>160</v>
      </c>
      <c r="C850">
        <v>2088.4</v>
      </c>
      <c r="F850">
        <v>3.3940000000000001</v>
      </c>
      <c r="H850">
        <f t="shared" si="202"/>
        <v>344.26</v>
      </c>
      <c r="I850">
        <f t="shared" si="203"/>
        <v>143.99</v>
      </c>
      <c r="J850">
        <f t="shared" si="207"/>
        <v>0</v>
      </c>
      <c r="K850">
        <f t="shared" si="204"/>
        <v>3.3940000000000003E-3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</row>
    <row r="851" spans="1:25" hidden="1">
      <c r="A851" t="str">
        <f t="shared" si="208"/>
        <v>Olds 1942</v>
      </c>
      <c r="B851">
        <f t="shared" si="209"/>
        <v>160</v>
      </c>
      <c r="C851">
        <v>1398.9</v>
      </c>
      <c r="F851">
        <v>4.5030000000000001</v>
      </c>
      <c r="H851">
        <f t="shared" si="202"/>
        <v>344.26</v>
      </c>
      <c r="I851">
        <f t="shared" si="203"/>
        <v>96.45</v>
      </c>
      <c r="J851">
        <f t="shared" si="207"/>
        <v>0</v>
      </c>
      <c r="K851">
        <f t="shared" si="204"/>
        <v>4.5030000000000001E-3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</row>
    <row r="852" spans="1:25" hidden="1">
      <c r="A852" t="str">
        <f t="shared" si="208"/>
        <v>Olds 1942</v>
      </c>
      <c r="B852">
        <f t="shared" si="209"/>
        <v>160</v>
      </c>
      <c r="C852">
        <v>912.2</v>
      </c>
      <c r="F852">
        <v>6.4169999999999998</v>
      </c>
      <c r="H852">
        <f t="shared" si="202"/>
        <v>344.26</v>
      </c>
      <c r="I852">
        <f t="shared" si="203"/>
        <v>62.89</v>
      </c>
      <c r="J852">
        <f t="shared" si="207"/>
        <v>0</v>
      </c>
      <c r="K852">
        <f t="shared" si="204"/>
        <v>6.417E-3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</row>
    <row r="853" spans="1:25" hidden="1">
      <c r="A853" t="str">
        <f t="shared" si="208"/>
        <v>Olds 1942</v>
      </c>
      <c r="B853">
        <f t="shared" si="209"/>
        <v>160</v>
      </c>
      <c r="C853">
        <v>387.6</v>
      </c>
      <c r="F853">
        <v>13.35</v>
      </c>
      <c r="H853">
        <f t="shared" si="202"/>
        <v>344.26</v>
      </c>
      <c r="I853">
        <f t="shared" si="203"/>
        <v>26.72</v>
      </c>
      <c r="J853">
        <f t="shared" si="207"/>
        <v>0</v>
      </c>
      <c r="K853">
        <f t="shared" si="204"/>
        <v>1.3350000000000001E-2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</row>
    <row r="854" spans="1:25" hidden="1">
      <c r="A854" t="str">
        <f t="shared" si="208"/>
        <v>Olds 1942</v>
      </c>
      <c r="B854">
        <v>220</v>
      </c>
      <c r="C854">
        <v>4046.7</v>
      </c>
      <c r="F854">
        <v>7.1230000000000002</v>
      </c>
      <c r="H854">
        <f t="shared" si="202"/>
        <v>377.59</v>
      </c>
      <c r="I854">
        <f t="shared" si="203"/>
        <v>279.01</v>
      </c>
      <c r="J854">
        <f t="shared" si="207"/>
        <v>0</v>
      </c>
      <c r="K854">
        <f t="shared" si="204"/>
        <v>7.123E-3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</row>
    <row r="855" spans="1:25" hidden="1">
      <c r="A855" t="str">
        <f t="shared" si="208"/>
        <v>Olds 1942</v>
      </c>
      <c r="B855">
        <f t="shared" ref="B855:B867" si="210">B854</f>
        <v>220</v>
      </c>
      <c r="C855">
        <v>3034.6</v>
      </c>
      <c r="F855">
        <v>8.4589999999999996</v>
      </c>
      <c r="H855">
        <f t="shared" si="202"/>
        <v>377.59</v>
      </c>
      <c r="I855">
        <f t="shared" si="203"/>
        <v>209.23</v>
      </c>
      <c r="J855">
        <f t="shared" si="207"/>
        <v>0</v>
      </c>
      <c r="K855">
        <f t="shared" si="204"/>
        <v>8.4589999999999995E-3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</row>
    <row r="856" spans="1:25" hidden="1">
      <c r="A856" t="str">
        <f t="shared" si="208"/>
        <v>Olds 1942</v>
      </c>
      <c r="B856">
        <f t="shared" si="210"/>
        <v>220</v>
      </c>
      <c r="C856">
        <v>2003</v>
      </c>
      <c r="F856">
        <v>11.2</v>
      </c>
      <c r="H856">
        <f t="shared" si="202"/>
        <v>377.59</v>
      </c>
      <c r="I856">
        <f t="shared" si="203"/>
        <v>138.1</v>
      </c>
      <c r="J856">
        <f t="shared" si="207"/>
        <v>0</v>
      </c>
      <c r="K856">
        <f t="shared" si="204"/>
        <v>1.12E-2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</row>
    <row r="857" spans="1:25" hidden="1">
      <c r="A857" t="str">
        <f t="shared" si="208"/>
        <v>Olds 1942</v>
      </c>
      <c r="B857">
        <f t="shared" si="210"/>
        <v>220</v>
      </c>
      <c r="C857">
        <v>955.9</v>
      </c>
      <c r="F857">
        <v>20.69</v>
      </c>
      <c r="H857">
        <f t="shared" si="202"/>
        <v>377.59</v>
      </c>
      <c r="I857">
        <f t="shared" si="203"/>
        <v>65.91</v>
      </c>
      <c r="J857">
        <f t="shared" si="207"/>
        <v>0</v>
      </c>
      <c r="K857">
        <f t="shared" si="204"/>
        <v>2.069E-2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</row>
    <row r="858" spans="1:25" hidden="1">
      <c r="A858" t="str">
        <f t="shared" si="208"/>
        <v>Olds 1942</v>
      </c>
      <c r="B858">
        <f t="shared" si="210"/>
        <v>220</v>
      </c>
      <c r="C858">
        <v>9918.7999999999993</v>
      </c>
      <c r="F858">
        <v>4.7220000000000004</v>
      </c>
      <c r="H858">
        <f t="shared" si="202"/>
        <v>377.59</v>
      </c>
      <c r="I858">
        <f t="shared" si="203"/>
        <v>683.87</v>
      </c>
      <c r="J858">
        <f t="shared" si="207"/>
        <v>0</v>
      </c>
      <c r="K858">
        <f t="shared" si="204"/>
        <v>4.7220000000000005E-3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</row>
    <row r="859" spans="1:25" hidden="1">
      <c r="A859" t="str">
        <f t="shared" si="208"/>
        <v>Olds 1942</v>
      </c>
      <c r="B859">
        <f t="shared" si="210"/>
        <v>220</v>
      </c>
      <c r="C859">
        <v>9040.4</v>
      </c>
      <c r="F859">
        <v>4.62</v>
      </c>
      <c r="H859">
        <f t="shared" si="202"/>
        <v>377.59</v>
      </c>
      <c r="I859">
        <f t="shared" si="203"/>
        <v>623.29999999999995</v>
      </c>
      <c r="J859">
        <f t="shared" si="207"/>
        <v>0</v>
      </c>
      <c r="K859">
        <f t="shared" si="204"/>
        <v>4.62E-3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</row>
    <row r="860" spans="1:25" hidden="1">
      <c r="A860" t="str">
        <f t="shared" si="208"/>
        <v>Olds 1942</v>
      </c>
      <c r="B860">
        <f t="shared" si="210"/>
        <v>220</v>
      </c>
      <c r="C860">
        <v>7937.2</v>
      </c>
      <c r="F860">
        <v>5.2380000000000004</v>
      </c>
      <c r="H860">
        <f t="shared" si="202"/>
        <v>377.59</v>
      </c>
      <c r="I860">
        <f t="shared" si="203"/>
        <v>547.24</v>
      </c>
      <c r="J860">
        <f t="shared" si="207"/>
        <v>0</v>
      </c>
      <c r="K860">
        <f t="shared" si="204"/>
        <v>5.2380000000000005E-3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</row>
    <row r="861" spans="1:25" hidden="1">
      <c r="A861" t="str">
        <f t="shared" si="208"/>
        <v>Olds 1942</v>
      </c>
      <c r="B861">
        <f t="shared" si="210"/>
        <v>220</v>
      </c>
      <c r="C861">
        <v>6999.6</v>
      </c>
      <c r="F861">
        <v>5.3360000000000003</v>
      </c>
      <c r="H861">
        <f t="shared" si="202"/>
        <v>377.59</v>
      </c>
      <c r="I861">
        <f t="shared" si="203"/>
        <v>482.6</v>
      </c>
      <c r="J861">
        <f t="shared" si="207"/>
        <v>0</v>
      </c>
      <c r="K861">
        <f t="shared" si="204"/>
        <v>5.3360000000000005E-3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</row>
    <row r="862" spans="1:25" hidden="1">
      <c r="A862" t="str">
        <f t="shared" si="208"/>
        <v>Olds 1942</v>
      </c>
      <c r="B862">
        <f t="shared" si="210"/>
        <v>220</v>
      </c>
      <c r="C862">
        <v>6059.9</v>
      </c>
      <c r="F862">
        <v>5.7880000000000003</v>
      </c>
      <c r="H862">
        <f t="shared" si="202"/>
        <v>377.59</v>
      </c>
      <c r="I862">
        <f t="shared" si="203"/>
        <v>417.81</v>
      </c>
      <c r="J862">
        <f t="shared" si="207"/>
        <v>0</v>
      </c>
      <c r="K862">
        <f t="shared" si="204"/>
        <v>5.7880000000000006E-3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</row>
    <row r="863" spans="1:25" hidden="1">
      <c r="A863" t="str">
        <f t="shared" si="208"/>
        <v>Olds 1942</v>
      </c>
      <c r="B863">
        <f t="shared" si="210"/>
        <v>220</v>
      </c>
      <c r="C863">
        <v>5136</v>
      </c>
      <c r="F863">
        <v>6.2530000000000001</v>
      </c>
      <c r="H863">
        <f t="shared" si="202"/>
        <v>377.59</v>
      </c>
      <c r="I863">
        <f t="shared" si="203"/>
        <v>354.11</v>
      </c>
      <c r="J863">
        <f t="shared" si="207"/>
        <v>0</v>
      </c>
      <c r="K863">
        <f t="shared" si="204"/>
        <v>6.2529999999999999E-3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</row>
    <row r="864" spans="1:25" hidden="1">
      <c r="A864" t="str">
        <f t="shared" si="208"/>
        <v>Olds 1942</v>
      </c>
      <c r="B864">
        <f t="shared" si="210"/>
        <v>220</v>
      </c>
      <c r="C864">
        <v>9029.2000000000007</v>
      </c>
      <c r="F864">
        <v>4.8819999999999997</v>
      </c>
      <c r="H864">
        <f t="shared" si="202"/>
        <v>377.59</v>
      </c>
      <c r="I864">
        <f t="shared" si="203"/>
        <v>622.53</v>
      </c>
      <c r="J864">
        <f t="shared" si="207"/>
        <v>0</v>
      </c>
      <c r="K864">
        <f t="shared" si="204"/>
        <v>4.8820000000000001E-3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</row>
    <row r="865" spans="1:25" hidden="1">
      <c r="A865" t="str">
        <f t="shared" si="208"/>
        <v>Olds 1942</v>
      </c>
      <c r="B865">
        <f t="shared" si="210"/>
        <v>220</v>
      </c>
      <c r="C865">
        <v>8104.7</v>
      </c>
      <c r="F865">
        <v>4.9429999999999996</v>
      </c>
      <c r="H865">
        <f t="shared" ref="H865:H896" si="211">ROUND((B865- 32) * 5/9 + 273.15,2)</f>
        <v>377.59</v>
      </c>
      <c r="I865">
        <f t="shared" ref="I865:I896" si="212">ROUND(C865/14.504,2)</f>
        <v>558.79</v>
      </c>
      <c r="J865">
        <f t="shared" si="207"/>
        <v>0</v>
      </c>
      <c r="K865">
        <f t="shared" ref="K865:K896" si="213">F865*0.001</f>
        <v>4.9429999999999995E-3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</row>
    <row r="866" spans="1:25" hidden="1">
      <c r="A866" t="str">
        <f t="shared" si="208"/>
        <v>Olds 1942</v>
      </c>
      <c r="B866">
        <f t="shared" si="210"/>
        <v>220</v>
      </c>
      <c r="C866">
        <v>1351.1</v>
      </c>
      <c r="F866">
        <v>15.45</v>
      </c>
      <c r="H866">
        <f t="shared" si="211"/>
        <v>377.59</v>
      </c>
      <c r="I866">
        <f t="shared" si="212"/>
        <v>93.15</v>
      </c>
      <c r="J866">
        <f t="shared" ref="J866:J897" si="214">J865</f>
        <v>0</v>
      </c>
      <c r="K866">
        <f t="shared" si="213"/>
        <v>1.545E-2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</row>
    <row r="867" spans="1:25" hidden="1">
      <c r="A867" t="str">
        <f t="shared" si="208"/>
        <v>Olds 1942</v>
      </c>
      <c r="B867">
        <f t="shared" si="210"/>
        <v>220</v>
      </c>
      <c r="C867">
        <v>433.2</v>
      </c>
      <c r="F867">
        <v>42.81</v>
      </c>
      <c r="H867">
        <f t="shared" si="211"/>
        <v>377.59</v>
      </c>
      <c r="I867">
        <f t="shared" si="212"/>
        <v>29.87</v>
      </c>
      <c r="J867">
        <f t="shared" si="214"/>
        <v>0</v>
      </c>
      <c r="K867">
        <f t="shared" si="213"/>
        <v>4.2810000000000001E-2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</row>
    <row r="868" spans="1:25" hidden="1">
      <c r="A868" t="str">
        <f t="shared" si="208"/>
        <v>Olds 1942</v>
      </c>
      <c r="B868">
        <v>280</v>
      </c>
      <c r="C868">
        <v>9987.4</v>
      </c>
      <c r="F868">
        <v>12.06</v>
      </c>
      <c r="H868">
        <f t="shared" si="211"/>
        <v>410.93</v>
      </c>
      <c r="I868">
        <f t="shared" si="212"/>
        <v>688.6</v>
      </c>
      <c r="J868">
        <f t="shared" si="214"/>
        <v>0</v>
      </c>
      <c r="K868">
        <f t="shared" si="213"/>
        <v>1.2060000000000001E-2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</row>
    <row r="869" spans="1:25" hidden="1">
      <c r="A869" t="str">
        <f t="shared" si="208"/>
        <v>Olds 1942</v>
      </c>
      <c r="B869">
        <f t="shared" ref="B869:B878" si="215">B868</f>
        <v>280</v>
      </c>
      <c r="C869">
        <v>9022</v>
      </c>
      <c r="F869">
        <v>12.53</v>
      </c>
      <c r="H869">
        <f t="shared" si="211"/>
        <v>410.93</v>
      </c>
      <c r="I869">
        <f t="shared" si="212"/>
        <v>622.04</v>
      </c>
      <c r="J869">
        <f t="shared" si="214"/>
        <v>0</v>
      </c>
      <c r="K869">
        <f t="shared" si="213"/>
        <v>1.2529999999999999E-2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</row>
    <row r="870" spans="1:25" hidden="1">
      <c r="A870" t="str">
        <f t="shared" si="208"/>
        <v>Olds 1942</v>
      </c>
      <c r="B870">
        <f t="shared" si="215"/>
        <v>280</v>
      </c>
      <c r="C870">
        <v>8043.8</v>
      </c>
      <c r="F870">
        <v>13.45</v>
      </c>
      <c r="H870">
        <f t="shared" si="211"/>
        <v>410.93</v>
      </c>
      <c r="I870">
        <f t="shared" si="212"/>
        <v>554.59</v>
      </c>
      <c r="J870">
        <f t="shared" si="214"/>
        <v>0</v>
      </c>
      <c r="K870">
        <f t="shared" si="213"/>
        <v>1.345E-2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</row>
    <row r="871" spans="1:25" hidden="1">
      <c r="A871" t="str">
        <f t="shared" si="208"/>
        <v>Olds 1942</v>
      </c>
      <c r="B871">
        <f t="shared" si="215"/>
        <v>280</v>
      </c>
      <c r="C871">
        <v>7010.4</v>
      </c>
      <c r="F871">
        <v>14.37</v>
      </c>
      <c r="H871">
        <f t="shared" si="211"/>
        <v>410.93</v>
      </c>
      <c r="I871">
        <f t="shared" si="212"/>
        <v>483.34</v>
      </c>
      <c r="J871">
        <f t="shared" si="214"/>
        <v>0</v>
      </c>
      <c r="K871">
        <f t="shared" si="213"/>
        <v>1.4369999999999999E-2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</row>
    <row r="872" spans="1:25" hidden="1">
      <c r="A872" t="str">
        <f t="shared" si="208"/>
        <v>Olds 1942</v>
      </c>
      <c r="B872">
        <f t="shared" si="215"/>
        <v>280</v>
      </c>
      <c r="C872">
        <v>6107.1</v>
      </c>
      <c r="F872">
        <v>15.45</v>
      </c>
      <c r="H872">
        <f t="shared" si="211"/>
        <v>410.93</v>
      </c>
      <c r="I872">
        <f t="shared" si="212"/>
        <v>421.06</v>
      </c>
      <c r="J872">
        <f t="shared" si="214"/>
        <v>0</v>
      </c>
      <c r="K872">
        <f t="shared" si="213"/>
        <v>1.545E-2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</row>
    <row r="873" spans="1:25" hidden="1">
      <c r="A873" t="str">
        <f t="shared" si="208"/>
        <v>Olds 1942</v>
      </c>
      <c r="B873">
        <f t="shared" si="215"/>
        <v>280</v>
      </c>
      <c r="C873">
        <v>5161.3999999999996</v>
      </c>
      <c r="F873">
        <v>16.71</v>
      </c>
      <c r="H873">
        <f t="shared" si="211"/>
        <v>410.93</v>
      </c>
      <c r="I873">
        <f t="shared" si="212"/>
        <v>355.86</v>
      </c>
      <c r="J873">
        <f t="shared" si="214"/>
        <v>0</v>
      </c>
      <c r="K873">
        <f t="shared" si="213"/>
        <v>1.6710000000000003E-2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</row>
    <row r="874" spans="1:25" hidden="1">
      <c r="A874" t="str">
        <f t="shared" si="208"/>
        <v>Olds 1942</v>
      </c>
      <c r="B874">
        <f t="shared" si="215"/>
        <v>280</v>
      </c>
      <c r="C874">
        <v>4084.5</v>
      </c>
      <c r="F874">
        <v>18.98</v>
      </c>
      <c r="H874">
        <f t="shared" si="211"/>
        <v>410.93</v>
      </c>
      <c r="I874">
        <f t="shared" si="212"/>
        <v>281.61</v>
      </c>
      <c r="J874">
        <f t="shared" si="214"/>
        <v>0</v>
      </c>
      <c r="K874">
        <f t="shared" si="213"/>
        <v>1.898E-2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</row>
    <row r="875" spans="1:25" hidden="1">
      <c r="A875" t="str">
        <f t="shared" si="208"/>
        <v>Olds 1942</v>
      </c>
      <c r="B875">
        <f t="shared" si="215"/>
        <v>280</v>
      </c>
      <c r="C875">
        <v>2040.1</v>
      </c>
      <c r="F875">
        <v>31.52</v>
      </c>
      <c r="H875">
        <f t="shared" si="211"/>
        <v>410.93</v>
      </c>
      <c r="I875">
        <f t="shared" si="212"/>
        <v>140.66</v>
      </c>
      <c r="J875">
        <f t="shared" si="214"/>
        <v>0</v>
      </c>
      <c r="K875">
        <f t="shared" si="213"/>
        <v>3.1519999999999999E-2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</row>
    <row r="876" spans="1:25" hidden="1">
      <c r="A876" t="str">
        <f t="shared" si="208"/>
        <v>Olds 1942</v>
      </c>
      <c r="B876">
        <f t="shared" si="215"/>
        <v>280</v>
      </c>
      <c r="C876">
        <v>1431.5</v>
      </c>
      <c r="F876">
        <v>41.45</v>
      </c>
      <c r="H876">
        <f t="shared" si="211"/>
        <v>410.93</v>
      </c>
      <c r="I876">
        <f t="shared" si="212"/>
        <v>98.7</v>
      </c>
      <c r="J876">
        <f t="shared" si="214"/>
        <v>0</v>
      </c>
      <c r="K876">
        <f t="shared" si="213"/>
        <v>4.1450000000000001E-2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</row>
    <row r="877" spans="1:25" hidden="1">
      <c r="A877" t="str">
        <f t="shared" ref="A877:A910" si="216">A876</f>
        <v>Olds 1942</v>
      </c>
      <c r="B877">
        <f t="shared" si="215"/>
        <v>280</v>
      </c>
      <c r="C877">
        <v>949.4</v>
      </c>
      <c r="F877">
        <v>58.99</v>
      </c>
      <c r="H877">
        <f t="shared" si="211"/>
        <v>410.93</v>
      </c>
      <c r="I877">
        <f t="shared" si="212"/>
        <v>65.459999999999994</v>
      </c>
      <c r="J877">
        <f t="shared" si="214"/>
        <v>0</v>
      </c>
      <c r="K877">
        <f t="shared" si="213"/>
        <v>5.8990000000000001E-2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</row>
    <row r="878" spans="1:25" hidden="1">
      <c r="A878" t="str">
        <f t="shared" si="216"/>
        <v>Olds 1942</v>
      </c>
      <c r="B878">
        <f t="shared" si="215"/>
        <v>280</v>
      </c>
      <c r="C878">
        <v>494</v>
      </c>
      <c r="F878">
        <v>110.83</v>
      </c>
      <c r="H878">
        <f t="shared" si="211"/>
        <v>410.93</v>
      </c>
      <c r="I878">
        <f t="shared" si="212"/>
        <v>34.06</v>
      </c>
      <c r="J878">
        <f t="shared" si="214"/>
        <v>0</v>
      </c>
      <c r="K878">
        <f t="shared" si="213"/>
        <v>0.11083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</row>
    <row r="879" spans="1:25" hidden="1">
      <c r="A879" t="str">
        <f t="shared" si="216"/>
        <v>Olds 1942</v>
      </c>
      <c r="B879">
        <v>340</v>
      </c>
      <c r="C879">
        <v>5015.1000000000004</v>
      </c>
      <c r="F879">
        <v>38.35</v>
      </c>
      <c r="H879">
        <f t="shared" si="211"/>
        <v>444.26</v>
      </c>
      <c r="I879">
        <f t="shared" si="212"/>
        <v>345.77</v>
      </c>
      <c r="J879">
        <f t="shared" si="214"/>
        <v>0</v>
      </c>
      <c r="K879">
        <f t="shared" si="213"/>
        <v>3.8350000000000002E-2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</row>
    <row r="880" spans="1:25" hidden="1">
      <c r="A880" t="str">
        <f t="shared" si="216"/>
        <v>Olds 1942</v>
      </c>
      <c r="B880">
        <f t="shared" ref="B880:B889" si="217">B879</f>
        <v>340</v>
      </c>
      <c r="C880">
        <v>4084.2</v>
      </c>
      <c r="F880">
        <v>43.84</v>
      </c>
      <c r="H880">
        <f t="shared" si="211"/>
        <v>444.26</v>
      </c>
      <c r="I880">
        <f t="shared" si="212"/>
        <v>281.58999999999997</v>
      </c>
      <c r="J880">
        <f t="shared" si="214"/>
        <v>0</v>
      </c>
      <c r="K880">
        <f t="shared" si="213"/>
        <v>4.3840000000000004E-2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</row>
    <row r="881" spans="1:25" hidden="1">
      <c r="A881" t="str">
        <f t="shared" si="216"/>
        <v>Olds 1942</v>
      </c>
      <c r="B881">
        <f t="shared" si="217"/>
        <v>340</v>
      </c>
      <c r="C881">
        <v>3072</v>
      </c>
      <c r="F881">
        <v>53.62</v>
      </c>
      <c r="H881">
        <f t="shared" si="211"/>
        <v>444.26</v>
      </c>
      <c r="I881">
        <f t="shared" si="212"/>
        <v>211.8</v>
      </c>
      <c r="J881">
        <f t="shared" si="214"/>
        <v>0</v>
      </c>
      <c r="K881">
        <f t="shared" si="213"/>
        <v>5.3620000000000001E-2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</row>
    <row r="882" spans="1:25" hidden="1">
      <c r="A882" t="str">
        <f t="shared" si="216"/>
        <v>Olds 1942</v>
      </c>
      <c r="B882">
        <f t="shared" si="217"/>
        <v>340</v>
      </c>
      <c r="C882">
        <v>2064.9</v>
      </c>
      <c r="F882">
        <v>71.06</v>
      </c>
      <c r="H882">
        <f t="shared" si="211"/>
        <v>444.26</v>
      </c>
      <c r="I882">
        <f t="shared" si="212"/>
        <v>142.37</v>
      </c>
      <c r="J882">
        <f t="shared" si="214"/>
        <v>0</v>
      </c>
      <c r="K882">
        <f t="shared" si="213"/>
        <v>7.1059999999999998E-2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</row>
    <row r="883" spans="1:25" hidden="1">
      <c r="A883" t="str">
        <f t="shared" si="216"/>
        <v>Olds 1942</v>
      </c>
      <c r="B883">
        <f t="shared" si="217"/>
        <v>340</v>
      </c>
      <c r="C883">
        <v>1208.3</v>
      </c>
      <c r="F883">
        <v>109.35</v>
      </c>
      <c r="H883">
        <f t="shared" si="211"/>
        <v>444.26</v>
      </c>
      <c r="I883">
        <f t="shared" si="212"/>
        <v>83.31</v>
      </c>
      <c r="J883">
        <f t="shared" si="214"/>
        <v>0</v>
      </c>
      <c r="K883">
        <f t="shared" si="213"/>
        <v>0.10935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</row>
    <row r="884" spans="1:25" hidden="1">
      <c r="A884" t="str">
        <f t="shared" si="216"/>
        <v>Olds 1942</v>
      </c>
      <c r="B884">
        <f t="shared" si="217"/>
        <v>340</v>
      </c>
      <c r="C884">
        <v>499.2</v>
      </c>
      <c r="F884">
        <v>253.34</v>
      </c>
      <c r="H884">
        <f t="shared" si="211"/>
        <v>444.26</v>
      </c>
      <c r="I884">
        <f t="shared" si="212"/>
        <v>34.42</v>
      </c>
      <c r="J884">
        <f t="shared" si="214"/>
        <v>0</v>
      </c>
      <c r="K884">
        <f t="shared" si="213"/>
        <v>0.25334000000000001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</row>
    <row r="885" spans="1:25" hidden="1">
      <c r="A885" t="str">
        <f t="shared" si="216"/>
        <v>Olds 1942</v>
      </c>
      <c r="B885">
        <f t="shared" si="217"/>
        <v>340</v>
      </c>
      <c r="C885">
        <v>9989.5</v>
      </c>
      <c r="F885">
        <v>26.16</v>
      </c>
      <c r="H885">
        <f t="shared" si="211"/>
        <v>444.26</v>
      </c>
      <c r="I885">
        <f t="shared" si="212"/>
        <v>688.74</v>
      </c>
      <c r="J885">
        <f t="shared" si="214"/>
        <v>0</v>
      </c>
      <c r="K885">
        <f t="shared" si="213"/>
        <v>2.6159999999999999E-2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</row>
    <row r="886" spans="1:25" hidden="1">
      <c r="A886" t="str">
        <f t="shared" si="216"/>
        <v>Olds 1942</v>
      </c>
      <c r="B886">
        <f t="shared" si="217"/>
        <v>340</v>
      </c>
      <c r="C886">
        <v>9057.4</v>
      </c>
      <c r="F886">
        <v>27.65</v>
      </c>
      <c r="H886">
        <f t="shared" si="211"/>
        <v>444.26</v>
      </c>
      <c r="I886">
        <f t="shared" si="212"/>
        <v>624.48</v>
      </c>
      <c r="J886">
        <f t="shared" si="214"/>
        <v>0</v>
      </c>
      <c r="K886">
        <f t="shared" si="213"/>
        <v>2.7649999999999997E-2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</row>
    <row r="887" spans="1:25" hidden="1">
      <c r="A887" t="str">
        <f t="shared" si="216"/>
        <v>Olds 1942</v>
      </c>
      <c r="B887">
        <f t="shared" si="217"/>
        <v>340</v>
      </c>
      <c r="C887">
        <v>8086.9</v>
      </c>
      <c r="F887">
        <v>29.71</v>
      </c>
      <c r="H887">
        <f t="shared" si="211"/>
        <v>444.26</v>
      </c>
      <c r="I887">
        <f t="shared" si="212"/>
        <v>557.55999999999995</v>
      </c>
      <c r="J887">
        <f t="shared" si="214"/>
        <v>0</v>
      </c>
      <c r="K887">
        <f t="shared" si="213"/>
        <v>2.971E-2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</row>
    <row r="888" spans="1:25" hidden="1">
      <c r="A888" t="str">
        <f t="shared" si="216"/>
        <v>Olds 1942</v>
      </c>
      <c r="B888">
        <f t="shared" si="217"/>
        <v>340</v>
      </c>
      <c r="C888">
        <v>7072.7</v>
      </c>
      <c r="F888">
        <v>31.54</v>
      </c>
      <c r="H888">
        <f t="shared" si="211"/>
        <v>444.26</v>
      </c>
      <c r="I888">
        <f t="shared" si="212"/>
        <v>487.64</v>
      </c>
      <c r="J888">
        <f t="shared" si="214"/>
        <v>0</v>
      </c>
      <c r="K888">
        <f t="shared" si="213"/>
        <v>3.1539999999999999E-2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</row>
    <row r="889" spans="1:25" hidden="1">
      <c r="A889" t="str">
        <f t="shared" si="216"/>
        <v>Olds 1942</v>
      </c>
      <c r="B889">
        <f t="shared" si="217"/>
        <v>340</v>
      </c>
      <c r="C889">
        <v>6073</v>
      </c>
      <c r="F889">
        <v>34.57</v>
      </c>
      <c r="H889">
        <f t="shared" si="211"/>
        <v>444.26</v>
      </c>
      <c r="I889">
        <f t="shared" si="212"/>
        <v>418.71</v>
      </c>
      <c r="J889">
        <f t="shared" si="214"/>
        <v>0</v>
      </c>
      <c r="K889">
        <f t="shared" si="213"/>
        <v>3.4570000000000004E-2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</row>
    <row r="890" spans="1:25" hidden="1">
      <c r="A890" t="str">
        <f t="shared" si="216"/>
        <v>Olds 1942</v>
      </c>
      <c r="B890">
        <v>400</v>
      </c>
      <c r="C890">
        <v>5047.5</v>
      </c>
      <c r="F890">
        <v>79.61</v>
      </c>
      <c r="H890">
        <f t="shared" si="211"/>
        <v>477.59</v>
      </c>
      <c r="I890">
        <f t="shared" si="212"/>
        <v>348.01</v>
      </c>
      <c r="J890">
        <f t="shared" si="214"/>
        <v>0</v>
      </c>
      <c r="K890">
        <f t="shared" si="213"/>
        <v>7.961E-2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</row>
    <row r="891" spans="1:25" hidden="1">
      <c r="A891" t="str">
        <f t="shared" si="216"/>
        <v>Olds 1942</v>
      </c>
      <c r="B891">
        <f t="shared" ref="B891:B900" si="218">B890</f>
        <v>400</v>
      </c>
      <c r="C891">
        <v>3015.5</v>
      </c>
      <c r="F891">
        <v>113.6</v>
      </c>
      <c r="H891">
        <f t="shared" si="211"/>
        <v>477.59</v>
      </c>
      <c r="I891">
        <f t="shared" si="212"/>
        <v>207.91</v>
      </c>
      <c r="J891">
        <f t="shared" si="214"/>
        <v>0</v>
      </c>
      <c r="K891">
        <f t="shared" si="213"/>
        <v>0.11359999999999999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</row>
    <row r="892" spans="1:25" hidden="1">
      <c r="A892" t="str">
        <f t="shared" si="216"/>
        <v>Olds 1942</v>
      </c>
      <c r="B892">
        <f t="shared" si="218"/>
        <v>400</v>
      </c>
      <c r="C892">
        <v>2037.1</v>
      </c>
      <c r="F892">
        <v>154.18</v>
      </c>
      <c r="H892">
        <f t="shared" si="211"/>
        <v>477.59</v>
      </c>
      <c r="I892">
        <f t="shared" si="212"/>
        <v>140.44999999999999</v>
      </c>
      <c r="J892">
        <f t="shared" si="214"/>
        <v>0</v>
      </c>
      <c r="K892">
        <f t="shared" si="213"/>
        <v>0.15418000000000001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</row>
    <row r="893" spans="1:25" hidden="1">
      <c r="A893" t="str">
        <f t="shared" si="216"/>
        <v>Olds 1942</v>
      </c>
      <c r="B893">
        <f t="shared" si="218"/>
        <v>400</v>
      </c>
      <c r="C893">
        <v>1280.0999999999999</v>
      </c>
      <c r="F893">
        <v>228.27</v>
      </c>
      <c r="H893">
        <f t="shared" si="211"/>
        <v>477.59</v>
      </c>
      <c r="I893">
        <f t="shared" si="212"/>
        <v>88.26</v>
      </c>
      <c r="J893">
        <f t="shared" si="214"/>
        <v>0</v>
      </c>
      <c r="K893">
        <f t="shared" si="213"/>
        <v>0.22827000000000003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</row>
    <row r="894" spans="1:25" hidden="1">
      <c r="A894" t="str">
        <f t="shared" si="216"/>
        <v>Olds 1942</v>
      </c>
      <c r="B894">
        <f t="shared" si="218"/>
        <v>400</v>
      </c>
      <c r="C894">
        <v>930.2</v>
      </c>
      <c r="F894">
        <v>302.67</v>
      </c>
      <c r="H894">
        <f t="shared" si="211"/>
        <v>477.59</v>
      </c>
      <c r="I894">
        <f t="shared" si="212"/>
        <v>64.13</v>
      </c>
      <c r="J894">
        <f t="shared" si="214"/>
        <v>0</v>
      </c>
      <c r="K894">
        <f t="shared" si="213"/>
        <v>0.30266999999999999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</row>
    <row r="895" spans="1:25" hidden="1">
      <c r="A895" t="str">
        <f t="shared" si="216"/>
        <v>Olds 1942</v>
      </c>
      <c r="B895">
        <f t="shared" si="218"/>
        <v>400</v>
      </c>
      <c r="C895">
        <v>487.8</v>
      </c>
      <c r="F895">
        <v>555.57000000000005</v>
      </c>
      <c r="H895">
        <f t="shared" si="211"/>
        <v>477.59</v>
      </c>
      <c r="I895">
        <f t="shared" si="212"/>
        <v>33.630000000000003</v>
      </c>
      <c r="J895">
        <f t="shared" si="214"/>
        <v>0</v>
      </c>
      <c r="K895">
        <f t="shared" si="213"/>
        <v>0.55557000000000001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</row>
    <row r="896" spans="1:25" hidden="1">
      <c r="A896" t="str">
        <f t="shared" si="216"/>
        <v>Olds 1942</v>
      </c>
      <c r="B896">
        <f t="shared" si="218"/>
        <v>400</v>
      </c>
      <c r="C896">
        <v>9969</v>
      </c>
      <c r="F896">
        <v>53.28</v>
      </c>
      <c r="H896">
        <f t="shared" si="211"/>
        <v>477.59</v>
      </c>
      <c r="I896">
        <f t="shared" si="212"/>
        <v>687.33</v>
      </c>
      <c r="J896">
        <f t="shared" si="214"/>
        <v>0</v>
      </c>
      <c r="K896">
        <f t="shared" si="213"/>
        <v>5.3280000000000001E-2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</row>
    <row r="897" spans="1:25" hidden="1">
      <c r="A897" t="str">
        <f t="shared" si="216"/>
        <v>Olds 1942</v>
      </c>
      <c r="B897">
        <f t="shared" si="218"/>
        <v>400</v>
      </c>
      <c r="C897">
        <v>9076.5</v>
      </c>
      <c r="F897">
        <v>56.3</v>
      </c>
      <c r="H897">
        <f t="shared" ref="H897:H910" si="219">ROUND((B897- 32) * 5/9 + 273.15,2)</f>
        <v>477.59</v>
      </c>
      <c r="I897">
        <f t="shared" ref="I897:I910" si="220">ROUND(C897/14.504,2)</f>
        <v>625.79</v>
      </c>
      <c r="J897">
        <f t="shared" si="214"/>
        <v>0</v>
      </c>
      <c r="K897">
        <f t="shared" ref="K897:K910" si="221">F897*0.001</f>
        <v>5.6299999999999996E-2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</row>
    <row r="898" spans="1:25" hidden="1">
      <c r="A898" t="str">
        <f t="shared" si="216"/>
        <v>Olds 1942</v>
      </c>
      <c r="B898">
        <f t="shared" si="218"/>
        <v>400</v>
      </c>
      <c r="C898">
        <v>8074.9</v>
      </c>
      <c r="F898">
        <v>60.82</v>
      </c>
      <c r="H898">
        <f t="shared" si="219"/>
        <v>477.59</v>
      </c>
      <c r="I898">
        <f t="shared" si="220"/>
        <v>556.74</v>
      </c>
      <c r="J898">
        <f t="shared" ref="J898:J916" si="222">J897</f>
        <v>0</v>
      </c>
      <c r="K898">
        <f t="shared" si="221"/>
        <v>6.0819999999999999E-2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</row>
    <row r="899" spans="1:25" hidden="1">
      <c r="A899" t="str">
        <f t="shared" si="216"/>
        <v>Olds 1942</v>
      </c>
      <c r="B899">
        <f t="shared" si="218"/>
        <v>400</v>
      </c>
      <c r="C899">
        <v>7038.1</v>
      </c>
      <c r="F899">
        <v>65.19</v>
      </c>
      <c r="H899">
        <f t="shared" si="219"/>
        <v>477.59</v>
      </c>
      <c r="I899">
        <f t="shared" si="220"/>
        <v>485.25</v>
      </c>
      <c r="J899">
        <f t="shared" si="222"/>
        <v>0</v>
      </c>
      <c r="K899">
        <f t="shared" si="221"/>
        <v>6.5189999999999998E-2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</row>
    <row r="900" spans="1:25" hidden="1">
      <c r="A900" t="str">
        <f t="shared" si="216"/>
        <v>Olds 1942</v>
      </c>
      <c r="B900">
        <f t="shared" si="218"/>
        <v>400</v>
      </c>
      <c r="C900">
        <v>6009.2</v>
      </c>
      <c r="F900">
        <v>70.239999999999995</v>
      </c>
      <c r="H900">
        <f t="shared" si="219"/>
        <v>477.59</v>
      </c>
      <c r="I900">
        <f t="shared" si="220"/>
        <v>414.31</v>
      </c>
      <c r="J900">
        <f t="shared" si="222"/>
        <v>0</v>
      </c>
      <c r="K900">
        <f t="shared" si="221"/>
        <v>7.0239999999999997E-2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</row>
    <row r="901" spans="1:25" hidden="1">
      <c r="A901" t="str">
        <f t="shared" si="216"/>
        <v>Olds 1942</v>
      </c>
      <c r="B901">
        <v>460</v>
      </c>
      <c r="C901">
        <v>7823.8</v>
      </c>
      <c r="F901">
        <v>111.89</v>
      </c>
      <c r="H901">
        <f t="shared" si="219"/>
        <v>510.93</v>
      </c>
      <c r="I901">
        <f t="shared" si="220"/>
        <v>539.41999999999996</v>
      </c>
      <c r="J901">
        <f t="shared" si="222"/>
        <v>0</v>
      </c>
      <c r="K901">
        <f t="shared" si="221"/>
        <v>0.11189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</row>
    <row r="902" spans="1:25" hidden="1">
      <c r="A902" t="str">
        <f t="shared" si="216"/>
        <v>Olds 1942</v>
      </c>
      <c r="B902">
        <f t="shared" ref="B902:B910" si="223">B901</f>
        <v>460</v>
      </c>
      <c r="C902">
        <v>9064.7999999999993</v>
      </c>
      <c r="F902">
        <v>106.41</v>
      </c>
      <c r="H902">
        <f t="shared" si="219"/>
        <v>510.93</v>
      </c>
      <c r="I902">
        <f t="shared" si="220"/>
        <v>624.99</v>
      </c>
      <c r="J902">
        <f t="shared" si="222"/>
        <v>0</v>
      </c>
      <c r="K902">
        <f t="shared" si="221"/>
        <v>0.10641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</row>
    <row r="903" spans="1:25" hidden="1">
      <c r="A903" t="str">
        <f t="shared" si="216"/>
        <v>Olds 1942</v>
      </c>
      <c r="B903">
        <f t="shared" si="223"/>
        <v>460</v>
      </c>
      <c r="C903">
        <v>7039</v>
      </c>
      <c r="F903">
        <v>123.91</v>
      </c>
      <c r="H903">
        <f t="shared" si="219"/>
        <v>510.93</v>
      </c>
      <c r="I903">
        <f t="shared" si="220"/>
        <v>485.31</v>
      </c>
      <c r="J903">
        <f t="shared" si="222"/>
        <v>0</v>
      </c>
      <c r="K903">
        <f t="shared" si="221"/>
        <v>0.12390999999999999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</row>
    <row r="904" spans="1:25" hidden="1">
      <c r="A904" t="str">
        <f t="shared" si="216"/>
        <v>Olds 1942</v>
      </c>
      <c r="B904">
        <f t="shared" si="223"/>
        <v>460</v>
      </c>
      <c r="C904">
        <v>6047.1</v>
      </c>
      <c r="F904">
        <v>133.88</v>
      </c>
      <c r="H904">
        <f t="shared" si="219"/>
        <v>510.93</v>
      </c>
      <c r="I904">
        <f t="shared" si="220"/>
        <v>416.93</v>
      </c>
      <c r="J904">
        <f t="shared" si="222"/>
        <v>0</v>
      </c>
      <c r="K904">
        <f t="shared" si="221"/>
        <v>0.13388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</row>
    <row r="905" spans="1:25" hidden="1">
      <c r="A905" t="str">
        <f t="shared" si="216"/>
        <v>Olds 1942</v>
      </c>
      <c r="B905">
        <f t="shared" si="223"/>
        <v>460</v>
      </c>
      <c r="C905">
        <v>5163.8</v>
      </c>
      <c r="F905">
        <v>148.88999999999999</v>
      </c>
      <c r="H905">
        <f t="shared" si="219"/>
        <v>510.93</v>
      </c>
      <c r="I905">
        <f t="shared" si="220"/>
        <v>356.03</v>
      </c>
      <c r="J905">
        <f t="shared" si="222"/>
        <v>0</v>
      </c>
      <c r="K905">
        <f t="shared" si="221"/>
        <v>0.14888999999999999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</row>
    <row r="906" spans="1:25" hidden="1">
      <c r="A906" t="str">
        <f t="shared" si="216"/>
        <v>Olds 1942</v>
      </c>
      <c r="B906">
        <f t="shared" si="223"/>
        <v>460</v>
      </c>
      <c r="C906">
        <v>4015.4</v>
      </c>
      <c r="F906">
        <v>175.65</v>
      </c>
      <c r="H906">
        <f t="shared" si="219"/>
        <v>510.93</v>
      </c>
      <c r="I906">
        <f t="shared" si="220"/>
        <v>276.85000000000002</v>
      </c>
      <c r="J906">
        <f t="shared" si="222"/>
        <v>0</v>
      </c>
      <c r="K906">
        <f t="shared" si="221"/>
        <v>0.17565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</row>
    <row r="907" spans="1:25" hidden="1">
      <c r="A907" t="str">
        <f t="shared" si="216"/>
        <v>Olds 1942</v>
      </c>
      <c r="B907">
        <f t="shared" si="223"/>
        <v>460</v>
      </c>
      <c r="C907">
        <v>3046.7</v>
      </c>
      <c r="F907">
        <v>212.87</v>
      </c>
      <c r="H907">
        <f t="shared" si="219"/>
        <v>510.93</v>
      </c>
      <c r="I907">
        <f t="shared" si="220"/>
        <v>210.06</v>
      </c>
      <c r="J907">
        <f t="shared" si="222"/>
        <v>0</v>
      </c>
      <c r="K907">
        <f t="shared" si="221"/>
        <v>0.21287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</row>
    <row r="908" spans="1:25" hidden="1">
      <c r="A908" t="str">
        <f t="shared" si="216"/>
        <v>Olds 1942</v>
      </c>
      <c r="B908">
        <f t="shared" si="223"/>
        <v>460</v>
      </c>
      <c r="C908">
        <v>2094.1999999999998</v>
      </c>
      <c r="F908">
        <v>285.10000000000002</v>
      </c>
      <c r="H908">
        <f t="shared" si="219"/>
        <v>510.93</v>
      </c>
      <c r="I908">
        <f t="shared" si="220"/>
        <v>144.38999999999999</v>
      </c>
      <c r="J908">
        <f t="shared" si="222"/>
        <v>0</v>
      </c>
      <c r="K908">
        <f t="shared" si="221"/>
        <v>0.28510000000000002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</row>
    <row r="909" spans="1:25" hidden="1">
      <c r="A909" t="str">
        <f t="shared" si="216"/>
        <v>Olds 1942</v>
      </c>
      <c r="B909">
        <f t="shared" si="223"/>
        <v>460</v>
      </c>
      <c r="C909">
        <v>1379.3</v>
      </c>
      <c r="F909">
        <v>400.33</v>
      </c>
      <c r="H909">
        <f t="shared" si="219"/>
        <v>510.93</v>
      </c>
      <c r="I909">
        <f t="shared" si="220"/>
        <v>95.1</v>
      </c>
      <c r="J909">
        <f t="shared" si="222"/>
        <v>0</v>
      </c>
      <c r="K909">
        <f t="shared" si="221"/>
        <v>0.40033000000000002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</row>
    <row r="910" spans="1:25" hidden="1">
      <c r="A910" t="str">
        <f t="shared" si="216"/>
        <v>Olds 1942</v>
      </c>
      <c r="B910">
        <f t="shared" si="223"/>
        <v>460</v>
      </c>
      <c r="C910">
        <v>771.3</v>
      </c>
      <c r="F910">
        <v>654.59</v>
      </c>
      <c r="H910">
        <f t="shared" si="219"/>
        <v>510.93</v>
      </c>
      <c r="I910">
        <f t="shared" si="220"/>
        <v>53.18</v>
      </c>
      <c r="J910">
        <f t="shared" si="222"/>
        <v>0</v>
      </c>
      <c r="K910">
        <f t="shared" si="221"/>
        <v>0.65459000000000001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</row>
    <row r="911" spans="1:25" hidden="1">
      <c r="A911" t="s">
        <v>81</v>
      </c>
      <c r="H911">
        <v>324.64999999999998</v>
      </c>
      <c r="I911">
        <v>101.3</v>
      </c>
      <c r="J911">
        <f t="shared" si="222"/>
        <v>0</v>
      </c>
      <c r="N911" s="3">
        <v>8.0999999999999996E-4</v>
      </c>
      <c r="S911">
        <f t="shared" ref="S911:S942" si="224">S910</f>
        <v>0</v>
      </c>
      <c r="T911">
        <f t="shared" ref="T911:T942" si="225">T910</f>
        <v>0</v>
      </c>
      <c r="U911">
        <f t="shared" ref="U911:U942" si="226">U910</f>
        <v>0</v>
      </c>
      <c r="V911">
        <f t="shared" ref="V911:V942" si="227">V910</f>
        <v>0</v>
      </c>
      <c r="W911">
        <f t="shared" ref="W911:W942" si="228">W910</f>
        <v>1</v>
      </c>
      <c r="X911">
        <f t="shared" ref="X911:X942" si="229">X910</f>
        <v>0</v>
      </c>
      <c r="Y911">
        <f t="shared" ref="Y911:Y942" si="230">Y910</f>
        <v>0</v>
      </c>
    </row>
    <row r="912" spans="1:25" hidden="1">
      <c r="A912" t="str">
        <f>A911</f>
        <v>O'Sullivan 1966</v>
      </c>
      <c r="H912">
        <f>H911</f>
        <v>324.64999999999998</v>
      </c>
      <c r="I912">
        <v>202.6</v>
      </c>
      <c r="J912">
        <f t="shared" si="222"/>
        <v>0</v>
      </c>
      <c r="N912" s="3">
        <v>1.47E-3</v>
      </c>
      <c r="S912">
        <f t="shared" si="224"/>
        <v>0</v>
      </c>
      <c r="T912">
        <f t="shared" si="225"/>
        <v>0</v>
      </c>
      <c r="U912">
        <f t="shared" si="226"/>
        <v>0</v>
      </c>
      <c r="V912">
        <f t="shared" si="227"/>
        <v>0</v>
      </c>
      <c r="W912">
        <f t="shared" si="228"/>
        <v>1</v>
      </c>
      <c r="X912">
        <f t="shared" si="229"/>
        <v>0</v>
      </c>
      <c r="Y912">
        <f t="shared" si="230"/>
        <v>0</v>
      </c>
    </row>
    <row r="913" spans="1:25" hidden="1">
      <c r="A913" t="str">
        <f>A912</f>
        <v>O'Sullivan 1966</v>
      </c>
      <c r="H913">
        <f>H912</f>
        <v>324.64999999999998</v>
      </c>
      <c r="I913">
        <v>304</v>
      </c>
      <c r="J913">
        <f t="shared" si="222"/>
        <v>0</v>
      </c>
      <c r="N913" s="3">
        <v>2.0500000000000002E-3</v>
      </c>
      <c r="S913">
        <f t="shared" si="224"/>
        <v>0</v>
      </c>
      <c r="T913">
        <f t="shared" si="225"/>
        <v>0</v>
      </c>
      <c r="U913">
        <f t="shared" si="226"/>
        <v>0</v>
      </c>
      <c r="V913">
        <f t="shared" si="227"/>
        <v>0</v>
      </c>
      <c r="W913">
        <f t="shared" si="228"/>
        <v>1</v>
      </c>
      <c r="X913">
        <f t="shared" si="229"/>
        <v>0</v>
      </c>
      <c r="Y913">
        <f t="shared" si="230"/>
        <v>0</v>
      </c>
    </row>
    <row r="914" spans="1:25" hidden="1">
      <c r="A914" t="str">
        <f>A913</f>
        <v>O'Sullivan 1966</v>
      </c>
      <c r="H914">
        <f>H913</f>
        <v>324.64999999999998</v>
      </c>
      <c r="I914">
        <v>405.3</v>
      </c>
      <c r="J914">
        <f t="shared" si="222"/>
        <v>0</v>
      </c>
      <c r="N914" s="3">
        <v>2.5400000000000002E-3</v>
      </c>
      <c r="S914">
        <f t="shared" si="224"/>
        <v>0</v>
      </c>
      <c r="T914">
        <f t="shared" si="225"/>
        <v>0</v>
      </c>
      <c r="U914">
        <f t="shared" si="226"/>
        <v>0</v>
      </c>
      <c r="V914">
        <f t="shared" si="227"/>
        <v>0</v>
      </c>
      <c r="W914">
        <f t="shared" si="228"/>
        <v>1</v>
      </c>
      <c r="X914">
        <f t="shared" si="229"/>
        <v>0</v>
      </c>
      <c r="Y914">
        <f t="shared" si="230"/>
        <v>0</v>
      </c>
    </row>
    <row r="915" spans="1:25" hidden="1">
      <c r="A915" t="str">
        <f>A914</f>
        <v>O'Sullivan 1966</v>
      </c>
      <c r="H915">
        <f>H914</f>
        <v>324.64999999999998</v>
      </c>
      <c r="I915">
        <v>506.6</v>
      </c>
      <c r="J915">
        <f t="shared" si="222"/>
        <v>0</v>
      </c>
      <c r="N915" s="3">
        <v>3.0000000000000001E-3</v>
      </c>
      <c r="S915">
        <f t="shared" si="224"/>
        <v>0</v>
      </c>
      <c r="T915">
        <f t="shared" si="225"/>
        <v>0</v>
      </c>
      <c r="U915">
        <f t="shared" si="226"/>
        <v>0</v>
      </c>
      <c r="V915">
        <f t="shared" si="227"/>
        <v>0</v>
      </c>
      <c r="W915">
        <f t="shared" si="228"/>
        <v>1</v>
      </c>
      <c r="X915">
        <f t="shared" si="229"/>
        <v>0</v>
      </c>
      <c r="Y915">
        <f t="shared" si="230"/>
        <v>0</v>
      </c>
    </row>
    <row r="916" spans="1:25" hidden="1">
      <c r="A916" t="str">
        <f>A915</f>
        <v>O'Sullivan 1966</v>
      </c>
      <c r="H916">
        <f>H915</f>
        <v>324.64999999999998</v>
      </c>
      <c r="I916">
        <v>607.9</v>
      </c>
      <c r="J916">
        <f t="shared" si="222"/>
        <v>0</v>
      </c>
      <c r="N916" s="3">
        <v>3.4399999999999999E-3</v>
      </c>
      <c r="S916">
        <f t="shared" si="224"/>
        <v>0</v>
      </c>
      <c r="T916">
        <f t="shared" si="225"/>
        <v>0</v>
      </c>
      <c r="U916">
        <f t="shared" si="226"/>
        <v>0</v>
      </c>
      <c r="V916">
        <f t="shared" si="227"/>
        <v>0</v>
      </c>
      <c r="W916">
        <f t="shared" si="228"/>
        <v>1</v>
      </c>
      <c r="X916">
        <f t="shared" si="229"/>
        <v>0</v>
      </c>
      <c r="Y916">
        <f t="shared" si="230"/>
        <v>0</v>
      </c>
    </row>
    <row r="917" spans="1:25" hidden="1">
      <c r="A917" t="s">
        <v>81</v>
      </c>
      <c r="E917">
        <v>6</v>
      </c>
      <c r="H917">
        <v>324.64999999999998</v>
      </c>
      <c r="I917">
        <v>101.3</v>
      </c>
      <c r="J917">
        <v>1</v>
      </c>
      <c r="N917">
        <f t="shared" ref="N917:N928" si="231">E917/10000</f>
        <v>5.9999999999999995E-4</v>
      </c>
      <c r="S917">
        <f t="shared" si="224"/>
        <v>0</v>
      </c>
      <c r="T917">
        <f t="shared" si="225"/>
        <v>0</v>
      </c>
      <c r="U917">
        <f t="shared" si="226"/>
        <v>0</v>
      </c>
      <c r="V917">
        <f t="shared" si="227"/>
        <v>0</v>
      </c>
      <c r="W917">
        <f t="shared" si="228"/>
        <v>1</v>
      </c>
      <c r="X917">
        <f t="shared" si="229"/>
        <v>0</v>
      </c>
      <c r="Y917">
        <f t="shared" si="230"/>
        <v>0</v>
      </c>
    </row>
    <row r="918" spans="1:25" hidden="1">
      <c r="A918" t="str">
        <f t="shared" ref="A918:A928" si="232">A917</f>
        <v>O'Sullivan 1966</v>
      </c>
      <c r="E918">
        <v>10.9</v>
      </c>
      <c r="H918">
        <f>H917</f>
        <v>324.64999999999998</v>
      </c>
      <c r="I918">
        <v>202.6</v>
      </c>
      <c r="J918">
        <f t="shared" ref="J918:J964" si="233">J917</f>
        <v>1</v>
      </c>
      <c r="N918">
        <f t="shared" si="231"/>
        <v>1.09E-3</v>
      </c>
      <c r="S918">
        <f t="shared" si="224"/>
        <v>0</v>
      </c>
      <c r="T918">
        <f t="shared" si="225"/>
        <v>0</v>
      </c>
      <c r="U918">
        <f t="shared" si="226"/>
        <v>0</v>
      </c>
      <c r="V918">
        <f t="shared" si="227"/>
        <v>0</v>
      </c>
      <c r="W918">
        <f t="shared" si="228"/>
        <v>1</v>
      </c>
      <c r="X918">
        <f t="shared" si="229"/>
        <v>0</v>
      </c>
      <c r="Y918">
        <f t="shared" si="230"/>
        <v>0</v>
      </c>
    </row>
    <row r="919" spans="1:25" hidden="1">
      <c r="A919" t="str">
        <f t="shared" si="232"/>
        <v>O'Sullivan 1966</v>
      </c>
      <c r="E919">
        <v>15.2</v>
      </c>
      <c r="H919">
        <f>H918</f>
        <v>324.64999999999998</v>
      </c>
      <c r="I919">
        <v>304</v>
      </c>
      <c r="J919">
        <f t="shared" si="233"/>
        <v>1</v>
      </c>
      <c r="N919">
        <f t="shared" si="231"/>
        <v>1.5199999999999999E-3</v>
      </c>
      <c r="S919">
        <f t="shared" si="224"/>
        <v>0</v>
      </c>
      <c r="T919">
        <f t="shared" si="225"/>
        <v>0</v>
      </c>
      <c r="U919">
        <f t="shared" si="226"/>
        <v>0</v>
      </c>
      <c r="V919">
        <f t="shared" si="227"/>
        <v>0</v>
      </c>
      <c r="W919">
        <f t="shared" si="228"/>
        <v>1</v>
      </c>
      <c r="X919">
        <f t="shared" si="229"/>
        <v>0</v>
      </c>
      <c r="Y919">
        <f t="shared" si="230"/>
        <v>0</v>
      </c>
    </row>
    <row r="920" spans="1:25" hidden="1">
      <c r="A920" t="str">
        <f t="shared" si="232"/>
        <v>O'Sullivan 1966</v>
      </c>
      <c r="E920">
        <v>19</v>
      </c>
      <c r="H920">
        <f>H919</f>
        <v>324.64999999999998</v>
      </c>
      <c r="I920">
        <v>405.3</v>
      </c>
      <c r="J920">
        <f t="shared" si="233"/>
        <v>1</v>
      </c>
      <c r="N920">
        <f t="shared" si="231"/>
        <v>1.9E-3</v>
      </c>
      <c r="S920">
        <f t="shared" si="224"/>
        <v>0</v>
      </c>
      <c r="T920">
        <f t="shared" si="225"/>
        <v>0</v>
      </c>
      <c r="U920">
        <f t="shared" si="226"/>
        <v>0</v>
      </c>
      <c r="V920">
        <f t="shared" si="227"/>
        <v>0</v>
      </c>
      <c r="W920">
        <f t="shared" si="228"/>
        <v>1</v>
      </c>
      <c r="X920">
        <f t="shared" si="229"/>
        <v>0</v>
      </c>
      <c r="Y920">
        <f t="shared" si="230"/>
        <v>0</v>
      </c>
    </row>
    <row r="921" spans="1:25" hidden="1">
      <c r="A921" t="str">
        <f t="shared" si="232"/>
        <v>O'Sullivan 1966</v>
      </c>
      <c r="E921">
        <v>22.6</v>
      </c>
      <c r="H921">
        <f>H920</f>
        <v>324.64999999999998</v>
      </c>
      <c r="I921">
        <v>506.6</v>
      </c>
      <c r="J921">
        <f t="shared" si="233"/>
        <v>1</v>
      </c>
      <c r="N921">
        <f t="shared" si="231"/>
        <v>2.2600000000000003E-3</v>
      </c>
      <c r="S921">
        <f t="shared" si="224"/>
        <v>0</v>
      </c>
      <c r="T921">
        <f t="shared" si="225"/>
        <v>0</v>
      </c>
      <c r="U921">
        <f t="shared" si="226"/>
        <v>0</v>
      </c>
      <c r="V921">
        <f t="shared" si="227"/>
        <v>0</v>
      </c>
      <c r="W921">
        <f t="shared" si="228"/>
        <v>1</v>
      </c>
      <c r="X921">
        <f t="shared" si="229"/>
        <v>0</v>
      </c>
      <c r="Y921">
        <f t="shared" si="230"/>
        <v>0</v>
      </c>
    </row>
    <row r="922" spans="1:25" hidden="1">
      <c r="A922" t="str">
        <f t="shared" si="232"/>
        <v>O'Sullivan 1966</v>
      </c>
      <c r="E922">
        <v>25.9</v>
      </c>
      <c r="H922">
        <f>H921</f>
        <v>324.64999999999998</v>
      </c>
      <c r="I922">
        <v>607.9</v>
      </c>
      <c r="J922">
        <f t="shared" si="233"/>
        <v>1</v>
      </c>
      <c r="N922">
        <f t="shared" si="231"/>
        <v>2.5899999999999999E-3</v>
      </c>
      <c r="S922">
        <f t="shared" si="224"/>
        <v>0</v>
      </c>
      <c r="T922">
        <f t="shared" si="225"/>
        <v>0</v>
      </c>
      <c r="U922">
        <f t="shared" si="226"/>
        <v>0</v>
      </c>
      <c r="V922">
        <f t="shared" si="227"/>
        <v>0</v>
      </c>
      <c r="W922">
        <f t="shared" si="228"/>
        <v>1</v>
      </c>
      <c r="X922">
        <f t="shared" si="229"/>
        <v>0</v>
      </c>
      <c r="Y922">
        <f t="shared" si="230"/>
        <v>0</v>
      </c>
    </row>
    <row r="923" spans="1:25" hidden="1">
      <c r="A923" t="str">
        <f t="shared" si="232"/>
        <v>O'Sullivan 1966</v>
      </c>
      <c r="E923">
        <v>6.1</v>
      </c>
      <c r="H923">
        <v>375.65</v>
      </c>
      <c r="I923">
        <v>102.3</v>
      </c>
      <c r="J923">
        <f t="shared" si="233"/>
        <v>1</v>
      </c>
      <c r="N923">
        <f t="shared" si="231"/>
        <v>6.0999999999999997E-4</v>
      </c>
      <c r="S923">
        <f t="shared" si="224"/>
        <v>0</v>
      </c>
      <c r="T923">
        <f t="shared" si="225"/>
        <v>0</v>
      </c>
      <c r="U923">
        <f t="shared" si="226"/>
        <v>0</v>
      </c>
      <c r="V923">
        <f t="shared" si="227"/>
        <v>0</v>
      </c>
      <c r="W923">
        <f t="shared" si="228"/>
        <v>1</v>
      </c>
      <c r="X923">
        <f t="shared" si="229"/>
        <v>0</v>
      </c>
      <c r="Y923">
        <f t="shared" si="230"/>
        <v>0</v>
      </c>
    </row>
    <row r="924" spans="1:25" hidden="1">
      <c r="A924" t="str">
        <f t="shared" si="232"/>
        <v>O'Sullivan 1966</v>
      </c>
      <c r="E924">
        <v>11.3</v>
      </c>
      <c r="H924">
        <f t="shared" ref="H924:H934" si="234">H923</f>
        <v>375.65</v>
      </c>
      <c r="I924">
        <v>203.7</v>
      </c>
      <c r="J924">
        <f t="shared" si="233"/>
        <v>1</v>
      </c>
      <c r="N924">
        <f t="shared" si="231"/>
        <v>1.1300000000000001E-3</v>
      </c>
      <c r="S924">
        <f t="shared" si="224"/>
        <v>0</v>
      </c>
      <c r="T924">
        <f t="shared" si="225"/>
        <v>0</v>
      </c>
      <c r="U924">
        <f t="shared" si="226"/>
        <v>0</v>
      </c>
      <c r="V924">
        <f t="shared" si="227"/>
        <v>0</v>
      </c>
      <c r="W924">
        <f t="shared" si="228"/>
        <v>1</v>
      </c>
      <c r="X924">
        <f t="shared" si="229"/>
        <v>0</v>
      </c>
      <c r="Y924">
        <f t="shared" si="230"/>
        <v>0</v>
      </c>
    </row>
    <row r="925" spans="1:25" hidden="1">
      <c r="A925" t="str">
        <f t="shared" si="232"/>
        <v>O'Sullivan 1966</v>
      </c>
      <c r="E925">
        <v>15.6</v>
      </c>
      <c r="H925">
        <f t="shared" si="234"/>
        <v>375.65</v>
      </c>
      <c r="I925">
        <v>306</v>
      </c>
      <c r="J925">
        <f t="shared" si="233"/>
        <v>1</v>
      </c>
      <c r="N925">
        <f t="shared" si="231"/>
        <v>1.56E-3</v>
      </c>
      <c r="S925">
        <f t="shared" si="224"/>
        <v>0</v>
      </c>
      <c r="T925">
        <f t="shared" si="225"/>
        <v>0</v>
      </c>
      <c r="U925">
        <f t="shared" si="226"/>
        <v>0</v>
      </c>
      <c r="V925">
        <f t="shared" si="227"/>
        <v>0</v>
      </c>
      <c r="W925">
        <f t="shared" si="228"/>
        <v>1</v>
      </c>
      <c r="X925">
        <f t="shared" si="229"/>
        <v>0</v>
      </c>
      <c r="Y925">
        <f t="shared" si="230"/>
        <v>0</v>
      </c>
    </row>
    <row r="926" spans="1:25" hidden="1">
      <c r="A926" t="str">
        <f t="shared" si="232"/>
        <v>O'Sullivan 1966</v>
      </c>
      <c r="E926">
        <v>19.5</v>
      </c>
      <c r="H926">
        <f t="shared" si="234"/>
        <v>375.65</v>
      </c>
      <c r="I926">
        <v>408.3</v>
      </c>
      <c r="J926">
        <f t="shared" si="233"/>
        <v>1</v>
      </c>
      <c r="N926">
        <f t="shared" si="231"/>
        <v>1.9499999999999999E-3</v>
      </c>
      <c r="S926">
        <f t="shared" si="224"/>
        <v>0</v>
      </c>
      <c r="T926">
        <f t="shared" si="225"/>
        <v>0</v>
      </c>
      <c r="U926">
        <f t="shared" si="226"/>
        <v>0</v>
      </c>
      <c r="V926">
        <f t="shared" si="227"/>
        <v>0</v>
      </c>
      <c r="W926">
        <f t="shared" si="228"/>
        <v>1</v>
      </c>
      <c r="X926">
        <f t="shared" si="229"/>
        <v>0</v>
      </c>
      <c r="Y926">
        <f t="shared" si="230"/>
        <v>0</v>
      </c>
    </row>
    <row r="927" spans="1:25" hidden="1">
      <c r="A927" t="str">
        <f t="shared" si="232"/>
        <v>O'Sullivan 1966</v>
      </c>
      <c r="E927">
        <v>23</v>
      </c>
      <c r="H927">
        <f t="shared" si="234"/>
        <v>375.65</v>
      </c>
      <c r="I927">
        <v>509.7</v>
      </c>
      <c r="J927">
        <f t="shared" si="233"/>
        <v>1</v>
      </c>
      <c r="N927">
        <f t="shared" si="231"/>
        <v>2.3E-3</v>
      </c>
      <c r="S927">
        <f t="shared" si="224"/>
        <v>0</v>
      </c>
      <c r="T927">
        <f t="shared" si="225"/>
        <v>0</v>
      </c>
      <c r="U927">
        <f t="shared" si="226"/>
        <v>0</v>
      </c>
      <c r="V927">
        <f t="shared" si="227"/>
        <v>0</v>
      </c>
      <c r="W927">
        <f t="shared" si="228"/>
        <v>1</v>
      </c>
      <c r="X927">
        <f t="shared" si="229"/>
        <v>0</v>
      </c>
      <c r="Y927">
        <f t="shared" si="230"/>
        <v>0</v>
      </c>
    </row>
    <row r="928" spans="1:25" hidden="1">
      <c r="A928" t="str">
        <f t="shared" si="232"/>
        <v>O'Sullivan 1966</v>
      </c>
      <c r="E928">
        <v>26.6</v>
      </c>
      <c r="H928">
        <f t="shared" si="234"/>
        <v>375.65</v>
      </c>
      <c r="I928">
        <v>612</v>
      </c>
      <c r="J928">
        <f t="shared" si="233"/>
        <v>1</v>
      </c>
      <c r="N928">
        <f t="shared" si="231"/>
        <v>2.66E-3</v>
      </c>
      <c r="S928">
        <f t="shared" si="224"/>
        <v>0</v>
      </c>
      <c r="T928">
        <f t="shared" si="225"/>
        <v>0</v>
      </c>
      <c r="U928">
        <f t="shared" si="226"/>
        <v>0</v>
      </c>
      <c r="V928">
        <f t="shared" si="227"/>
        <v>0</v>
      </c>
      <c r="W928">
        <f t="shared" si="228"/>
        <v>1</v>
      </c>
      <c r="X928">
        <f t="shared" si="229"/>
        <v>0</v>
      </c>
      <c r="Y928">
        <f t="shared" si="230"/>
        <v>0</v>
      </c>
    </row>
    <row r="929" spans="1:25" hidden="1">
      <c r="A929" t="s">
        <v>82</v>
      </c>
      <c r="H929">
        <f t="shared" si="234"/>
        <v>375.65</v>
      </c>
      <c r="I929">
        <v>101.3</v>
      </c>
      <c r="J929">
        <f t="shared" si="233"/>
        <v>1</v>
      </c>
      <c r="N929" s="3">
        <v>7.9900000000000001E-4</v>
      </c>
      <c r="S929">
        <f t="shared" si="224"/>
        <v>0</v>
      </c>
      <c r="T929">
        <f t="shared" si="225"/>
        <v>0</v>
      </c>
      <c r="U929">
        <f t="shared" si="226"/>
        <v>0</v>
      </c>
      <c r="V929">
        <f t="shared" si="227"/>
        <v>0</v>
      </c>
      <c r="W929">
        <f t="shared" si="228"/>
        <v>1</v>
      </c>
      <c r="X929">
        <f t="shared" si="229"/>
        <v>0</v>
      </c>
      <c r="Y929">
        <f t="shared" si="230"/>
        <v>0</v>
      </c>
    </row>
    <row r="930" spans="1:25" hidden="1">
      <c r="A930" t="str">
        <f t="shared" ref="A930:A946" si="235">A929</f>
        <v>O'Sullivan 1970</v>
      </c>
      <c r="H930">
        <f t="shared" si="234"/>
        <v>375.65</v>
      </c>
      <c r="I930">
        <v>202.6</v>
      </c>
      <c r="J930">
        <f t="shared" si="233"/>
        <v>1</v>
      </c>
      <c r="N930" s="3">
        <v>1.454E-3</v>
      </c>
      <c r="S930">
        <f t="shared" si="224"/>
        <v>0</v>
      </c>
      <c r="T930">
        <f t="shared" si="225"/>
        <v>0</v>
      </c>
      <c r="U930">
        <f t="shared" si="226"/>
        <v>0</v>
      </c>
      <c r="V930">
        <f t="shared" si="227"/>
        <v>0</v>
      </c>
      <c r="W930">
        <f t="shared" si="228"/>
        <v>1</v>
      </c>
      <c r="X930">
        <f t="shared" si="229"/>
        <v>0</v>
      </c>
      <c r="Y930">
        <f t="shared" si="230"/>
        <v>0</v>
      </c>
    </row>
    <row r="931" spans="1:25" hidden="1">
      <c r="A931" t="str">
        <f t="shared" si="235"/>
        <v>O'Sullivan 1970</v>
      </c>
      <c r="H931">
        <f t="shared" si="234"/>
        <v>375.65</v>
      </c>
      <c r="I931">
        <v>304</v>
      </c>
      <c r="J931">
        <f t="shared" si="233"/>
        <v>1</v>
      </c>
      <c r="N931" s="3">
        <v>2.0170000000000001E-3</v>
      </c>
      <c r="S931">
        <f t="shared" si="224"/>
        <v>0</v>
      </c>
      <c r="T931">
        <f t="shared" si="225"/>
        <v>0</v>
      </c>
      <c r="U931">
        <f t="shared" si="226"/>
        <v>0</v>
      </c>
      <c r="V931">
        <f t="shared" si="227"/>
        <v>0</v>
      </c>
      <c r="W931">
        <f t="shared" si="228"/>
        <v>1</v>
      </c>
      <c r="X931">
        <f t="shared" si="229"/>
        <v>0</v>
      </c>
      <c r="Y931">
        <f t="shared" si="230"/>
        <v>0</v>
      </c>
    </row>
    <row r="932" spans="1:25" hidden="1">
      <c r="A932" t="str">
        <f t="shared" si="235"/>
        <v>O'Sullivan 1970</v>
      </c>
      <c r="H932">
        <f t="shared" si="234"/>
        <v>375.65</v>
      </c>
      <c r="I932">
        <v>405.3</v>
      </c>
      <c r="J932">
        <f t="shared" si="233"/>
        <v>1</v>
      </c>
      <c r="N932" s="3">
        <v>2.49E-3</v>
      </c>
      <c r="S932">
        <f t="shared" si="224"/>
        <v>0</v>
      </c>
      <c r="T932">
        <f t="shared" si="225"/>
        <v>0</v>
      </c>
      <c r="U932">
        <f t="shared" si="226"/>
        <v>0</v>
      </c>
      <c r="V932">
        <f t="shared" si="227"/>
        <v>0</v>
      </c>
      <c r="W932">
        <f t="shared" si="228"/>
        <v>1</v>
      </c>
      <c r="X932">
        <f t="shared" si="229"/>
        <v>0</v>
      </c>
      <c r="Y932">
        <f t="shared" si="230"/>
        <v>0</v>
      </c>
    </row>
    <row r="933" spans="1:25" hidden="1">
      <c r="A933" t="str">
        <f t="shared" si="235"/>
        <v>O'Sullivan 1970</v>
      </c>
      <c r="H933">
        <f t="shared" si="234"/>
        <v>375.65</v>
      </c>
      <c r="I933">
        <v>506.6</v>
      </c>
      <c r="J933">
        <f t="shared" si="233"/>
        <v>1</v>
      </c>
      <c r="N933" s="3">
        <v>2.9199999999999999E-3</v>
      </c>
      <c r="S933">
        <f t="shared" si="224"/>
        <v>0</v>
      </c>
      <c r="T933">
        <f t="shared" si="225"/>
        <v>0</v>
      </c>
      <c r="U933">
        <f t="shared" si="226"/>
        <v>0</v>
      </c>
      <c r="V933">
        <f t="shared" si="227"/>
        <v>0</v>
      </c>
      <c r="W933">
        <f t="shared" si="228"/>
        <v>1</v>
      </c>
      <c r="X933">
        <f t="shared" si="229"/>
        <v>0</v>
      </c>
      <c r="Y933">
        <f t="shared" si="230"/>
        <v>0</v>
      </c>
    </row>
    <row r="934" spans="1:25" hidden="1">
      <c r="A934" t="str">
        <f t="shared" si="235"/>
        <v>O'Sullivan 1970</v>
      </c>
      <c r="H934">
        <f t="shared" si="234"/>
        <v>375.65</v>
      </c>
      <c r="I934">
        <v>607.9</v>
      </c>
      <c r="J934">
        <f t="shared" si="233"/>
        <v>1</v>
      </c>
      <c r="N934" s="3">
        <v>3.3500000000000001E-3</v>
      </c>
      <c r="S934">
        <f t="shared" si="224"/>
        <v>0</v>
      </c>
      <c r="T934">
        <f t="shared" si="225"/>
        <v>0</v>
      </c>
      <c r="U934">
        <f t="shared" si="226"/>
        <v>0</v>
      </c>
      <c r="V934">
        <f t="shared" si="227"/>
        <v>0</v>
      </c>
      <c r="W934">
        <f t="shared" si="228"/>
        <v>1</v>
      </c>
      <c r="X934">
        <f t="shared" si="229"/>
        <v>0</v>
      </c>
      <c r="Y934">
        <f t="shared" si="230"/>
        <v>0</v>
      </c>
    </row>
    <row r="935" spans="1:25" hidden="1">
      <c r="A935" t="str">
        <f t="shared" si="235"/>
        <v>O'Sullivan 1970</v>
      </c>
      <c r="H935">
        <v>375.65</v>
      </c>
      <c r="I935">
        <v>102.3</v>
      </c>
      <c r="J935">
        <f t="shared" si="233"/>
        <v>1</v>
      </c>
      <c r="N935" s="3">
        <v>7.7700000000000002E-4</v>
      </c>
      <c r="S935">
        <f t="shared" si="224"/>
        <v>0</v>
      </c>
      <c r="T935">
        <f t="shared" si="225"/>
        <v>0</v>
      </c>
      <c r="U935">
        <f t="shared" si="226"/>
        <v>0</v>
      </c>
      <c r="V935">
        <f t="shared" si="227"/>
        <v>0</v>
      </c>
      <c r="W935">
        <f t="shared" si="228"/>
        <v>1</v>
      </c>
      <c r="X935">
        <f t="shared" si="229"/>
        <v>0</v>
      </c>
      <c r="Y935">
        <f t="shared" si="230"/>
        <v>0</v>
      </c>
    </row>
    <row r="936" spans="1:25" hidden="1">
      <c r="A936" t="str">
        <f t="shared" si="235"/>
        <v>O'Sullivan 1970</v>
      </c>
      <c r="H936">
        <f>H935</f>
        <v>375.65</v>
      </c>
      <c r="I936">
        <v>203.7</v>
      </c>
      <c r="J936">
        <f t="shared" si="233"/>
        <v>1</v>
      </c>
      <c r="N936" s="3">
        <v>1.4469999999999999E-3</v>
      </c>
      <c r="S936">
        <f t="shared" si="224"/>
        <v>0</v>
      </c>
      <c r="T936">
        <f t="shared" si="225"/>
        <v>0</v>
      </c>
      <c r="U936">
        <f t="shared" si="226"/>
        <v>0</v>
      </c>
      <c r="V936">
        <f t="shared" si="227"/>
        <v>0</v>
      </c>
      <c r="W936">
        <f t="shared" si="228"/>
        <v>1</v>
      </c>
      <c r="X936">
        <f t="shared" si="229"/>
        <v>0</v>
      </c>
      <c r="Y936">
        <f t="shared" si="230"/>
        <v>0</v>
      </c>
    </row>
    <row r="937" spans="1:25" hidden="1">
      <c r="A937" t="str">
        <f t="shared" si="235"/>
        <v>O'Sullivan 1970</v>
      </c>
      <c r="H937">
        <f>H936</f>
        <v>375.65</v>
      </c>
      <c r="I937">
        <v>306</v>
      </c>
      <c r="J937">
        <f t="shared" si="233"/>
        <v>1</v>
      </c>
      <c r="N937" s="3">
        <v>2.0049999999999998E-3</v>
      </c>
      <c r="S937">
        <f t="shared" si="224"/>
        <v>0</v>
      </c>
      <c r="T937">
        <f t="shared" si="225"/>
        <v>0</v>
      </c>
      <c r="U937">
        <f t="shared" si="226"/>
        <v>0</v>
      </c>
      <c r="V937">
        <f t="shared" si="227"/>
        <v>0</v>
      </c>
      <c r="W937">
        <f t="shared" si="228"/>
        <v>1</v>
      </c>
      <c r="X937">
        <f t="shared" si="229"/>
        <v>0</v>
      </c>
      <c r="Y937">
        <f t="shared" si="230"/>
        <v>0</v>
      </c>
    </row>
    <row r="938" spans="1:25" hidden="1">
      <c r="A938" t="str">
        <f t="shared" si="235"/>
        <v>O'Sullivan 1970</v>
      </c>
      <c r="H938">
        <f>H937</f>
        <v>375.65</v>
      </c>
      <c r="I938">
        <v>408.3</v>
      </c>
      <c r="J938">
        <f t="shared" si="233"/>
        <v>1</v>
      </c>
      <c r="N938" s="3">
        <v>2.5200000000000001E-3</v>
      </c>
      <c r="S938">
        <f t="shared" si="224"/>
        <v>0</v>
      </c>
      <c r="T938">
        <f t="shared" si="225"/>
        <v>0</v>
      </c>
      <c r="U938">
        <f t="shared" si="226"/>
        <v>0</v>
      </c>
      <c r="V938">
        <f t="shared" si="227"/>
        <v>0</v>
      </c>
      <c r="W938">
        <f t="shared" si="228"/>
        <v>1</v>
      </c>
      <c r="X938">
        <f t="shared" si="229"/>
        <v>0</v>
      </c>
      <c r="Y938">
        <f t="shared" si="230"/>
        <v>0</v>
      </c>
    </row>
    <row r="939" spans="1:25" hidden="1">
      <c r="A939" t="str">
        <f t="shared" si="235"/>
        <v>O'Sullivan 1970</v>
      </c>
      <c r="H939">
        <f>H938</f>
        <v>375.65</v>
      </c>
      <c r="I939">
        <v>509.7</v>
      </c>
      <c r="J939">
        <f t="shared" si="233"/>
        <v>1</v>
      </c>
      <c r="N939" s="3">
        <v>2.98E-3</v>
      </c>
      <c r="S939">
        <f t="shared" si="224"/>
        <v>0</v>
      </c>
      <c r="T939">
        <f t="shared" si="225"/>
        <v>0</v>
      </c>
      <c r="U939">
        <f t="shared" si="226"/>
        <v>0</v>
      </c>
      <c r="V939">
        <f t="shared" si="227"/>
        <v>0</v>
      </c>
      <c r="W939">
        <f t="shared" si="228"/>
        <v>1</v>
      </c>
      <c r="X939">
        <f t="shared" si="229"/>
        <v>0</v>
      </c>
      <c r="Y939">
        <f t="shared" si="230"/>
        <v>0</v>
      </c>
    </row>
    <row r="940" spans="1:25" hidden="1">
      <c r="A940" t="str">
        <f t="shared" si="235"/>
        <v>O'Sullivan 1970</v>
      </c>
      <c r="H940">
        <f>H939</f>
        <v>375.65</v>
      </c>
      <c r="I940">
        <v>612</v>
      </c>
      <c r="J940">
        <f t="shared" si="233"/>
        <v>1</v>
      </c>
      <c r="N940" s="3">
        <v>3.3700000000000002E-3</v>
      </c>
      <c r="S940">
        <f t="shared" si="224"/>
        <v>0</v>
      </c>
      <c r="T940">
        <f t="shared" si="225"/>
        <v>0</v>
      </c>
      <c r="U940">
        <f t="shared" si="226"/>
        <v>0</v>
      </c>
      <c r="V940">
        <f t="shared" si="227"/>
        <v>0</v>
      </c>
      <c r="W940">
        <f t="shared" si="228"/>
        <v>1</v>
      </c>
      <c r="X940">
        <f t="shared" si="229"/>
        <v>0</v>
      </c>
      <c r="Y940">
        <f t="shared" si="230"/>
        <v>0</v>
      </c>
    </row>
    <row r="941" spans="1:25" hidden="1">
      <c r="A941" t="str">
        <f t="shared" si="235"/>
        <v>O'Sullivan 1970</v>
      </c>
      <c r="H941">
        <v>398.15</v>
      </c>
      <c r="I941">
        <v>104.4</v>
      </c>
      <c r="J941">
        <f t="shared" si="233"/>
        <v>1</v>
      </c>
      <c r="N941" s="3">
        <v>8.0800000000000002E-4</v>
      </c>
      <c r="S941">
        <f t="shared" si="224"/>
        <v>0</v>
      </c>
      <c r="T941">
        <f t="shared" si="225"/>
        <v>0</v>
      </c>
      <c r="U941">
        <f t="shared" si="226"/>
        <v>0</v>
      </c>
      <c r="V941">
        <f t="shared" si="227"/>
        <v>0</v>
      </c>
      <c r="W941">
        <f t="shared" si="228"/>
        <v>1</v>
      </c>
      <c r="X941">
        <f t="shared" si="229"/>
        <v>0</v>
      </c>
      <c r="Y941">
        <f t="shared" si="230"/>
        <v>0</v>
      </c>
    </row>
    <row r="942" spans="1:25" hidden="1">
      <c r="A942" t="str">
        <f t="shared" si="235"/>
        <v>O'Sullivan 1970</v>
      </c>
      <c r="H942">
        <f>H941</f>
        <v>398.15</v>
      </c>
      <c r="I942">
        <v>206.7</v>
      </c>
      <c r="J942">
        <f t="shared" si="233"/>
        <v>1</v>
      </c>
      <c r="N942" s="3">
        <v>1.4920000000000001E-3</v>
      </c>
      <c r="S942">
        <f t="shared" si="224"/>
        <v>0</v>
      </c>
      <c r="T942">
        <f t="shared" si="225"/>
        <v>0</v>
      </c>
      <c r="U942">
        <f t="shared" si="226"/>
        <v>0</v>
      </c>
      <c r="V942">
        <f t="shared" si="227"/>
        <v>0</v>
      </c>
      <c r="W942">
        <f t="shared" si="228"/>
        <v>1</v>
      </c>
      <c r="X942">
        <f t="shared" si="229"/>
        <v>0</v>
      </c>
      <c r="Y942">
        <f t="shared" si="230"/>
        <v>0</v>
      </c>
    </row>
    <row r="943" spans="1:25" hidden="1">
      <c r="A943" t="str">
        <f t="shared" si="235"/>
        <v>O'Sullivan 1970</v>
      </c>
      <c r="H943">
        <f>H942</f>
        <v>398.15</v>
      </c>
      <c r="I943">
        <v>309</v>
      </c>
      <c r="J943">
        <f t="shared" si="233"/>
        <v>1</v>
      </c>
      <c r="N943" s="3">
        <v>2.0470000000000002E-3</v>
      </c>
      <c r="S943">
        <f t="shared" ref="S943:S974" si="236">S942</f>
        <v>0</v>
      </c>
      <c r="T943">
        <f t="shared" ref="T943:T974" si="237">T942</f>
        <v>0</v>
      </c>
      <c r="U943">
        <f t="shared" ref="U943:U974" si="238">U942</f>
        <v>0</v>
      </c>
      <c r="V943">
        <f t="shared" ref="V943:V974" si="239">V942</f>
        <v>0</v>
      </c>
      <c r="W943">
        <f t="shared" ref="W943:W974" si="240">W942</f>
        <v>1</v>
      </c>
      <c r="X943">
        <f t="shared" ref="X943:X974" si="241">X942</f>
        <v>0</v>
      </c>
      <c r="Y943">
        <f t="shared" ref="Y943:Y974" si="242">Y942</f>
        <v>0</v>
      </c>
    </row>
    <row r="944" spans="1:25" hidden="1">
      <c r="A944" t="str">
        <f t="shared" si="235"/>
        <v>O'Sullivan 1970</v>
      </c>
      <c r="H944">
        <f>H943</f>
        <v>398.15</v>
      </c>
      <c r="I944">
        <v>410.4</v>
      </c>
      <c r="J944">
        <f t="shared" si="233"/>
        <v>1</v>
      </c>
      <c r="N944" s="3">
        <v>2.5699999999999998E-3</v>
      </c>
      <c r="S944">
        <f t="shared" si="236"/>
        <v>0</v>
      </c>
      <c r="T944">
        <f t="shared" si="237"/>
        <v>0</v>
      </c>
      <c r="U944">
        <f t="shared" si="238"/>
        <v>0</v>
      </c>
      <c r="V944">
        <f t="shared" si="239"/>
        <v>0</v>
      </c>
      <c r="W944">
        <f t="shared" si="240"/>
        <v>1</v>
      </c>
      <c r="X944">
        <f t="shared" si="241"/>
        <v>0</v>
      </c>
      <c r="Y944">
        <f t="shared" si="242"/>
        <v>0</v>
      </c>
    </row>
    <row r="945" spans="1:25" hidden="1">
      <c r="A945" t="str">
        <f t="shared" si="235"/>
        <v>O'Sullivan 1970</v>
      </c>
      <c r="H945">
        <f>H944</f>
        <v>398.15</v>
      </c>
      <c r="I945">
        <v>513.70000000000005</v>
      </c>
      <c r="J945">
        <f t="shared" si="233"/>
        <v>1</v>
      </c>
      <c r="N945" s="3">
        <v>3.0599999999999998E-3</v>
      </c>
      <c r="S945">
        <f t="shared" si="236"/>
        <v>0</v>
      </c>
      <c r="T945">
        <f t="shared" si="237"/>
        <v>0</v>
      </c>
      <c r="U945">
        <f t="shared" si="238"/>
        <v>0</v>
      </c>
      <c r="V945">
        <f t="shared" si="239"/>
        <v>0</v>
      </c>
      <c r="W945">
        <f t="shared" si="240"/>
        <v>1</v>
      </c>
      <c r="X945">
        <f t="shared" si="241"/>
        <v>0</v>
      </c>
      <c r="Y945">
        <f t="shared" si="242"/>
        <v>0</v>
      </c>
    </row>
    <row r="946" spans="1:25" hidden="1">
      <c r="A946" t="str">
        <f t="shared" si="235"/>
        <v>O'Sullivan 1970</v>
      </c>
      <c r="H946">
        <f>H945</f>
        <v>398.15</v>
      </c>
      <c r="I946">
        <v>616.1</v>
      </c>
      <c r="J946">
        <f t="shared" si="233"/>
        <v>1</v>
      </c>
      <c r="N946" s="3">
        <v>3.5100000000000001E-3</v>
      </c>
      <c r="S946">
        <f t="shared" si="236"/>
        <v>0</v>
      </c>
      <c r="T946">
        <f t="shared" si="237"/>
        <v>0</v>
      </c>
      <c r="U946">
        <f t="shared" si="238"/>
        <v>0</v>
      </c>
      <c r="V946">
        <f t="shared" si="239"/>
        <v>0</v>
      </c>
      <c r="W946">
        <f t="shared" si="240"/>
        <v>1</v>
      </c>
      <c r="X946">
        <f t="shared" si="241"/>
        <v>0</v>
      </c>
      <c r="Y946">
        <f t="shared" si="242"/>
        <v>0</v>
      </c>
    </row>
    <row r="947" spans="1:25" hidden="1">
      <c r="A947" t="s">
        <v>82</v>
      </c>
      <c r="E947">
        <v>0.59299999999999997</v>
      </c>
      <c r="H947">
        <v>324.64999999999998</v>
      </c>
      <c r="I947">
        <v>101.3</v>
      </c>
      <c r="J947">
        <f t="shared" si="233"/>
        <v>1</v>
      </c>
      <c r="N947">
        <f t="shared" ref="N947:N969" si="243">E947/1000</f>
        <v>5.9299999999999999E-4</v>
      </c>
      <c r="S947">
        <f t="shared" si="236"/>
        <v>0</v>
      </c>
      <c r="T947">
        <f t="shared" si="237"/>
        <v>0</v>
      </c>
      <c r="U947">
        <f t="shared" si="238"/>
        <v>0</v>
      </c>
      <c r="V947">
        <f t="shared" si="239"/>
        <v>0</v>
      </c>
      <c r="W947">
        <f t="shared" si="240"/>
        <v>1</v>
      </c>
      <c r="X947">
        <f t="shared" si="241"/>
        <v>0</v>
      </c>
      <c r="Y947">
        <f t="shared" si="242"/>
        <v>0</v>
      </c>
    </row>
    <row r="948" spans="1:25" hidden="1">
      <c r="A948" t="str">
        <f t="shared" ref="A948:A979" si="244">A947</f>
        <v>O'Sullivan 1970</v>
      </c>
      <c r="E948">
        <v>1.0760000000000001</v>
      </c>
      <c r="H948">
        <f>H947</f>
        <v>324.64999999999998</v>
      </c>
      <c r="I948">
        <v>202.6</v>
      </c>
      <c r="J948">
        <f t="shared" si="233"/>
        <v>1</v>
      </c>
      <c r="N948">
        <f t="shared" si="243"/>
        <v>1.0760000000000001E-3</v>
      </c>
      <c r="S948">
        <f t="shared" si="236"/>
        <v>0</v>
      </c>
      <c r="T948">
        <f t="shared" si="237"/>
        <v>0</v>
      </c>
      <c r="U948">
        <f t="shared" si="238"/>
        <v>0</v>
      </c>
      <c r="V948">
        <f t="shared" si="239"/>
        <v>0</v>
      </c>
      <c r="W948">
        <f t="shared" si="240"/>
        <v>1</v>
      </c>
      <c r="X948">
        <f t="shared" si="241"/>
        <v>0</v>
      </c>
      <c r="Y948">
        <f t="shared" si="242"/>
        <v>0</v>
      </c>
    </row>
    <row r="949" spans="1:25" hidden="1">
      <c r="A949" t="str">
        <f t="shared" si="244"/>
        <v>O'Sullivan 1970</v>
      </c>
      <c r="E949">
        <v>1.4970000000000001</v>
      </c>
      <c r="H949">
        <f>H948</f>
        <v>324.64999999999998</v>
      </c>
      <c r="I949">
        <v>304</v>
      </c>
      <c r="J949">
        <f t="shared" si="233"/>
        <v>1</v>
      </c>
      <c r="N949">
        <f t="shared" si="243"/>
        <v>1.4970000000000001E-3</v>
      </c>
      <c r="S949">
        <f t="shared" si="236"/>
        <v>0</v>
      </c>
      <c r="T949">
        <f t="shared" si="237"/>
        <v>0</v>
      </c>
      <c r="U949">
        <f t="shared" si="238"/>
        <v>0</v>
      </c>
      <c r="V949">
        <f t="shared" si="239"/>
        <v>0</v>
      </c>
      <c r="W949">
        <f t="shared" si="240"/>
        <v>1</v>
      </c>
      <c r="X949">
        <f t="shared" si="241"/>
        <v>0</v>
      </c>
      <c r="Y949">
        <f t="shared" si="242"/>
        <v>0</v>
      </c>
    </row>
    <row r="950" spans="1:25" hidden="1">
      <c r="A950" t="str">
        <f t="shared" si="244"/>
        <v>O'Sullivan 1970</v>
      </c>
      <c r="E950">
        <v>1.86</v>
      </c>
      <c r="H950">
        <f>H949</f>
        <v>324.64999999999998</v>
      </c>
      <c r="I950">
        <v>405.3</v>
      </c>
      <c r="J950">
        <f t="shared" si="233"/>
        <v>1</v>
      </c>
      <c r="N950">
        <f t="shared" si="243"/>
        <v>1.8600000000000001E-3</v>
      </c>
      <c r="S950">
        <f t="shared" si="236"/>
        <v>0</v>
      </c>
      <c r="T950">
        <f t="shared" si="237"/>
        <v>0</v>
      </c>
      <c r="U950">
        <f t="shared" si="238"/>
        <v>0</v>
      </c>
      <c r="V950">
        <f t="shared" si="239"/>
        <v>0</v>
      </c>
      <c r="W950">
        <f t="shared" si="240"/>
        <v>1</v>
      </c>
      <c r="X950">
        <f t="shared" si="241"/>
        <v>0</v>
      </c>
      <c r="Y950">
        <f t="shared" si="242"/>
        <v>0</v>
      </c>
    </row>
    <row r="951" spans="1:25" hidden="1">
      <c r="A951" t="str">
        <f t="shared" si="244"/>
        <v>O'Sullivan 1970</v>
      </c>
      <c r="E951">
        <v>2.2160000000000002</v>
      </c>
      <c r="H951">
        <f>H950</f>
        <v>324.64999999999998</v>
      </c>
      <c r="I951">
        <v>506.6</v>
      </c>
      <c r="J951">
        <f t="shared" si="233"/>
        <v>1</v>
      </c>
      <c r="N951">
        <f t="shared" si="243"/>
        <v>2.2160000000000001E-3</v>
      </c>
      <c r="S951">
        <f t="shared" si="236"/>
        <v>0</v>
      </c>
      <c r="T951">
        <f t="shared" si="237"/>
        <v>0</v>
      </c>
      <c r="U951">
        <f t="shared" si="238"/>
        <v>0</v>
      </c>
      <c r="V951">
        <f t="shared" si="239"/>
        <v>0</v>
      </c>
      <c r="W951">
        <f t="shared" si="240"/>
        <v>1</v>
      </c>
      <c r="X951">
        <f t="shared" si="241"/>
        <v>0</v>
      </c>
      <c r="Y951">
        <f t="shared" si="242"/>
        <v>0</v>
      </c>
    </row>
    <row r="952" spans="1:25" hidden="1">
      <c r="A952" t="str">
        <f t="shared" si="244"/>
        <v>O'Sullivan 1970</v>
      </c>
      <c r="E952">
        <v>2.5299999999999998</v>
      </c>
      <c r="H952">
        <f>H951</f>
        <v>324.64999999999998</v>
      </c>
      <c r="I952">
        <v>607.9</v>
      </c>
      <c r="J952">
        <f t="shared" si="233"/>
        <v>1</v>
      </c>
      <c r="N952">
        <f t="shared" si="243"/>
        <v>2.5299999999999997E-3</v>
      </c>
      <c r="S952">
        <f t="shared" si="236"/>
        <v>0</v>
      </c>
      <c r="T952">
        <f t="shared" si="237"/>
        <v>0</v>
      </c>
      <c r="U952">
        <f t="shared" si="238"/>
        <v>0</v>
      </c>
      <c r="V952">
        <f t="shared" si="239"/>
        <v>0</v>
      </c>
      <c r="W952">
        <f t="shared" si="240"/>
        <v>1</v>
      </c>
      <c r="X952">
        <f t="shared" si="241"/>
        <v>0</v>
      </c>
      <c r="Y952">
        <f t="shared" si="242"/>
        <v>0</v>
      </c>
    </row>
    <row r="953" spans="1:25" hidden="1">
      <c r="A953" t="str">
        <f t="shared" si="244"/>
        <v>O'Sullivan 1970</v>
      </c>
      <c r="E953">
        <v>0.60299999999999998</v>
      </c>
      <c r="H953">
        <v>375.65</v>
      </c>
      <c r="I953">
        <v>101.3</v>
      </c>
      <c r="J953">
        <f t="shared" si="233"/>
        <v>1</v>
      </c>
      <c r="N953">
        <f t="shared" si="243"/>
        <v>6.0300000000000002E-4</v>
      </c>
      <c r="S953">
        <f t="shared" si="236"/>
        <v>0</v>
      </c>
      <c r="T953">
        <f t="shared" si="237"/>
        <v>0</v>
      </c>
      <c r="U953">
        <f t="shared" si="238"/>
        <v>0</v>
      </c>
      <c r="V953">
        <f t="shared" si="239"/>
        <v>0</v>
      </c>
      <c r="W953">
        <f t="shared" si="240"/>
        <v>1</v>
      </c>
      <c r="X953">
        <f t="shared" si="241"/>
        <v>0</v>
      </c>
      <c r="Y953">
        <f t="shared" si="242"/>
        <v>0</v>
      </c>
    </row>
    <row r="954" spans="1:25" hidden="1">
      <c r="A954" t="str">
        <f t="shared" si="244"/>
        <v>O'Sullivan 1970</v>
      </c>
      <c r="E954">
        <v>1.113</v>
      </c>
      <c r="H954">
        <f>H953</f>
        <v>375.65</v>
      </c>
      <c r="I954">
        <v>203.7</v>
      </c>
      <c r="J954">
        <f t="shared" si="233"/>
        <v>1</v>
      </c>
      <c r="N954">
        <f t="shared" si="243"/>
        <v>1.1130000000000001E-3</v>
      </c>
      <c r="S954">
        <f t="shared" si="236"/>
        <v>0</v>
      </c>
      <c r="T954">
        <f t="shared" si="237"/>
        <v>0</v>
      </c>
      <c r="U954">
        <f t="shared" si="238"/>
        <v>0</v>
      </c>
      <c r="V954">
        <f t="shared" si="239"/>
        <v>0</v>
      </c>
      <c r="W954">
        <f t="shared" si="240"/>
        <v>1</v>
      </c>
      <c r="X954">
        <f t="shared" si="241"/>
        <v>0</v>
      </c>
      <c r="Y954">
        <f t="shared" si="242"/>
        <v>0</v>
      </c>
    </row>
    <row r="955" spans="1:25" hidden="1">
      <c r="A955" t="str">
        <f t="shared" si="244"/>
        <v>O'Sullivan 1970</v>
      </c>
      <c r="E955">
        <v>1.538</v>
      </c>
      <c r="H955">
        <f>H954</f>
        <v>375.65</v>
      </c>
      <c r="I955">
        <v>306</v>
      </c>
      <c r="J955">
        <f t="shared" si="233"/>
        <v>1</v>
      </c>
      <c r="N955">
        <f t="shared" si="243"/>
        <v>1.5380000000000001E-3</v>
      </c>
      <c r="S955">
        <f t="shared" si="236"/>
        <v>0</v>
      </c>
      <c r="T955">
        <f t="shared" si="237"/>
        <v>0</v>
      </c>
      <c r="U955">
        <f t="shared" si="238"/>
        <v>0</v>
      </c>
      <c r="V955">
        <f t="shared" si="239"/>
        <v>0</v>
      </c>
      <c r="W955">
        <f t="shared" si="240"/>
        <v>1</v>
      </c>
      <c r="X955">
        <f t="shared" si="241"/>
        <v>0</v>
      </c>
      <c r="Y955">
        <f t="shared" si="242"/>
        <v>0</v>
      </c>
    </row>
    <row r="956" spans="1:25" hidden="1">
      <c r="A956" t="str">
        <f t="shared" si="244"/>
        <v>O'Sullivan 1970</v>
      </c>
      <c r="E956">
        <v>1.92</v>
      </c>
      <c r="H956">
        <f>H955</f>
        <v>375.65</v>
      </c>
      <c r="I956">
        <v>408.3</v>
      </c>
      <c r="J956">
        <f t="shared" si="233"/>
        <v>1</v>
      </c>
      <c r="N956">
        <f t="shared" si="243"/>
        <v>1.9199999999999998E-3</v>
      </c>
      <c r="S956">
        <f t="shared" si="236"/>
        <v>0</v>
      </c>
      <c r="T956">
        <f t="shared" si="237"/>
        <v>0</v>
      </c>
      <c r="U956">
        <f t="shared" si="238"/>
        <v>0</v>
      </c>
      <c r="V956">
        <f t="shared" si="239"/>
        <v>0</v>
      </c>
      <c r="W956">
        <f t="shared" si="240"/>
        <v>1</v>
      </c>
      <c r="X956">
        <f t="shared" si="241"/>
        <v>0</v>
      </c>
      <c r="Y956">
        <f t="shared" si="242"/>
        <v>0</v>
      </c>
    </row>
    <row r="957" spans="1:25" hidden="1">
      <c r="A957" t="str">
        <f t="shared" si="244"/>
        <v>O'Sullivan 1970</v>
      </c>
      <c r="E957">
        <v>2.2519999999999998</v>
      </c>
      <c r="H957">
        <f>H956</f>
        <v>375.65</v>
      </c>
      <c r="I957">
        <v>509.7</v>
      </c>
      <c r="J957">
        <f t="shared" si="233"/>
        <v>1</v>
      </c>
      <c r="N957">
        <f t="shared" si="243"/>
        <v>2.2519999999999997E-3</v>
      </c>
      <c r="S957">
        <f t="shared" si="236"/>
        <v>0</v>
      </c>
      <c r="T957">
        <f t="shared" si="237"/>
        <v>0</v>
      </c>
      <c r="U957">
        <f t="shared" si="238"/>
        <v>0</v>
      </c>
      <c r="V957">
        <f t="shared" si="239"/>
        <v>0</v>
      </c>
      <c r="W957">
        <f t="shared" si="240"/>
        <v>1</v>
      </c>
      <c r="X957">
        <f t="shared" si="241"/>
        <v>0</v>
      </c>
      <c r="Y957">
        <f t="shared" si="242"/>
        <v>0</v>
      </c>
    </row>
    <row r="958" spans="1:25" hidden="1">
      <c r="A958" t="str">
        <f t="shared" si="244"/>
        <v>O'Sullivan 1970</v>
      </c>
      <c r="E958">
        <v>2.6</v>
      </c>
      <c r="H958">
        <f>H957</f>
        <v>375.65</v>
      </c>
      <c r="I958">
        <v>612</v>
      </c>
      <c r="J958">
        <f t="shared" si="233"/>
        <v>1</v>
      </c>
      <c r="N958">
        <f t="shared" si="243"/>
        <v>2.5999999999999999E-3</v>
      </c>
      <c r="S958">
        <f t="shared" si="236"/>
        <v>0</v>
      </c>
      <c r="T958">
        <f t="shared" si="237"/>
        <v>0</v>
      </c>
      <c r="U958">
        <f t="shared" si="238"/>
        <v>0</v>
      </c>
      <c r="V958">
        <f t="shared" si="239"/>
        <v>0</v>
      </c>
      <c r="W958">
        <f t="shared" si="240"/>
        <v>1</v>
      </c>
      <c r="X958">
        <f t="shared" si="241"/>
        <v>0</v>
      </c>
      <c r="Y958">
        <f t="shared" si="242"/>
        <v>0</v>
      </c>
    </row>
    <row r="959" spans="1:25" hidden="1">
      <c r="A959" t="str">
        <f t="shared" si="244"/>
        <v>O'Sullivan 1970</v>
      </c>
      <c r="E959">
        <v>0.63200000000000001</v>
      </c>
      <c r="H959">
        <v>398.15</v>
      </c>
      <c r="I959">
        <v>104.4</v>
      </c>
      <c r="J959">
        <f t="shared" si="233"/>
        <v>1</v>
      </c>
      <c r="N959">
        <f t="shared" si="243"/>
        <v>6.3199999999999997E-4</v>
      </c>
      <c r="S959">
        <f t="shared" si="236"/>
        <v>0</v>
      </c>
      <c r="T959">
        <f t="shared" si="237"/>
        <v>0</v>
      </c>
      <c r="U959">
        <f t="shared" si="238"/>
        <v>0</v>
      </c>
      <c r="V959">
        <f t="shared" si="239"/>
        <v>0</v>
      </c>
      <c r="W959">
        <f t="shared" si="240"/>
        <v>1</v>
      </c>
      <c r="X959">
        <f t="shared" si="241"/>
        <v>0</v>
      </c>
      <c r="Y959">
        <f t="shared" si="242"/>
        <v>0</v>
      </c>
    </row>
    <row r="960" spans="1:25" hidden="1">
      <c r="A960" t="str">
        <f t="shared" si="244"/>
        <v>O'Sullivan 1970</v>
      </c>
      <c r="E960">
        <v>1.1020000000000001</v>
      </c>
      <c r="H960">
        <f>H959</f>
        <v>398.15</v>
      </c>
      <c r="I960">
        <v>206.7</v>
      </c>
      <c r="J960">
        <f t="shared" si="233"/>
        <v>1</v>
      </c>
      <c r="N960">
        <f t="shared" si="243"/>
        <v>1.1020000000000001E-3</v>
      </c>
      <c r="S960">
        <f t="shared" si="236"/>
        <v>0</v>
      </c>
      <c r="T960">
        <f t="shared" si="237"/>
        <v>0</v>
      </c>
      <c r="U960">
        <f t="shared" si="238"/>
        <v>0</v>
      </c>
      <c r="V960">
        <f t="shared" si="239"/>
        <v>0</v>
      </c>
      <c r="W960">
        <f t="shared" si="240"/>
        <v>1</v>
      </c>
      <c r="X960">
        <f t="shared" si="241"/>
        <v>0</v>
      </c>
      <c r="Y960">
        <f t="shared" si="242"/>
        <v>0</v>
      </c>
    </row>
    <row r="961" spans="1:25" hidden="1">
      <c r="A961" t="str">
        <f t="shared" si="244"/>
        <v>O'Sullivan 1970</v>
      </c>
      <c r="E961">
        <v>1.5329999999999999</v>
      </c>
      <c r="H961">
        <f>H960</f>
        <v>398.15</v>
      </c>
      <c r="I961">
        <v>309</v>
      </c>
      <c r="J961">
        <f t="shared" si="233"/>
        <v>1</v>
      </c>
      <c r="N961">
        <f t="shared" si="243"/>
        <v>1.5329999999999999E-3</v>
      </c>
      <c r="S961">
        <f t="shared" si="236"/>
        <v>0</v>
      </c>
      <c r="T961">
        <f t="shared" si="237"/>
        <v>0</v>
      </c>
      <c r="U961">
        <f t="shared" si="238"/>
        <v>0</v>
      </c>
      <c r="V961">
        <f t="shared" si="239"/>
        <v>0</v>
      </c>
      <c r="W961">
        <f t="shared" si="240"/>
        <v>1</v>
      </c>
      <c r="X961">
        <f t="shared" si="241"/>
        <v>0</v>
      </c>
      <c r="Y961">
        <f t="shared" si="242"/>
        <v>0</v>
      </c>
    </row>
    <row r="962" spans="1:25" hidden="1">
      <c r="A962" t="str">
        <f t="shared" si="244"/>
        <v>O'Sullivan 1970</v>
      </c>
      <c r="E962">
        <v>1.883</v>
      </c>
      <c r="H962">
        <f>H961</f>
        <v>398.15</v>
      </c>
      <c r="I962">
        <v>410.4</v>
      </c>
      <c r="J962">
        <f t="shared" si="233"/>
        <v>1</v>
      </c>
      <c r="N962">
        <f t="shared" si="243"/>
        <v>1.8829999999999999E-3</v>
      </c>
      <c r="S962">
        <f t="shared" si="236"/>
        <v>0</v>
      </c>
      <c r="T962">
        <f t="shared" si="237"/>
        <v>0</v>
      </c>
      <c r="U962">
        <f t="shared" si="238"/>
        <v>0</v>
      </c>
      <c r="V962">
        <f t="shared" si="239"/>
        <v>0</v>
      </c>
      <c r="W962">
        <f t="shared" si="240"/>
        <v>1</v>
      </c>
      <c r="X962">
        <f t="shared" si="241"/>
        <v>0</v>
      </c>
      <c r="Y962">
        <f t="shared" si="242"/>
        <v>0</v>
      </c>
    </row>
    <row r="963" spans="1:25" hidden="1">
      <c r="A963" t="str">
        <f t="shared" si="244"/>
        <v>O'Sullivan 1970</v>
      </c>
      <c r="E963">
        <v>2.2309999999999999</v>
      </c>
      <c r="H963">
        <f>H962</f>
        <v>398.15</v>
      </c>
      <c r="I963">
        <v>513.70000000000005</v>
      </c>
      <c r="J963">
        <f t="shared" si="233"/>
        <v>1</v>
      </c>
      <c r="N963">
        <f t="shared" si="243"/>
        <v>2.2309999999999999E-3</v>
      </c>
      <c r="S963">
        <f t="shared" si="236"/>
        <v>0</v>
      </c>
      <c r="T963">
        <f t="shared" si="237"/>
        <v>0</v>
      </c>
      <c r="U963">
        <f t="shared" si="238"/>
        <v>0</v>
      </c>
      <c r="V963">
        <f t="shared" si="239"/>
        <v>0</v>
      </c>
      <c r="W963">
        <f t="shared" si="240"/>
        <v>1</v>
      </c>
      <c r="X963">
        <f t="shared" si="241"/>
        <v>0</v>
      </c>
      <c r="Y963">
        <f t="shared" si="242"/>
        <v>0</v>
      </c>
    </row>
    <row r="964" spans="1:25" hidden="1">
      <c r="A964" t="str">
        <f t="shared" si="244"/>
        <v>O'Sullivan 1970</v>
      </c>
      <c r="E964">
        <v>2.5499999999999998</v>
      </c>
      <c r="H964">
        <f>H963</f>
        <v>398.15</v>
      </c>
      <c r="I964">
        <v>616.1</v>
      </c>
      <c r="J964">
        <f t="shared" si="233"/>
        <v>1</v>
      </c>
      <c r="N964">
        <f t="shared" si="243"/>
        <v>2.5499999999999997E-3</v>
      </c>
      <c r="S964">
        <f t="shared" si="236"/>
        <v>0</v>
      </c>
      <c r="T964">
        <f t="shared" si="237"/>
        <v>0</v>
      </c>
      <c r="U964">
        <f t="shared" si="238"/>
        <v>0</v>
      </c>
      <c r="V964">
        <f t="shared" si="239"/>
        <v>0</v>
      </c>
      <c r="W964">
        <f t="shared" si="240"/>
        <v>1</v>
      </c>
      <c r="X964">
        <f t="shared" si="241"/>
        <v>0</v>
      </c>
      <c r="Y964">
        <f t="shared" si="242"/>
        <v>0</v>
      </c>
    </row>
    <row r="965" spans="1:25" hidden="1">
      <c r="A965" t="str">
        <f t="shared" si="244"/>
        <v>O'Sullivan 1970</v>
      </c>
      <c r="E965">
        <v>0.5</v>
      </c>
      <c r="H965">
        <v>324.64999999999998</v>
      </c>
      <c r="I965">
        <v>202.6</v>
      </c>
      <c r="J965">
        <v>4</v>
      </c>
      <c r="N965">
        <f t="shared" si="243"/>
        <v>5.0000000000000001E-4</v>
      </c>
      <c r="S965">
        <f t="shared" si="236"/>
        <v>0</v>
      </c>
      <c r="T965">
        <f t="shared" si="237"/>
        <v>0</v>
      </c>
      <c r="U965">
        <f t="shared" si="238"/>
        <v>0</v>
      </c>
      <c r="V965">
        <f t="shared" si="239"/>
        <v>0</v>
      </c>
      <c r="W965">
        <f t="shared" si="240"/>
        <v>1</v>
      </c>
      <c r="X965">
        <f t="shared" si="241"/>
        <v>0</v>
      </c>
      <c r="Y965">
        <f t="shared" si="242"/>
        <v>0</v>
      </c>
    </row>
    <row r="966" spans="1:25" hidden="1">
      <c r="A966" t="str">
        <f t="shared" si="244"/>
        <v>O'Sullivan 1970</v>
      </c>
      <c r="E966">
        <v>0.7</v>
      </c>
      <c r="H966">
        <f>H965</f>
        <v>324.64999999999998</v>
      </c>
      <c r="I966">
        <v>304</v>
      </c>
      <c r="J966">
        <f t="shared" ref="J966:J997" si="245">J965</f>
        <v>4</v>
      </c>
      <c r="N966">
        <f t="shared" si="243"/>
        <v>6.9999999999999999E-4</v>
      </c>
      <c r="S966">
        <f t="shared" si="236"/>
        <v>0</v>
      </c>
      <c r="T966">
        <f t="shared" si="237"/>
        <v>0</v>
      </c>
      <c r="U966">
        <f t="shared" si="238"/>
        <v>0</v>
      </c>
      <c r="V966">
        <f t="shared" si="239"/>
        <v>0</v>
      </c>
      <c r="W966">
        <f t="shared" si="240"/>
        <v>1</v>
      </c>
      <c r="X966">
        <f t="shared" si="241"/>
        <v>0</v>
      </c>
      <c r="Y966">
        <f t="shared" si="242"/>
        <v>0</v>
      </c>
    </row>
    <row r="967" spans="1:25" hidden="1">
      <c r="A967" t="str">
        <f t="shared" si="244"/>
        <v>O'Sullivan 1970</v>
      </c>
      <c r="E967">
        <v>0.878</v>
      </c>
      <c r="H967">
        <f>H966</f>
        <v>324.64999999999998</v>
      </c>
      <c r="I967">
        <v>405.3</v>
      </c>
      <c r="J967">
        <f t="shared" si="245"/>
        <v>4</v>
      </c>
      <c r="N967">
        <f t="shared" si="243"/>
        <v>8.7799999999999998E-4</v>
      </c>
      <c r="S967">
        <f t="shared" si="236"/>
        <v>0</v>
      </c>
      <c r="T967">
        <f t="shared" si="237"/>
        <v>0</v>
      </c>
      <c r="U967">
        <f t="shared" si="238"/>
        <v>0</v>
      </c>
      <c r="V967">
        <f t="shared" si="239"/>
        <v>0</v>
      </c>
      <c r="W967">
        <f t="shared" si="240"/>
        <v>1</v>
      </c>
      <c r="X967">
        <f t="shared" si="241"/>
        <v>0</v>
      </c>
      <c r="Y967">
        <f t="shared" si="242"/>
        <v>0</v>
      </c>
    </row>
    <row r="968" spans="1:25" hidden="1">
      <c r="A968" t="str">
        <f t="shared" si="244"/>
        <v>O'Sullivan 1970</v>
      </c>
      <c r="E968">
        <v>1.034</v>
      </c>
      <c r="H968">
        <f>H967</f>
        <v>324.64999999999998</v>
      </c>
      <c r="I968">
        <v>506.6</v>
      </c>
      <c r="J968">
        <f t="shared" si="245"/>
        <v>4</v>
      </c>
      <c r="N968">
        <f t="shared" si="243"/>
        <v>1.034E-3</v>
      </c>
      <c r="S968">
        <f t="shared" si="236"/>
        <v>0</v>
      </c>
      <c r="T968">
        <f t="shared" si="237"/>
        <v>0</v>
      </c>
      <c r="U968">
        <f t="shared" si="238"/>
        <v>0</v>
      </c>
      <c r="V968">
        <f t="shared" si="239"/>
        <v>0</v>
      </c>
      <c r="W968">
        <f t="shared" si="240"/>
        <v>1</v>
      </c>
      <c r="X968">
        <f t="shared" si="241"/>
        <v>0</v>
      </c>
      <c r="Y968">
        <f t="shared" si="242"/>
        <v>0</v>
      </c>
    </row>
    <row r="969" spans="1:25" hidden="1">
      <c r="A969" t="str">
        <f t="shared" si="244"/>
        <v>O'Sullivan 1970</v>
      </c>
      <c r="E969">
        <v>1.179</v>
      </c>
      <c r="H969">
        <f>H968</f>
        <v>324.64999999999998</v>
      </c>
      <c r="I969">
        <v>607.9</v>
      </c>
      <c r="J969">
        <f t="shared" si="245"/>
        <v>4</v>
      </c>
      <c r="N969">
        <f t="shared" si="243"/>
        <v>1.1790000000000001E-3</v>
      </c>
      <c r="S969">
        <f t="shared" si="236"/>
        <v>0</v>
      </c>
      <c r="T969">
        <f t="shared" si="237"/>
        <v>0</v>
      </c>
      <c r="U969">
        <f t="shared" si="238"/>
        <v>0</v>
      </c>
      <c r="V969">
        <f t="shared" si="239"/>
        <v>0</v>
      </c>
      <c r="W969">
        <f t="shared" si="240"/>
        <v>1</v>
      </c>
      <c r="X969">
        <f t="shared" si="241"/>
        <v>0</v>
      </c>
      <c r="Y969">
        <f t="shared" si="242"/>
        <v>0</v>
      </c>
    </row>
    <row r="970" spans="1:25" hidden="1">
      <c r="A970" t="str">
        <f t="shared" si="244"/>
        <v>O'Sullivan 1970</v>
      </c>
      <c r="E970">
        <v>0.52300000000000002</v>
      </c>
      <c r="H970">
        <v>375.65</v>
      </c>
      <c r="I970">
        <v>203.7</v>
      </c>
      <c r="J970">
        <f t="shared" si="245"/>
        <v>4</v>
      </c>
      <c r="N970">
        <f t="shared" ref="N970:N979" si="246">E970/10000</f>
        <v>5.2300000000000004E-5</v>
      </c>
      <c r="S970">
        <f t="shared" si="236"/>
        <v>0</v>
      </c>
      <c r="T970">
        <f t="shared" si="237"/>
        <v>0</v>
      </c>
      <c r="U970">
        <f t="shared" si="238"/>
        <v>0</v>
      </c>
      <c r="V970">
        <f t="shared" si="239"/>
        <v>0</v>
      </c>
      <c r="W970">
        <f t="shared" si="240"/>
        <v>1</v>
      </c>
      <c r="X970">
        <f t="shared" si="241"/>
        <v>0</v>
      </c>
      <c r="Y970">
        <f t="shared" si="242"/>
        <v>0</v>
      </c>
    </row>
    <row r="971" spans="1:25" hidden="1">
      <c r="A971" t="str">
        <f t="shared" si="244"/>
        <v>O'Sullivan 1970</v>
      </c>
      <c r="E971">
        <v>0.73099999999999998</v>
      </c>
      <c r="H971">
        <f>H970</f>
        <v>375.65</v>
      </c>
      <c r="I971">
        <v>306</v>
      </c>
      <c r="J971">
        <f t="shared" si="245"/>
        <v>4</v>
      </c>
      <c r="N971">
        <f t="shared" si="246"/>
        <v>7.3100000000000001E-5</v>
      </c>
      <c r="S971">
        <f t="shared" si="236"/>
        <v>0</v>
      </c>
      <c r="T971">
        <f t="shared" si="237"/>
        <v>0</v>
      </c>
      <c r="U971">
        <f t="shared" si="238"/>
        <v>0</v>
      </c>
      <c r="V971">
        <f t="shared" si="239"/>
        <v>0</v>
      </c>
      <c r="W971">
        <f t="shared" si="240"/>
        <v>1</v>
      </c>
      <c r="X971">
        <f t="shared" si="241"/>
        <v>0</v>
      </c>
      <c r="Y971">
        <f t="shared" si="242"/>
        <v>0</v>
      </c>
    </row>
    <row r="972" spans="1:25" hidden="1">
      <c r="A972" t="str">
        <f t="shared" si="244"/>
        <v>O'Sullivan 1970</v>
      </c>
      <c r="E972">
        <v>0.89900000000000002</v>
      </c>
      <c r="H972">
        <f>H971</f>
        <v>375.65</v>
      </c>
      <c r="I972">
        <v>408.3</v>
      </c>
      <c r="J972">
        <f t="shared" si="245"/>
        <v>4</v>
      </c>
      <c r="N972">
        <f t="shared" si="246"/>
        <v>8.9900000000000003E-5</v>
      </c>
      <c r="S972">
        <f t="shared" si="236"/>
        <v>0</v>
      </c>
      <c r="T972">
        <f t="shared" si="237"/>
        <v>0</v>
      </c>
      <c r="U972">
        <f t="shared" si="238"/>
        <v>0</v>
      </c>
      <c r="V972">
        <f t="shared" si="239"/>
        <v>0</v>
      </c>
      <c r="W972">
        <f t="shared" si="240"/>
        <v>1</v>
      </c>
      <c r="X972">
        <f t="shared" si="241"/>
        <v>0</v>
      </c>
      <c r="Y972">
        <f t="shared" si="242"/>
        <v>0</v>
      </c>
    </row>
    <row r="973" spans="1:25" hidden="1">
      <c r="A973" t="str">
        <f t="shared" si="244"/>
        <v>O'Sullivan 1970</v>
      </c>
      <c r="E973">
        <v>1.0469999999999999</v>
      </c>
      <c r="H973">
        <f>H972</f>
        <v>375.65</v>
      </c>
      <c r="I973">
        <v>509.7</v>
      </c>
      <c r="J973">
        <f t="shared" si="245"/>
        <v>4</v>
      </c>
      <c r="N973">
        <f t="shared" si="246"/>
        <v>1.047E-4</v>
      </c>
      <c r="S973">
        <f t="shared" si="236"/>
        <v>0</v>
      </c>
      <c r="T973">
        <f t="shared" si="237"/>
        <v>0</v>
      </c>
      <c r="U973">
        <f t="shared" si="238"/>
        <v>0</v>
      </c>
      <c r="V973">
        <f t="shared" si="239"/>
        <v>0</v>
      </c>
      <c r="W973">
        <f t="shared" si="240"/>
        <v>1</v>
      </c>
      <c r="X973">
        <f t="shared" si="241"/>
        <v>0</v>
      </c>
      <c r="Y973">
        <f t="shared" si="242"/>
        <v>0</v>
      </c>
    </row>
    <row r="974" spans="1:25" hidden="1">
      <c r="A974" t="str">
        <f t="shared" si="244"/>
        <v>O'Sullivan 1970</v>
      </c>
      <c r="E974">
        <v>1.2050000000000001</v>
      </c>
      <c r="H974">
        <f>H973</f>
        <v>375.65</v>
      </c>
      <c r="I974">
        <v>612</v>
      </c>
      <c r="J974">
        <f t="shared" si="245"/>
        <v>4</v>
      </c>
      <c r="N974">
        <f t="shared" si="246"/>
        <v>1.205E-4</v>
      </c>
      <c r="S974">
        <f t="shared" si="236"/>
        <v>0</v>
      </c>
      <c r="T974">
        <f t="shared" si="237"/>
        <v>0</v>
      </c>
      <c r="U974">
        <f t="shared" si="238"/>
        <v>0</v>
      </c>
      <c r="V974">
        <f t="shared" si="239"/>
        <v>0</v>
      </c>
      <c r="W974">
        <f t="shared" si="240"/>
        <v>1</v>
      </c>
      <c r="X974">
        <f t="shared" si="241"/>
        <v>0</v>
      </c>
      <c r="Y974">
        <f t="shared" si="242"/>
        <v>0</v>
      </c>
    </row>
    <row r="975" spans="1:25" hidden="1">
      <c r="A975" t="str">
        <f t="shared" si="244"/>
        <v>O'Sullivan 1970</v>
      </c>
      <c r="E975">
        <v>0.56699999999999995</v>
      </c>
      <c r="H975">
        <v>398.15</v>
      </c>
      <c r="I975">
        <v>206.7</v>
      </c>
      <c r="J975">
        <f t="shared" si="245"/>
        <v>4</v>
      </c>
      <c r="N975">
        <f t="shared" si="246"/>
        <v>5.6699999999999996E-5</v>
      </c>
      <c r="S975">
        <f t="shared" ref="S975:S1006" si="247">S974</f>
        <v>0</v>
      </c>
      <c r="T975">
        <f t="shared" ref="T975:T1006" si="248">T974</f>
        <v>0</v>
      </c>
      <c r="U975">
        <f t="shared" ref="U975:U1006" si="249">U974</f>
        <v>0</v>
      </c>
      <c r="V975">
        <f t="shared" ref="V975:V1006" si="250">V974</f>
        <v>0</v>
      </c>
      <c r="W975">
        <f t="shared" ref="W975:W1006" si="251">W974</f>
        <v>1</v>
      </c>
      <c r="X975">
        <f t="shared" ref="X975:X1006" si="252">X974</f>
        <v>0</v>
      </c>
      <c r="Y975">
        <f t="shared" ref="Y975:Y1006" si="253">Y974</f>
        <v>0</v>
      </c>
    </row>
    <row r="976" spans="1:25" hidden="1">
      <c r="A976" t="str">
        <f t="shared" si="244"/>
        <v>O'Sullivan 1970</v>
      </c>
      <c r="E976">
        <v>0.74</v>
      </c>
      <c r="H976">
        <f>H975</f>
        <v>398.15</v>
      </c>
      <c r="I976">
        <v>309</v>
      </c>
      <c r="J976">
        <f t="shared" si="245"/>
        <v>4</v>
      </c>
      <c r="N976">
        <f t="shared" si="246"/>
        <v>7.3999999999999996E-5</v>
      </c>
      <c r="S976">
        <f t="shared" si="247"/>
        <v>0</v>
      </c>
      <c r="T976">
        <f t="shared" si="248"/>
        <v>0</v>
      </c>
      <c r="U976">
        <f t="shared" si="249"/>
        <v>0</v>
      </c>
      <c r="V976">
        <f t="shared" si="250"/>
        <v>0</v>
      </c>
      <c r="W976">
        <f t="shared" si="251"/>
        <v>1</v>
      </c>
      <c r="X976">
        <f t="shared" si="252"/>
        <v>0</v>
      </c>
      <c r="Y976">
        <f t="shared" si="253"/>
        <v>0</v>
      </c>
    </row>
    <row r="977" spans="1:25" hidden="1">
      <c r="A977" t="str">
        <f t="shared" si="244"/>
        <v>O'Sullivan 1970</v>
      </c>
      <c r="E977">
        <v>0.92100000000000004</v>
      </c>
      <c r="H977">
        <f>H976</f>
        <v>398.15</v>
      </c>
      <c r="I977">
        <v>410.4</v>
      </c>
      <c r="J977">
        <f t="shared" si="245"/>
        <v>4</v>
      </c>
      <c r="N977">
        <f t="shared" si="246"/>
        <v>9.2100000000000003E-5</v>
      </c>
      <c r="S977">
        <f t="shared" si="247"/>
        <v>0</v>
      </c>
      <c r="T977">
        <f t="shared" si="248"/>
        <v>0</v>
      </c>
      <c r="U977">
        <f t="shared" si="249"/>
        <v>0</v>
      </c>
      <c r="V977">
        <f t="shared" si="250"/>
        <v>0</v>
      </c>
      <c r="W977">
        <f t="shared" si="251"/>
        <v>1</v>
      </c>
      <c r="X977">
        <f t="shared" si="252"/>
        <v>0</v>
      </c>
      <c r="Y977">
        <f t="shared" si="253"/>
        <v>0</v>
      </c>
    </row>
    <row r="978" spans="1:25" hidden="1">
      <c r="A978" t="str">
        <f t="shared" si="244"/>
        <v>O'Sullivan 1970</v>
      </c>
      <c r="E978">
        <v>1.0409999999999999</v>
      </c>
      <c r="H978">
        <f>H977</f>
        <v>398.15</v>
      </c>
      <c r="I978">
        <v>513.70000000000005</v>
      </c>
      <c r="J978">
        <f t="shared" si="245"/>
        <v>4</v>
      </c>
      <c r="N978">
        <f t="shared" si="246"/>
        <v>1.041E-4</v>
      </c>
      <c r="S978">
        <f t="shared" si="247"/>
        <v>0</v>
      </c>
      <c r="T978">
        <f t="shared" si="248"/>
        <v>0</v>
      </c>
      <c r="U978">
        <f t="shared" si="249"/>
        <v>0</v>
      </c>
      <c r="V978">
        <f t="shared" si="250"/>
        <v>0</v>
      </c>
      <c r="W978">
        <f t="shared" si="251"/>
        <v>1</v>
      </c>
      <c r="X978">
        <f t="shared" si="252"/>
        <v>0</v>
      </c>
      <c r="Y978">
        <f t="shared" si="253"/>
        <v>0</v>
      </c>
    </row>
    <row r="979" spans="1:25" hidden="1">
      <c r="A979" t="str">
        <f t="shared" si="244"/>
        <v>O'Sullivan 1970</v>
      </c>
      <c r="E979">
        <v>1.2270000000000001</v>
      </c>
      <c r="H979">
        <f>H978</f>
        <v>398.15</v>
      </c>
      <c r="I979">
        <v>616.1</v>
      </c>
      <c r="J979">
        <f t="shared" si="245"/>
        <v>4</v>
      </c>
      <c r="N979">
        <f t="shared" si="246"/>
        <v>1.227E-4</v>
      </c>
      <c r="S979">
        <f t="shared" si="247"/>
        <v>0</v>
      </c>
      <c r="T979">
        <f t="shared" si="248"/>
        <v>0</v>
      </c>
      <c r="U979">
        <f t="shared" si="249"/>
        <v>0</v>
      </c>
      <c r="V979">
        <f t="shared" si="250"/>
        <v>0</v>
      </c>
      <c r="W979">
        <f t="shared" si="251"/>
        <v>1</v>
      </c>
      <c r="X979">
        <f t="shared" si="252"/>
        <v>0</v>
      </c>
      <c r="Y979">
        <f t="shared" si="253"/>
        <v>0</v>
      </c>
    </row>
    <row r="980" spans="1:25" hidden="1">
      <c r="A980" t="s">
        <v>80</v>
      </c>
      <c r="H980">
        <v>533.1</v>
      </c>
      <c r="I980">
        <v>10.34</v>
      </c>
      <c r="J980">
        <f t="shared" si="245"/>
        <v>4</v>
      </c>
      <c r="N980" s="3">
        <v>3.1E-4</v>
      </c>
      <c r="S980">
        <f t="shared" si="247"/>
        <v>0</v>
      </c>
      <c r="T980">
        <f t="shared" si="248"/>
        <v>0</v>
      </c>
      <c r="U980">
        <f t="shared" si="249"/>
        <v>0</v>
      </c>
      <c r="V980">
        <f t="shared" si="250"/>
        <v>0</v>
      </c>
      <c r="W980">
        <f t="shared" si="251"/>
        <v>1</v>
      </c>
      <c r="X980">
        <f t="shared" si="252"/>
        <v>0</v>
      </c>
      <c r="Y980">
        <f t="shared" si="253"/>
        <v>0</v>
      </c>
    </row>
    <row r="981" spans="1:25" hidden="1">
      <c r="A981" t="str">
        <f>A980</f>
        <v>Pray 1952</v>
      </c>
      <c r="H981">
        <f>H980</f>
        <v>533.1</v>
      </c>
      <c r="I981">
        <v>34.47</v>
      </c>
      <c r="J981">
        <f t="shared" si="245"/>
        <v>4</v>
      </c>
      <c r="N981" s="3">
        <v>8.8999999999999995E-4</v>
      </c>
      <c r="S981">
        <f t="shared" si="247"/>
        <v>0</v>
      </c>
      <c r="T981">
        <f t="shared" si="248"/>
        <v>0</v>
      </c>
      <c r="U981">
        <f t="shared" si="249"/>
        <v>0</v>
      </c>
      <c r="V981">
        <f t="shared" si="250"/>
        <v>0</v>
      </c>
      <c r="W981">
        <f t="shared" si="251"/>
        <v>1</v>
      </c>
      <c r="X981">
        <f t="shared" si="252"/>
        <v>0</v>
      </c>
      <c r="Y981">
        <f t="shared" si="253"/>
        <v>0</v>
      </c>
    </row>
    <row r="982" spans="1:25" hidden="1">
      <c r="A982" t="str">
        <f>A981</f>
        <v>Pray 1952</v>
      </c>
      <c r="H982">
        <v>588.70000000000005</v>
      </c>
      <c r="I982">
        <v>10.34</v>
      </c>
      <c r="J982">
        <f t="shared" si="245"/>
        <v>4</v>
      </c>
      <c r="N982" s="3">
        <v>3.8999999999999999E-4</v>
      </c>
      <c r="S982">
        <f t="shared" si="247"/>
        <v>0</v>
      </c>
      <c r="T982">
        <f t="shared" si="248"/>
        <v>0</v>
      </c>
      <c r="U982">
        <f t="shared" si="249"/>
        <v>0</v>
      </c>
      <c r="V982">
        <f t="shared" si="250"/>
        <v>0</v>
      </c>
      <c r="W982">
        <f t="shared" si="251"/>
        <v>1</v>
      </c>
      <c r="X982">
        <f t="shared" si="252"/>
        <v>0</v>
      </c>
      <c r="Y982">
        <f t="shared" si="253"/>
        <v>0</v>
      </c>
    </row>
    <row r="983" spans="1:25" hidden="1">
      <c r="A983" t="str">
        <f>A982</f>
        <v>Pray 1952</v>
      </c>
      <c r="H983">
        <f>H982</f>
        <v>588.70000000000005</v>
      </c>
      <c r="I983">
        <v>20.68</v>
      </c>
      <c r="J983">
        <f t="shared" si="245"/>
        <v>4</v>
      </c>
      <c r="N983" s="3">
        <v>1.1100000000000001E-3</v>
      </c>
      <c r="S983">
        <f t="shared" si="247"/>
        <v>0</v>
      </c>
      <c r="T983">
        <f t="shared" si="248"/>
        <v>0</v>
      </c>
      <c r="U983">
        <f t="shared" si="249"/>
        <v>0</v>
      </c>
      <c r="V983">
        <f t="shared" si="250"/>
        <v>0</v>
      </c>
      <c r="W983">
        <f t="shared" si="251"/>
        <v>1</v>
      </c>
      <c r="X983">
        <f t="shared" si="252"/>
        <v>0</v>
      </c>
      <c r="Y983">
        <f t="shared" si="253"/>
        <v>0</v>
      </c>
    </row>
    <row r="984" spans="1:25" hidden="1">
      <c r="A984" t="str">
        <f>A983</f>
        <v>Pray 1952</v>
      </c>
      <c r="H984">
        <f>H983</f>
        <v>588.70000000000005</v>
      </c>
      <c r="I984">
        <v>34.47</v>
      </c>
      <c r="J984">
        <f t="shared" si="245"/>
        <v>4</v>
      </c>
      <c r="N984" s="3">
        <v>1.66E-3</v>
      </c>
      <c r="S984">
        <f t="shared" si="247"/>
        <v>0</v>
      </c>
      <c r="T984">
        <f t="shared" si="248"/>
        <v>0</v>
      </c>
      <c r="U984">
        <f t="shared" si="249"/>
        <v>0</v>
      </c>
      <c r="V984">
        <f t="shared" si="250"/>
        <v>0</v>
      </c>
      <c r="W984">
        <f t="shared" si="251"/>
        <v>1</v>
      </c>
      <c r="X984">
        <f t="shared" si="252"/>
        <v>0</v>
      </c>
      <c r="Y984">
        <f t="shared" si="253"/>
        <v>0</v>
      </c>
    </row>
    <row r="985" spans="1:25" hidden="1">
      <c r="A985" t="s">
        <v>80</v>
      </c>
      <c r="E985">
        <v>0.24</v>
      </c>
      <c r="H985">
        <v>297</v>
      </c>
      <c r="I985">
        <v>13.79</v>
      </c>
      <c r="J985">
        <f t="shared" si="245"/>
        <v>4</v>
      </c>
      <c r="O985">
        <f t="shared" ref="O985:O997" si="254">E985/1000</f>
        <v>2.3999999999999998E-4</v>
      </c>
      <c r="S985">
        <f t="shared" si="247"/>
        <v>0</v>
      </c>
      <c r="T985">
        <f t="shared" si="248"/>
        <v>0</v>
      </c>
      <c r="U985">
        <f t="shared" si="249"/>
        <v>0</v>
      </c>
      <c r="V985">
        <f t="shared" si="250"/>
        <v>0</v>
      </c>
      <c r="W985">
        <f t="shared" si="251"/>
        <v>1</v>
      </c>
      <c r="X985">
        <f t="shared" si="252"/>
        <v>0</v>
      </c>
      <c r="Y985">
        <f t="shared" si="253"/>
        <v>0</v>
      </c>
    </row>
    <row r="986" spans="1:25" hidden="1">
      <c r="A986" t="str">
        <f t="shared" ref="A986:A997" si="255">A985</f>
        <v>Pray 1952</v>
      </c>
      <c r="E986">
        <v>0.28999999999999998</v>
      </c>
      <c r="H986">
        <f>H985</f>
        <v>297</v>
      </c>
      <c r="I986">
        <v>20.68</v>
      </c>
      <c r="J986">
        <f t="shared" si="245"/>
        <v>4</v>
      </c>
      <c r="O986">
        <f t="shared" si="254"/>
        <v>2.9E-4</v>
      </c>
      <c r="S986">
        <f t="shared" si="247"/>
        <v>0</v>
      </c>
      <c r="T986">
        <f t="shared" si="248"/>
        <v>0</v>
      </c>
      <c r="U986">
        <f t="shared" si="249"/>
        <v>0</v>
      </c>
      <c r="V986">
        <f t="shared" si="250"/>
        <v>0</v>
      </c>
      <c r="W986">
        <f t="shared" si="251"/>
        <v>1</v>
      </c>
      <c r="X986">
        <f t="shared" si="252"/>
        <v>0</v>
      </c>
      <c r="Y986">
        <f t="shared" si="253"/>
        <v>0</v>
      </c>
    </row>
    <row r="987" spans="1:25" hidden="1">
      <c r="A987" t="str">
        <f t="shared" si="255"/>
        <v>Pray 1952</v>
      </c>
      <c r="E987">
        <v>0.32</v>
      </c>
      <c r="H987">
        <f>H986</f>
        <v>297</v>
      </c>
      <c r="I987">
        <v>24.13</v>
      </c>
      <c r="J987">
        <f t="shared" si="245"/>
        <v>4</v>
      </c>
      <c r="O987">
        <f t="shared" si="254"/>
        <v>3.2000000000000003E-4</v>
      </c>
      <c r="S987">
        <f t="shared" si="247"/>
        <v>0</v>
      </c>
      <c r="T987">
        <f t="shared" si="248"/>
        <v>0</v>
      </c>
      <c r="U987">
        <f t="shared" si="249"/>
        <v>0</v>
      </c>
      <c r="V987">
        <f t="shared" si="250"/>
        <v>0</v>
      </c>
      <c r="W987">
        <f t="shared" si="251"/>
        <v>1</v>
      </c>
      <c r="X987">
        <f t="shared" si="252"/>
        <v>0</v>
      </c>
      <c r="Y987">
        <f t="shared" si="253"/>
        <v>0</v>
      </c>
    </row>
    <row r="988" spans="1:25" hidden="1">
      <c r="A988" t="str">
        <f t="shared" si="255"/>
        <v>Pray 1952</v>
      </c>
      <c r="E988">
        <v>0.28000000000000003</v>
      </c>
      <c r="H988">
        <v>533.1</v>
      </c>
      <c r="I988">
        <v>6.89</v>
      </c>
      <c r="J988">
        <f t="shared" si="245"/>
        <v>4</v>
      </c>
      <c r="O988">
        <f t="shared" si="254"/>
        <v>2.8000000000000003E-4</v>
      </c>
      <c r="S988">
        <f t="shared" si="247"/>
        <v>0</v>
      </c>
      <c r="T988">
        <f t="shared" si="248"/>
        <v>0</v>
      </c>
      <c r="U988">
        <f t="shared" si="249"/>
        <v>0</v>
      </c>
      <c r="V988">
        <f t="shared" si="250"/>
        <v>0</v>
      </c>
      <c r="W988">
        <f t="shared" si="251"/>
        <v>1</v>
      </c>
      <c r="X988">
        <f t="shared" si="252"/>
        <v>0</v>
      </c>
      <c r="Y988">
        <f t="shared" si="253"/>
        <v>0</v>
      </c>
    </row>
    <row r="989" spans="1:25" hidden="1">
      <c r="A989" t="str">
        <f t="shared" si="255"/>
        <v>Pray 1952</v>
      </c>
      <c r="E989">
        <v>0.65</v>
      </c>
      <c r="H989">
        <f>H988</f>
        <v>533.1</v>
      </c>
      <c r="I989">
        <v>13.79</v>
      </c>
      <c r="J989">
        <f t="shared" si="245"/>
        <v>4</v>
      </c>
      <c r="O989">
        <f t="shared" si="254"/>
        <v>6.4999999999999997E-4</v>
      </c>
      <c r="S989">
        <f t="shared" si="247"/>
        <v>0</v>
      </c>
      <c r="T989">
        <f t="shared" si="248"/>
        <v>0</v>
      </c>
      <c r="U989">
        <f t="shared" si="249"/>
        <v>0</v>
      </c>
      <c r="V989">
        <f t="shared" si="250"/>
        <v>0</v>
      </c>
      <c r="W989">
        <f t="shared" si="251"/>
        <v>1</v>
      </c>
      <c r="X989">
        <f t="shared" si="252"/>
        <v>0</v>
      </c>
      <c r="Y989">
        <f t="shared" si="253"/>
        <v>0</v>
      </c>
    </row>
    <row r="990" spans="1:25" hidden="1">
      <c r="A990" t="str">
        <f t="shared" si="255"/>
        <v>Pray 1952</v>
      </c>
      <c r="E990">
        <v>0.89</v>
      </c>
      <c r="H990">
        <f>H989</f>
        <v>533.1</v>
      </c>
      <c r="I990">
        <v>20.68</v>
      </c>
      <c r="J990">
        <f t="shared" si="245"/>
        <v>4</v>
      </c>
      <c r="O990">
        <f t="shared" si="254"/>
        <v>8.9000000000000006E-4</v>
      </c>
      <c r="S990">
        <f t="shared" si="247"/>
        <v>0</v>
      </c>
      <c r="T990">
        <f t="shared" si="248"/>
        <v>0</v>
      </c>
      <c r="U990">
        <f t="shared" si="249"/>
        <v>0</v>
      </c>
      <c r="V990">
        <f t="shared" si="250"/>
        <v>0</v>
      </c>
      <c r="W990">
        <f t="shared" si="251"/>
        <v>1</v>
      </c>
      <c r="X990">
        <f t="shared" si="252"/>
        <v>0</v>
      </c>
      <c r="Y990">
        <f t="shared" si="253"/>
        <v>0</v>
      </c>
    </row>
    <row r="991" spans="1:25" hidden="1">
      <c r="A991" t="str">
        <f t="shared" si="255"/>
        <v>Pray 1952</v>
      </c>
      <c r="E991">
        <v>0.46</v>
      </c>
      <c r="H991">
        <v>588.70000000000005</v>
      </c>
      <c r="I991">
        <v>6.89</v>
      </c>
      <c r="J991">
        <f t="shared" si="245"/>
        <v>4</v>
      </c>
      <c r="O991">
        <f t="shared" si="254"/>
        <v>4.6000000000000001E-4</v>
      </c>
      <c r="S991">
        <f t="shared" si="247"/>
        <v>0</v>
      </c>
      <c r="T991">
        <f t="shared" si="248"/>
        <v>0</v>
      </c>
      <c r="U991">
        <f t="shared" si="249"/>
        <v>0</v>
      </c>
      <c r="V991">
        <f t="shared" si="250"/>
        <v>0</v>
      </c>
      <c r="W991">
        <f t="shared" si="251"/>
        <v>1</v>
      </c>
      <c r="X991">
        <f t="shared" si="252"/>
        <v>0</v>
      </c>
      <c r="Y991">
        <f t="shared" si="253"/>
        <v>0</v>
      </c>
    </row>
    <row r="992" spans="1:25" hidden="1">
      <c r="A992" t="str">
        <f t="shared" si="255"/>
        <v>Pray 1952</v>
      </c>
      <c r="E992">
        <v>0.94</v>
      </c>
      <c r="H992">
        <f>H991</f>
        <v>588.70000000000005</v>
      </c>
      <c r="I992">
        <v>13.79</v>
      </c>
      <c r="J992">
        <f t="shared" si="245"/>
        <v>4</v>
      </c>
      <c r="O992">
        <f t="shared" si="254"/>
        <v>9.3999999999999997E-4</v>
      </c>
      <c r="S992">
        <f t="shared" si="247"/>
        <v>0</v>
      </c>
      <c r="T992">
        <f t="shared" si="248"/>
        <v>0</v>
      </c>
      <c r="U992">
        <f t="shared" si="249"/>
        <v>0</v>
      </c>
      <c r="V992">
        <f t="shared" si="250"/>
        <v>0</v>
      </c>
      <c r="W992">
        <f t="shared" si="251"/>
        <v>1</v>
      </c>
      <c r="X992">
        <f t="shared" si="252"/>
        <v>0</v>
      </c>
      <c r="Y992">
        <f t="shared" si="253"/>
        <v>0</v>
      </c>
    </row>
    <row r="993" spans="1:25" hidden="1">
      <c r="A993" t="str">
        <f t="shared" si="255"/>
        <v>Pray 1952</v>
      </c>
      <c r="E993">
        <v>1.43</v>
      </c>
      <c r="H993">
        <f>H992</f>
        <v>588.70000000000005</v>
      </c>
      <c r="I993">
        <v>20.68</v>
      </c>
      <c r="J993">
        <f t="shared" si="245"/>
        <v>4</v>
      </c>
      <c r="O993">
        <f t="shared" si="254"/>
        <v>1.4299999999999998E-3</v>
      </c>
      <c r="S993">
        <f t="shared" si="247"/>
        <v>0</v>
      </c>
      <c r="T993">
        <f t="shared" si="248"/>
        <v>0</v>
      </c>
      <c r="U993">
        <f t="shared" si="249"/>
        <v>0</v>
      </c>
      <c r="V993">
        <f t="shared" si="250"/>
        <v>0</v>
      </c>
      <c r="W993">
        <f t="shared" si="251"/>
        <v>1</v>
      </c>
      <c r="X993">
        <f t="shared" si="252"/>
        <v>0</v>
      </c>
      <c r="Y993">
        <f t="shared" si="253"/>
        <v>0</v>
      </c>
    </row>
    <row r="994" spans="1:25" hidden="1">
      <c r="A994" t="str">
        <f t="shared" si="255"/>
        <v>Pray 1952</v>
      </c>
      <c r="E994">
        <v>1</v>
      </c>
      <c r="H994">
        <v>616.5</v>
      </c>
      <c r="I994">
        <v>6.89</v>
      </c>
      <c r="J994">
        <f t="shared" si="245"/>
        <v>4</v>
      </c>
      <c r="O994">
        <f t="shared" si="254"/>
        <v>1E-3</v>
      </c>
      <c r="S994">
        <f t="shared" si="247"/>
        <v>0</v>
      </c>
      <c r="T994">
        <f t="shared" si="248"/>
        <v>0</v>
      </c>
      <c r="U994">
        <f t="shared" si="249"/>
        <v>0</v>
      </c>
      <c r="V994">
        <f t="shared" si="250"/>
        <v>0</v>
      </c>
      <c r="W994">
        <f t="shared" si="251"/>
        <v>1</v>
      </c>
      <c r="X994">
        <f t="shared" si="252"/>
        <v>0</v>
      </c>
      <c r="Y994">
        <f t="shared" si="253"/>
        <v>0</v>
      </c>
    </row>
    <row r="995" spans="1:25" hidden="1">
      <c r="A995" t="str">
        <f t="shared" si="255"/>
        <v>Pray 1952</v>
      </c>
      <c r="E995">
        <v>1.1599999999999999</v>
      </c>
      <c r="H995">
        <f>H994</f>
        <v>616.5</v>
      </c>
      <c r="I995">
        <v>7.93</v>
      </c>
      <c r="J995">
        <f t="shared" si="245"/>
        <v>4</v>
      </c>
      <c r="O995">
        <f t="shared" si="254"/>
        <v>1.16E-3</v>
      </c>
      <c r="S995">
        <f t="shared" si="247"/>
        <v>0</v>
      </c>
      <c r="T995">
        <f t="shared" si="248"/>
        <v>0</v>
      </c>
      <c r="U995">
        <f t="shared" si="249"/>
        <v>0</v>
      </c>
      <c r="V995">
        <f t="shared" si="250"/>
        <v>0</v>
      </c>
      <c r="W995">
        <f t="shared" si="251"/>
        <v>1</v>
      </c>
      <c r="X995">
        <f t="shared" si="252"/>
        <v>0</v>
      </c>
      <c r="Y995">
        <f t="shared" si="253"/>
        <v>0</v>
      </c>
    </row>
    <row r="996" spans="1:25" hidden="1">
      <c r="A996" t="str">
        <f t="shared" si="255"/>
        <v>Pray 1952</v>
      </c>
      <c r="E996">
        <v>1.2</v>
      </c>
      <c r="H996">
        <f>H995</f>
        <v>616.5</v>
      </c>
      <c r="I996">
        <v>8.27</v>
      </c>
      <c r="J996">
        <f t="shared" si="245"/>
        <v>4</v>
      </c>
      <c r="O996">
        <f t="shared" si="254"/>
        <v>1.1999999999999999E-3</v>
      </c>
      <c r="S996">
        <f t="shared" si="247"/>
        <v>0</v>
      </c>
      <c r="T996">
        <f t="shared" si="248"/>
        <v>0</v>
      </c>
      <c r="U996">
        <f t="shared" si="249"/>
        <v>0</v>
      </c>
      <c r="V996">
        <f t="shared" si="250"/>
        <v>0</v>
      </c>
      <c r="W996">
        <f t="shared" si="251"/>
        <v>1</v>
      </c>
      <c r="X996">
        <f t="shared" si="252"/>
        <v>0</v>
      </c>
      <c r="Y996">
        <f t="shared" si="253"/>
        <v>0</v>
      </c>
    </row>
    <row r="997" spans="1:25" hidden="1">
      <c r="A997" t="str">
        <f t="shared" si="255"/>
        <v>Pray 1952</v>
      </c>
      <c r="E997">
        <v>1.24</v>
      </c>
      <c r="H997">
        <f>H996</f>
        <v>616.5</v>
      </c>
      <c r="I997">
        <v>8.6199999999999992</v>
      </c>
      <c r="J997">
        <f t="shared" si="245"/>
        <v>4</v>
      </c>
      <c r="O997">
        <f t="shared" si="254"/>
        <v>1.24E-3</v>
      </c>
      <c r="S997">
        <f t="shared" si="247"/>
        <v>0</v>
      </c>
      <c r="T997">
        <f t="shared" si="248"/>
        <v>0</v>
      </c>
      <c r="U997">
        <f t="shared" si="249"/>
        <v>0</v>
      </c>
      <c r="V997">
        <f t="shared" si="250"/>
        <v>0</v>
      </c>
      <c r="W997">
        <f t="shared" si="251"/>
        <v>1</v>
      </c>
      <c r="X997">
        <f t="shared" si="252"/>
        <v>0</v>
      </c>
      <c r="Y997">
        <f t="shared" si="253"/>
        <v>0</v>
      </c>
    </row>
    <row r="998" spans="1:25" hidden="1">
      <c r="A998" t="s">
        <v>74</v>
      </c>
      <c r="E998">
        <v>7.4099999999999999E-2</v>
      </c>
      <c r="H998">
        <v>427</v>
      </c>
      <c r="I998">
        <v>35.4</v>
      </c>
      <c r="J998">
        <v>0</v>
      </c>
      <c r="P998">
        <f t="shared" ref="P998:P1029" si="256">E998/100</f>
        <v>7.4100000000000001E-4</v>
      </c>
      <c r="S998">
        <f t="shared" si="247"/>
        <v>0</v>
      </c>
      <c r="T998">
        <f t="shared" si="248"/>
        <v>0</v>
      </c>
      <c r="U998">
        <f t="shared" si="249"/>
        <v>0</v>
      </c>
      <c r="V998">
        <f t="shared" si="250"/>
        <v>0</v>
      </c>
      <c r="W998">
        <f t="shared" si="251"/>
        <v>1</v>
      </c>
      <c r="X998">
        <f t="shared" si="252"/>
        <v>0</v>
      </c>
      <c r="Y998">
        <f t="shared" si="253"/>
        <v>0</v>
      </c>
    </row>
    <row r="999" spans="1:25" hidden="1">
      <c r="A999" t="str">
        <f t="shared" ref="A999:A1030" si="257">A998</f>
        <v>Price 1979</v>
      </c>
      <c r="E999">
        <v>0.28589999999999999</v>
      </c>
      <c r="H999">
        <f t="shared" ref="H999:H1006" si="258">H998</f>
        <v>427</v>
      </c>
      <c r="I999">
        <v>152</v>
      </c>
      <c r="J999">
        <v>0</v>
      </c>
      <c r="P999">
        <f t="shared" si="256"/>
        <v>2.859E-3</v>
      </c>
      <c r="S999">
        <f t="shared" si="247"/>
        <v>0</v>
      </c>
      <c r="T999">
        <f t="shared" si="248"/>
        <v>0</v>
      </c>
      <c r="U999">
        <f t="shared" si="249"/>
        <v>0</v>
      </c>
      <c r="V999">
        <f t="shared" si="250"/>
        <v>0</v>
      </c>
      <c r="W999">
        <f t="shared" si="251"/>
        <v>1</v>
      </c>
      <c r="X999">
        <f t="shared" si="252"/>
        <v>0</v>
      </c>
      <c r="Y999">
        <f t="shared" si="253"/>
        <v>0</v>
      </c>
    </row>
    <row r="1000" spans="1:25" hidden="1">
      <c r="A1000" t="str">
        <f t="shared" si="257"/>
        <v>Price 1979</v>
      </c>
      <c r="E1000">
        <v>0.45140000000000002</v>
      </c>
      <c r="H1000">
        <f t="shared" si="258"/>
        <v>427</v>
      </c>
      <c r="I1000">
        <v>32.03</v>
      </c>
      <c r="J1000">
        <v>0</v>
      </c>
      <c r="P1000">
        <f t="shared" si="256"/>
        <v>4.5140000000000007E-3</v>
      </c>
      <c r="S1000">
        <f t="shared" si="247"/>
        <v>0</v>
      </c>
      <c r="T1000">
        <f t="shared" si="248"/>
        <v>0</v>
      </c>
      <c r="U1000">
        <f t="shared" si="249"/>
        <v>0</v>
      </c>
      <c r="V1000">
        <f t="shared" si="250"/>
        <v>0</v>
      </c>
      <c r="W1000">
        <f t="shared" si="251"/>
        <v>1</v>
      </c>
      <c r="X1000">
        <f t="shared" si="252"/>
        <v>0</v>
      </c>
      <c r="Y1000">
        <f t="shared" si="253"/>
        <v>0</v>
      </c>
    </row>
    <row r="1001" spans="1:25" hidden="1">
      <c r="A1001" t="str">
        <f t="shared" si="257"/>
        <v>Price 1979</v>
      </c>
      <c r="E1001">
        <v>0.55100000000000005</v>
      </c>
      <c r="H1001">
        <f t="shared" si="258"/>
        <v>427</v>
      </c>
      <c r="I1001">
        <v>468.2</v>
      </c>
      <c r="J1001">
        <v>0</v>
      </c>
      <c r="P1001">
        <f t="shared" si="256"/>
        <v>5.5100000000000001E-3</v>
      </c>
      <c r="S1001">
        <f t="shared" si="247"/>
        <v>0</v>
      </c>
      <c r="T1001">
        <f t="shared" si="248"/>
        <v>0</v>
      </c>
      <c r="U1001">
        <f t="shared" si="249"/>
        <v>0</v>
      </c>
      <c r="V1001">
        <f t="shared" si="250"/>
        <v>0</v>
      </c>
      <c r="W1001">
        <f t="shared" si="251"/>
        <v>1</v>
      </c>
      <c r="X1001">
        <f t="shared" si="252"/>
        <v>0</v>
      </c>
      <c r="Y1001">
        <f t="shared" si="253"/>
        <v>0</v>
      </c>
    </row>
    <row r="1002" spans="1:25" hidden="1">
      <c r="A1002" t="str">
        <f t="shared" si="257"/>
        <v>Price 1979</v>
      </c>
      <c r="E1002">
        <v>0.61250000000000004</v>
      </c>
      <c r="H1002">
        <f t="shared" si="258"/>
        <v>427</v>
      </c>
      <c r="I1002">
        <v>672.9</v>
      </c>
      <c r="J1002">
        <v>0</v>
      </c>
      <c r="P1002">
        <f t="shared" si="256"/>
        <v>6.1250000000000002E-3</v>
      </c>
      <c r="S1002">
        <f t="shared" si="247"/>
        <v>0</v>
      </c>
      <c r="T1002">
        <f t="shared" si="248"/>
        <v>0</v>
      </c>
      <c r="U1002">
        <f t="shared" si="249"/>
        <v>0</v>
      </c>
      <c r="V1002">
        <f t="shared" si="250"/>
        <v>0</v>
      </c>
      <c r="W1002">
        <f t="shared" si="251"/>
        <v>1</v>
      </c>
      <c r="X1002">
        <f t="shared" si="252"/>
        <v>0</v>
      </c>
      <c r="Y1002">
        <f t="shared" si="253"/>
        <v>0</v>
      </c>
    </row>
    <row r="1003" spans="1:25" hidden="1">
      <c r="A1003" t="str">
        <f t="shared" si="257"/>
        <v>Price 1979</v>
      </c>
      <c r="E1003">
        <v>0.65259999999999996</v>
      </c>
      <c r="H1003">
        <f t="shared" si="258"/>
        <v>427</v>
      </c>
      <c r="I1003">
        <v>873.6</v>
      </c>
      <c r="J1003">
        <v>0</v>
      </c>
      <c r="P1003">
        <f t="shared" si="256"/>
        <v>6.5259999999999997E-3</v>
      </c>
      <c r="S1003">
        <f t="shared" si="247"/>
        <v>0</v>
      </c>
      <c r="T1003">
        <f t="shared" si="248"/>
        <v>0</v>
      </c>
      <c r="U1003">
        <f t="shared" si="249"/>
        <v>0</v>
      </c>
      <c r="V1003">
        <f t="shared" si="250"/>
        <v>0</v>
      </c>
      <c r="W1003">
        <f t="shared" si="251"/>
        <v>1</v>
      </c>
      <c r="X1003">
        <f t="shared" si="252"/>
        <v>0</v>
      </c>
      <c r="Y1003">
        <f t="shared" si="253"/>
        <v>0</v>
      </c>
    </row>
    <row r="1004" spans="1:25" hidden="1">
      <c r="A1004" t="str">
        <f t="shared" si="257"/>
        <v>Price 1979</v>
      </c>
      <c r="E1004">
        <v>0.77029999999999998</v>
      </c>
      <c r="H1004">
        <f t="shared" si="258"/>
        <v>427</v>
      </c>
      <c r="I1004">
        <v>1052.0999999999999</v>
      </c>
      <c r="J1004">
        <v>0</v>
      </c>
      <c r="P1004">
        <f t="shared" si="256"/>
        <v>7.7029999999999998E-3</v>
      </c>
      <c r="S1004">
        <f t="shared" si="247"/>
        <v>0</v>
      </c>
      <c r="T1004">
        <f t="shared" si="248"/>
        <v>0</v>
      </c>
      <c r="U1004">
        <f t="shared" si="249"/>
        <v>0</v>
      </c>
      <c r="V1004">
        <f t="shared" si="250"/>
        <v>0</v>
      </c>
      <c r="W1004">
        <f t="shared" si="251"/>
        <v>1</v>
      </c>
      <c r="X1004">
        <f t="shared" si="252"/>
        <v>0</v>
      </c>
      <c r="Y1004">
        <f t="shared" si="253"/>
        <v>0</v>
      </c>
    </row>
    <row r="1005" spans="1:25" hidden="1">
      <c r="A1005" t="str">
        <f t="shared" si="257"/>
        <v>Price 1979</v>
      </c>
      <c r="E1005">
        <v>0.88319999999999999</v>
      </c>
      <c r="H1005">
        <f t="shared" si="258"/>
        <v>427</v>
      </c>
      <c r="I1005">
        <v>1259</v>
      </c>
      <c r="J1005">
        <v>0</v>
      </c>
      <c r="P1005">
        <f t="shared" si="256"/>
        <v>8.8319999999999996E-3</v>
      </c>
      <c r="S1005">
        <f t="shared" si="247"/>
        <v>0</v>
      </c>
      <c r="T1005">
        <f t="shared" si="248"/>
        <v>0</v>
      </c>
      <c r="U1005">
        <f t="shared" si="249"/>
        <v>0</v>
      </c>
      <c r="V1005">
        <f t="shared" si="250"/>
        <v>0</v>
      </c>
      <c r="W1005">
        <f t="shared" si="251"/>
        <v>1</v>
      </c>
      <c r="X1005">
        <f t="shared" si="252"/>
        <v>0</v>
      </c>
      <c r="Y1005">
        <f t="shared" si="253"/>
        <v>0</v>
      </c>
    </row>
    <row r="1006" spans="1:25" hidden="1">
      <c r="A1006" t="str">
        <f t="shared" si="257"/>
        <v>Price 1979</v>
      </c>
      <c r="E1006">
        <v>1.0325</v>
      </c>
      <c r="H1006">
        <f t="shared" si="258"/>
        <v>427</v>
      </c>
      <c r="I1006">
        <v>1639.6</v>
      </c>
      <c r="J1006">
        <v>0</v>
      </c>
      <c r="P1006">
        <f t="shared" si="256"/>
        <v>1.0324999999999999E-2</v>
      </c>
      <c r="S1006">
        <f t="shared" si="247"/>
        <v>0</v>
      </c>
      <c r="T1006">
        <f t="shared" si="248"/>
        <v>0</v>
      </c>
      <c r="U1006">
        <f t="shared" si="249"/>
        <v>0</v>
      </c>
      <c r="V1006">
        <f t="shared" si="250"/>
        <v>0</v>
      </c>
      <c r="W1006">
        <f t="shared" si="251"/>
        <v>1</v>
      </c>
      <c r="X1006">
        <f t="shared" si="252"/>
        <v>0</v>
      </c>
      <c r="Y1006">
        <f t="shared" si="253"/>
        <v>0</v>
      </c>
    </row>
    <row r="1007" spans="1:25" hidden="1">
      <c r="A1007" t="str">
        <f t="shared" si="257"/>
        <v>Price 1979</v>
      </c>
      <c r="E1007">
        <v>0.12470000000000001</v>
      </c>
      <c r="H1007">
        <v>479</v>
      </c>
      <c r="I1007">
        <v>51.7</v>
      </c>
      <c r="J1007">
        <v>0</v>
      </c>
      <c r="P1007">
        <f t="shared" si="256"/>
        <v>1.2470000000000001E-3</v>
      </c>
      <c r="S1007">
        <f t="shared" ref="S1007:S1038" si="259">S1006</f>
        <v>0</v>
      </c>
      <c r="T1007">
        <f t="shared" ref="T1007:T1038" si="260">T1006</f>
        <v>0</v>
      </c>
      <c r="U1007">
        <f t="shared" ref="U1007:U1038" si="261">U1006</f>
        <v>0</v>
      </c>
      <c r="V1007">
        <f t="shared" ref="V1007:V1038" si="262">V1006</f>
        <v>0</v>
      </c>
      <c r="W1007">
        <f t="shared" ref="W1007:W1038" si="263">W1006</f>
        <v>1</v>
      </c>
      <c r="X1007">
        <f t="shared" ref="X1007:X1038" si="264">X1006</f>
        <v>0</v>
      </c>
      <c r="Y1007">
        <f t="shared" ref="Y1007:Y1038" si="265">Y1006</f>
        <v>0</v>
      </c>
    </row>
    <row r="1008" spans="1:25" hidden="1">
      <c r="A1008" t="str">
        <f t="shared" si="257"/>
        <v>Price 1979</v>
      </c>
      <c r="E1008">
        <v>0.40410000000000001</v>
      </c>
      <c r="H1008">
        <f t="shared" ref="H1008:H1014" si="266">H1007</f>
        <v>479</v>
      </c>
      <c r="I1008">
        <v>160.19999999999999</v>
      </c>
      <c r="J1008">
        <v>0</v>
      </c>
      <c r="P1008">
        <f t="shared" si="256"/>
        <v>4.0410000000000003E-3</v>
      </c>
      <c r="S1008">
        <f t="shared" si="259"/>
        <v>0</v>
      </c>
      <c r="T1008">
        <f t="shared" si="260"/>
        <v>0</v>
      </c>
      <c r="U1008">
        <f t="shared" si="261"/>
        <v>0</v>
      </c>
      <c r="V1008">
        <f t="shared" si="262"/>
        <v>0</v>
      </c>
      <c r="W1008">
        <f t="shared" si="263"/>
        <v>1</v>
      </c>
      <c r="X1008">
        <f t="shared" si="264"/>
        <v>0</v>
      </c>
      <c r="Y1008">
        <f t="shared" si="265"/>
        <v>0</v>
      </c>
    </row>
    <row r="1009" spans="1:25" hidden="1">
      <c r="A1009" t="str">
        <f t="shared" si="257"/>
        <v>Price 1979</v>
      </c>
      <c r="E1009">
        <v>0.63090000000000002</v>
      </c>
      <c r="H1009">
        <f t="shared" si="266"/>
        <v>479</v>
      </c>
      <c r="I1009">
        <v>294.39999999999998</v>
      </c>
      <c r="J1009">
        <v>0</v>
      </c>
      <c r="P1009">
        <f t="shared" si="256"/>
        <v>6.3090000000000004E-3</v>
      </c>
      <c r="S1009">
        <f t="shared" si="259"/>
        <v>0</v>
      </c>
      <c r="T1009">
        <f t="shared" si="260"/>
        <v>0</v>
      </c>
      <c r="U1009">
        <f t="shared" si="261"/>
        <v>0</v>
      </c>
      <c r="V1009">
        <f t="shared" si="262"/>
        <v>0</v>
      </c>
      <c r="W1009">
        <f t="shared" si="263"/>
        <v>1</v>
      </c>
      <c r="X1009">
        <f t="shared" si="264"/>
        <v>0</v>
      </c>
      <c r="Y1009">
        <f t="shared" si="265"/>
        <v>0</v>
      </c>
    </row>
    <row r="1010" spans="1:25" hidden="1">
      <c r="A1010" t="str">
        <f t="shared" si="257"/>
        <v>Price 1979</v>
      </c>
      <c r="E1010">
        <v>0.9486</v>
      </c>
      <c r="H1010">
        <f t="shared" si="266"/>
        <v>479</v>
      </c>
      <c r="I1010">
        <v>546.29999999999995</v>
      </c>
      <c r="J1010">
        <v>0</v>
      </c>
      <c r="P1010">
        <f t="shared" si="256"/>
        <v>9.4859999999999996E-3</v>
      </c>
      <c r="S1010">
        <f t="shared" si="259"/>
        <v>0</v>
      </c>
      <c r="T1010">
        <f t="shared" si="260"/>
        <v>0</v>
      </c>
      <c r="U1010">
        <f t="shared" si="261"/>
        <v>0</v>
      </c>
      <c r="V1010">
        <f t="shared" si="262"/>
        <v>0</v>
      </c>
      <c r="W1010">
        <f t="shared" si="263"/>
        <v>1</v>
      </c>
      <c r="X1010">
        <f t="shared" si="264"/>
        <v>0</v>
      </c>
      <c r="Y1010">
        <f t="shared" si="265"/>
        <v>0</v>
      </c>
    </row>
    <row r="1011" spans="1:25" hidden="1">
      <c r="A1011" t="str">
        <f t="shared" si="257"/>
        <v>Price 1979</v>
      </c>
      <c r="E1011">
        <v>1.286</v>
      </c>
      <c r="H1011">
        <f t="shared" si="266"/>
        <v>479</v>
      </c>
      <c r="I1011">
        <v>948.6</v>
      </c>
      <c r="J1011">
        <v>0</v>
      </c>
      <c r="P1011">
        <f t="shared" si="256"/>
        <v>1.286E-2</v>
      </c>
      <c r="S1011">
        <f t="shared" si="259"/>
        <v>0</v>
      </c>
      <c r="T1011">
        <f t="shared" si="260"/>
        <v>0</v>
      </c>
      <c r="U1011">
        <f t="shared" si="261"/>
        <v>0</v>
      </c>
      <c r="V1011">
        <f t="shared" si="262"/>
        <v>0</v>
      </c>
      <c r="W1011">
        <f t="shared" si="263"/>
        <v>1</v>
      </c>
      <c r="X1011">
        <f t="shared" si="264"/>
        <v>0</v>
      </c>
      <c r="Y1011">
        <f t="shared" si="265"/>
        <v>0</v>
      </c>
    </row>
    <row r="1012" spans="1:25" hidden="1">
      <c r="A1012" t="str">
        <f t="shared" si="257"/>
        <v>Price 1979</v>
      </c>
      <c r="E1012">
        <v>1.5269999999999999</v>
      </c>
      <c r="H1012">
        <f t="shared" si="266"/>
        <v>479</v>
      </c>
      <c r="I1012">
        <v>1033.5</v>
      </c>
      <c r="J1012">
        <v>0</v>
      </c>
      <c r="P1012">
        <f t="shared" si="256"/>
        <v>1.5269999999999999E-2</v>
      </c>
      <c r="S1012">
        <f t="shared" si="259"/>
        <v>0</v>
      </c>
      <c r="T1012">
        <f t="shared" si="260"/>
        <v>0</v>
      </c>
      <c r="U1012">
        <f t="shared" si="261"/>
        <v>0</v>
      </c>
      <c r="V1012">
        <f t="shared" si="262"/>
        <v>0</v>
      </c>
      <c r="W1012">
        <f t="shared" si="263"/>
        <v>1</v>
      </c>
      <c r="X1012">
        <f t="shared" si="264"/>
        <v>0</v>
      </c>
      <c r="Y1012">
        <f t="shared" si="265"/>
        <v>0</v>
      </c>
    </row>
    <row r="1013" spans="1:25" hidden="1">
      <c r="A1013" t="str">
        <f t="shared" si="257"/>
        <v>Price 1979</v>
      </c>
      <c r="E1013">
        <v>1.665</v>
      </c>
      <c r="H1013">
        <f t="shared" si="266"/>
        <v>479</v>
      </c>
      <c r="I1013">
        <v>1630.7</v>
      </c>
      <c r="J1013">
        <v>0</v>
      </c>
      <c r="P1013">
        <f t="shared" si="256"/>
        <v>1.6650000000000002E-2</v>
      </c>
      <c r="S1013">
        <f t="shared" si="259"/>
        <v>0</v>
      </c>
      <c r="T1013">
        <f t="shared" si="260"/>
        <v>0</v>
      </c>
      <c r="U1013">
        <f t="shared" si="261"/>
        <v>0</v>
      </c>
      <c r="V1013">
        <f t="shared" si="262"/>
        <v>0</v>
      </c>
      <c r="W1013">
        <f t="shared" si="263"/>
        <v>1</v>
      </c>
      <c r="X1013">
        <f t="shared" si="264"/>
        <v>0</v>
      </c>
      <c r="Y1013">
        <f t="shared" si="265"/>
        <v>0</v>
      </c>
    </row>
    <row r="1014" spans="1:25" hidden="1">
      <c r="A1014" t="str">
        <f t="shared" si="257"/>
        <v>Price 1979</v>
      </c>
      <c r="E1014">
        <v>1.881</v>
      </c>
      <c r="H1014">
        <f t="shared" si="266"/>
        <v>479</v>
      </c>
      <c r="I1014">
        <v>1924.7</v>
      </c>
      <c r="J1014">
        <v>0</v>
      </c>
      <c r="P1014">
        <f t="shared" si="256"/>
        <v>1.881E-2</v>
      </c>
      <c r="S1014">
        <f t="shared" si="259"/>
        <v>0</v>
      </c>
      <c r="T1014">
        <f t="shared" si="260"/>
        <v>0</v>
      </c>
      <c r="U1014">
        <f t="shared" si="261"/>
        <v>0</v>
      </c>
      <c r="V1014">
        <f t="shared" si="262"/>
        <v>0</v>
      </c>
      <c r="W1014">
        <f t="shared" si="263"/>
        <v>1</v>
      </c>
      <c r="X1014">
        <f t="shared" si="264"/>
        <v>0</v>
      </c>
      <c r="Y1014">
        <f t="shared" si="265"/>
        <v>0</v>
      </c>
    </row>
    <row r="1015" spans="1:25" hidden="1">
      <c r="A1015" t="str">
        <f t="shared" si="257"/>
        <v>Price 1979</v>
      </c>
      <c r="E1015">
        <v>0.12759999999999999</v>
      </c>
      <c r="H1015">
        <v>494</v>
      </c>
      <c r="I1015">
        <v>40.200000000000003</v>
      </c>
      <c r="J1015">
        <v>0</v>
      </c>
      <c r="P1015">
        <f t="shared" si="256"/>
        <v>1.276E-3</v>
      </c>
      <c r="S1015">
        <f t="shared" si="259"/>
        <v>0</v>
      </c>
      <c r="T1015">
        <f t="shared" si="260"/>
        <v>0</v>
      </c>
      <c r="U1015">
        <f t="shared" si="261"/>
        <v>0</v>
      </c>
      <c r="V1015">
        <f t="shared" si="262"/>
        <v>0</v>
      </c>
      <c r="W1015">
        <f t="shared" si="263"/>
        <v>1</v>
      </c>
      <c r="X1015">
        <f t="shared" si="264"/>
        <v>0</v>
      </c>
      <c r="Y1015">
        <f t="shared" si="265"/>
        <v>0</v>
      </c>
    </row>
    <row r="1016" spans="1:25" hidden="1">
      <c r="A1016" t="str">
        <f t="shared" si="257"/>
        <v>Price 1979</v>
      </c>
      <c r="E1016">
        <v>0.82420000000000004</v>
      </c>
      <c r="H1016">
        <f t="shared" ref="H1016:H1021" si="267">H1015</f>
        <v>494</v>
      </c>
      <c r="I1016">
        <v>367.6</v>
      </c>
      <c r="J1016">
        <v>0</v>
      </c>
      <c r="P1016">
        <f t="shared" si="256"/>
        <v>8.2420000000000011E-3</v>
      </c>
      <c r="S1016">
        <f t="shared" si="259"/>
        <v>0</v>
      </c>
      <c r="T1016">
        <f t="shared" si="260"/>
        <v>0</v>
      </c>
      <c r="U1016">
        <f t="shared" si="261"/>
        <v>0</v>
      </c>
      <c r="V1016">
        <f t="shared" si="262"/>
        <v>0</v>
      </c>
      <c r="W1016">
        <f t="shared" si="263"/>
        <v>1</v>
      </c>
      <c r="X1016">
        <f t="shared" si="264"/>
        <v>0</v>
      </c>
      <c r="Y1016">
        <f t="shared" si="265"/>
        <v>0</v>
      </c>
    </row>
    <row r="1017" spans="1:25" hidden="1">
      <c r="A1017" t="str">
        <f t="shared" si="257"/>
        <v>Price 1979</v>
      </c>
      <c r="E1017">
        <v>1.333</v>
      </c>
      <c r="H1017">
        <f t="shared" si="267"/>
        <v>494</v>
      </c>
      <c r="I1017">
        <v>628</v>
      </c>
      <c r="J1017">
        <v>0</v>
      </c>
      <c r="P1017">
        <f t="shared" si="256"/>
        <v>1.333E-2</v>
      </c>
      <c r="S1017">
        <f t="shared" si="259"/>
        <v>0</v>
      </c>
      <c r="T1017">
        <f t="shared" si="260"/>
        <v>0</v>
      </c>
      <c r="U1017">
        <f t="shared" si="261"/>
        <v>0</v>
      </c>
      <c r="V1017">
        <f t="shared" si="262"/>
        <v>0</v>
      </c>
      <c r="W1017">
        <f t="shared" si="263"/>
        <v>1</v>
      </c>
      <c r="X1017">
        <f t="shared" si="264"/>
        <v>0</v>
      </c>
      <c r="Y1017">
        <f t="shared" si="265"/>
        <v>0</v>
      </c>
    </row>
    <row r="1018" spans="1:25" hidden="1">
      <c r="A1018" t="str">
        <f t="shared" si="257"/>
        <v>Price 1979</v>
      </c>
      <c r="E1018">
        <v>1.526</v>
      </c>
      <c r="H1018">
        <f t="shared" si="267"/>
        <v>494</v>
      </c>
      <c r="I1018">
        <v>873.6</v>
      </c>
      <c r="J1018">
        <v>0</v>
      </c>
      <c r="P1018">
        <f t="shared" si="256"/>
        <v>1.5260000000000001E-2</v>
      </c>
      <c r="S1018">
        <f t="shared" si="259"/>
        <v>0</v>
      </c>
      <c r="T1018">
        <f t="shared" si="260"/>
        <v>0</v>
      </c>
      <c r="U1018">
        <f t="shared" si="261"/>
        <v>0</v>
      </c>
      <c r="V1018">
        <f t="shared" si="262"/>
        <v>0</v>
      </c>
      <c r="W1018">
        <f t="shared" si="263"/>
        <v>1</v>
      </c>
      <c r="X1018">
        <f t="shared" si="264"/>
        <v>0</v>
      </c>
      <c r="Y1018">
        <f t="shared" si="265"/>
        <v>0</v>
      </c>
    </row>
    <row r="1019" spans="1:25" hidden="1">
      <c r="A1019" t="str">
        <f t="shared" si="257"/>
        <v>Price 1979</v>
      </c>
      <c r="E1019">
        <v>1.7230000000000001</v>
      </c>
      <c r="H1019">
        <f t="shared" si="267"/>
        <v>494</v>
      </c>
      <c r="I1019">
        <v>1035.5999999999999</v>
      </c>
      <c r="J1019">
        <v>0</v>
      </c>
      <c r="P1019">
        <f t="shared" si="256"/>
        <v>1.7230000000000002E-2</v>
      </c>
      <c r="S1019">
        <f t="shared" si="259"/>
        <v>0</v>
      </c>
      <c r="T1019">
        <f t="shared" si="260"/>
        <v>0</v>
      </c>
      <c r="U1019">
        <f t="shared" si="261"/>
        <v>0</v>
      </c>
      <c r="V1019">
        <f t="shared" si="262"/>
        <v>0</v>
      </c>
      <c r="W1019">
        <f t="shared" si="263"/>
        <v>1</v>
      </c>
      <c r="X1019">
        <f t="shared" si="264"/>
        <v>0</v>
      </c>
      <c r="Y1019">
        <f t="shared" si="265"/>
        <v>0</v>
      </c>
    </row>
    <row r="1020" spans="1:25" hidden="1">
      <c r="A1020" t="str">
        <f t="shared" si="257"/>
        <v>Price 1979</v>
      </c>
      <c r="E1020">
        <v>1.774</v>
      </c>
      <c r="H1020">
        <f t="shared" si="267"/>
        <v>494</v>
      </c>
      <c r="I1020">
        <v>1236.9000000000001</v>
      </c>
      <c r="J1020">
        <v>0</v>
      </c>
      <c r="P1020">
        <f t="shared" si="256"/>
        <v>1.7739999999999999E-2</v>
      </c>
      <c r="S1020">
        <f t="shared" si="259"/>
        <v>0</v>
      </c>
      <c r="T1020">
        <f t="shared" si="260"/>
        <v>0</v>
      </c>
      <c r="U1020">
        <f t="shared" si="261"/>
        <v>0</v>
      </c>
      <c r="V1020">
        <f t="shared" si="262"/>
        <v>0</v>
      </c>
      <c r="W1020">
        <f t="shared" si="263"/>
        <v>1</v>
      </c>
      <c r="X1020">
        <f t="shared" si="264"/>
        <v>0</v>
      </c>
      <c r="Y1020">
        <f t="shared" si="265"/>
        <v>0</v>
      </c>
    </row>
    <row r="1021" spans="1:25" hidden="1">
      <c r="A1021" t="str">
        <f t="shared" si="257"/>
        <v>Price 1979</v>
      </c>
      <c r="E1021">
        <v>1.8280000000000001</v>
      </c>
      <c r="H1021">
        <f t="shared" si="267"/>
        <v>494</v>
      </c>
      <c r="I1021">
        <v>1415.5</v>
      </c>
      <c r="J1021">
        <v>0</v>
      </c>
      <c r="P1021">
        <f t="shared" si="256"/>
        <v>1.8280000000000001E-2</v>
      </c>
      <c r="S1021">
        <f t="shared" si="259"/>
        <v>0</v>
      </c>
      <c r="T1021">
        <f t="shared" si="260"/>
        <v>0</v>
      </c>
      <c r="U1021">
        <f t="shared" si="261"/>
        <v>0</v>
      </c>
      <c r="V1021">
        <f t="shared" si="262"/>
        <v>0</v>
      </c>
      <c r="W1021">
        <f t="shared" si="263"/>
        <v>1</v>
      </c>
      <c r="X1021">
        <f t="shared" si="264"/>
        <v>0</v>
      </c>
      <c r="Y1021">
        <f t="shared" si="265"/>
        <v>0</v>
      </c>
    </row>
    <row r="1022" spans="1:25" hidden="1">
      <c r="A1022" t="str">
        <f t="shared" si="257"/>
        <v>Price 1979</v>
      </c>
      <c r="E1022">
        <v>0.26119999999999999</v>
      </c>
      <c r="H1022">
        <v>507</v>
      </c>
      <c r="I1022">
        <v>81.099999999999994</v>
      </c>
      <c r="J1022">
        <v>0</v>
      </c>
      <c r="P1022">
        <f t="shared" si="256"/>
        <v>2.6119999999999997E-3</v>
      </c>
      <c r="S1022">
        <f t="shared" si="259"/>
        <v>0</v>
      </c>
      <c r="T1022">
        <f t="shared" si="260"/>
        <v>0</v>
      </c>
      <c r="U1022">
        <f t="shared" si="261"/>
        <v>0</v>
      </c>
      <c r="V1022">
        <f t="shared" si="262"/>
        <v>0</v>
      </c>
      <c r="W1022">
        <f t="shared" si="263"/>
        <v>1</v>
      </c>
      <c r="X1022">
        <f t="shared" si="264"/>
        <v>0</v>
      </c>
      <c r="Y1022">
        <f t="shared" si="265"/>
        <v>0</v>
      </c>
    </row>
    <row r="1023" spans="1:25" hidden="1">
      <c r="A1023" t="str">
        <f t="shared" si="257"/>
        <v>Price 1979</v>
      </c>
      <c r="E1023">
        <v>0.4577</v>
      </c>
      <c r="H1023">
        <f t="shared" ref="H1023:H1034" si="268">H1022</f>
        <v>507</v>
      </c>
      <c r="I1023">
        <v>148.9</v>
      </c>
      <c r="J1023">
        <v>0</v>
      </c>
      <c r="P1023">
        <f t="shared" si="256"/>
        <v>4.5770000000000003E-3</v>
      </c>
      <c r="S1023">
        <f t="shared" si="259"/>
        <v>0</v>
      </c>
      <c r="T1023">
        <f t="shared" si="260"/>
        <v>0</v>
      </c>
      <c r="U1023">
        <f t="shared" si="261"/>
        <v>0</v>
      </c>
      <c r="V1023">
        <f t="shared" si="262"/>
        <v>0</v>
      </c>
      <c r="W1023">
        <f t="shared" si="263"/>
        <v>1</v>
      </c>
      <c r="X1023">
        <f t="shared" si="264"/>
        <v>0</v>
      </c>
      <c r="Y1023">
        <f t="shared" si="265"/>
        <v>0</v>
      </c>
    </row>
    <row r="1024" spans="1:25" hidden="1">
      <c r="A1024" t="str">
        <f t="shared" si="257"/>
        <v>Price 1979</v>
      </c>
      <c r="E1024">
        <v>0.71779999999999999</v>
      </c>
      <c r="H1024">
        <f t="shared" si="268"/>
        <v>507</v>
      </c>
      <c r="I1024">
        <v>207.8</v>
      </c>
      <c r="J1024">
        <v>0</v>
      </c>
      <c r="P1024">
        <f t="shared" si="256"/>
        <v>7.1780000000000004E-3</v>
      </c>
      <c r="S1024">
        <f t="shared" si="259"/>
        <v>0</v>
      </c>
      <c r="T1024">
        <f t="shared" si="260"/>
        <v>0</v>
      </c>
      <c r="U1024">
        <f t="shared" si="261"/>
        <v>0</v>
      </c>
      <c r="V1024">
        <f t="shared" si="262"/>
        <v>0</v>
      </c>
      <c r="W1024">
        <f t="shared" si="263"/>
        <v>1</v>
      </c>
      <c r="X1024">
        <f t="shared" si="264"/>
        <v>0</v>
      </c>
      <c r="Y1024">
        <f t="shared" si="265"/>
        <v>0</v>
      </c>
    </row>
    <row r="1025" spans="1:25" hidden="1">
      <c r="A1025" t="str">
        <f t="shared" si="257"/>
        <v>Price 1979</v>
      </c>
      <c r="E1025">
        <v>0.83860000000000001</v>
      </c>
      <c r="H1025">
        <f t="shared" si="268"/>
        <v>507</v>
      </c>
      <c r="I1025">
        <v>277.7</v>
      </c>
      <c r="J1025">
        <v>0</v>
      </c>
      <c r="P1025">
        <f t="shared" si="256"/>
        <v>8.3859999999999994E-3</v>
      </c>
      <c r="S1025">
        <f t="shared" si="259"/>
        <v>0</v>
      </c>
      <c r="T1025">
        <f t="shared" si="260"/>
        <v>0</v>
      </c>
      <c r="U1025">
        <f t="shared" si="261"/>
        <v>0</v>
      </c>
      <c r="V1025">
        <f t="shared" si="262"/>
        <v>0</v>
      </c>
      <c r="W1025">
        <f t="shared" si="263"/>
        <v>1</v>
      </c>
      <c r="X1025">
        <f t="shared" si="264"/>
        <v>0</v>
      </c>
      <c r="Y1025">
        <f t="shared" si="265"/>
        <v>0</v>
      </c>
    </row>
    <row r="1026" spans="1:25" hidden="1">
      <c r="A1026" t="str">
        <f t="shared" si="257"/>
        <v>Price 1979</v>
      </c>
      <c r="E1026">
        <v>1.419</v>
      </c>
      <c r="H1026">
        <f t="shared" si="268"/>
        <v>507</v>
      </c>
      <c r="I1026">
        <v>471.3</v>
      </c>
      <c r="J1026">
        <v>0</v>
      </c>
      <c r="P1026">
        <f t="shared" si="256"/>
        <v>1.4190000000000001E-2</v>
      </c>
      <c r="S1026">
        <f t="shared" si="259"/>
        <v>0</v>
      </c>
      <c r="T1026">
        <f t="shared" si="260"/>
        <v>0</v>
      </c>
      <c r="U1026">
        <f t="shared" si="261"/>
        <v>0</v>
      </c>
      <c r="V1026">
        <f t="shared" si="262"/>
        <v>0</v>
      </c>
      <c r="W1026">
        <f t="shared" si="263"/>
        <v>1</v>
      </c>
      <c r="X1026">
        <f t="shared" si="264"/>
        <v>0</v>
      </c>
      <c r="Y1026">
        <f t="shared" si="265"/>
        <v>0</v>
      </c>
    </row>
    <row r="1027" spans="1:25" hidden="1">
      <c r="A1027" t="str">
        <f t="shared" si="257"/>
        <v>Price 1979</v>
      </c>
      <c r="E1027">
        <v>1.538</v>
      </c>
      <c r="H1027">
        <f t="shared" si="268"/>
        <v>507</v>
      </c>
      <c r="I1027">
        <v>596.9</v>
      </c>
      <c r="J1027">
        <v>0</v>
      </c>
      <c r="P1027">
        <f t="shared" si="256"/>
        <v>1.538E-2</v>
      </c>
      <c r="S1027">
        <f t="shared" si="259"/>
        <v>0</v>
      </c>
      <c r="T1027">
        <f t="shared" si="260"/>
        <v>0</v>
      </c>
      <c r="U1027">
        <f t="shared" si="261"/>
        <v>0</v>
      </c>
      <c r="V1027">
        <f t="shared" si="262"/>
        <v>0</v>
      </c>
      <c r="W1027">
        <f t="shared" si="263"/>
        <v>1</v>
      </c>
      <c r="X1027">
        <f t="shared" si="264"/>
        <v>0</v>
      </c>
      <c r="Y1027">
        <f t="shared" si="265"/>
        <v>0</v>
      </c>
    </row>
    <row r="1028" spans="1:25" hidden="1">
      <c r="A1028" t="str">
        <f t="shared" si="257"/>
        <v>Price 1979</v>
      </c>
      <c r="E1028">
        <v>1.835</v>
      </c>
      <c r="H1028">
        <f t="shared" si="268"/>
        <v>507</v>
      </c>
      <c r="I1028">
        <v>781.2</v>
      </c>
      <c r="J1028">
        <v>0</v>
      </c>
      <c r="P1028">
        <f t="shared" si="256"/>
        <v>1.8349999999999998E-2</v>
      </c>
      <c r="S1028">
        <f t="shared" si="259"/>
        <v>0</v>
      </c>
      <c r="T1028">
        <f t="shared" si="260"/>
        <v>0</v>
      </c>
      <c r="U1028">
        <f t="shared" si="261"/>
        <v>0</v>
      </c>
      <c r="V1028">
        <f t="shared" si="262"/>
        <v>0</v>
      </c>
      <c r="W1028">
        <f t="shared" si="263"/>
        <v>1</v>
      </c>
      <c r="X1028">
        <f t="shared" si="264"/>
        <v>0</v>
      </c>
      <c r="Y1028">
        <f t="shared" si="265"/>
        <v>0</v>
      </c>
    </row>
    <row r="1029" spans="1:25" hidden="1">
      <c r="A1029" t="str">
        <f t="shared" si="257"/>
        <v>Price 1979</v>
      </c>
      <c r="E1029">
        <v>1.9770000000000001</v>
      </c>
      <c r="H1029">
        <f t="shared" si="268"/>
        <v>507</v>
      </c>
      <c r="I1029">
        <v>933.6</v>
      </c>
      <c r="J1029">
        <v>0</v>
      </c>
      <c r="P1029">
        <f t="shared" si="256"/>
        <v>1.9769999999999999E-2</v>
      </c>
      <c r="S1029">
        <f t="shared" si="259"/>
        <v>0</v>
      </c>
      <c r="T1029">
        <f t="shared" si="260"/>
        <v>0</v>
      </c>
      <c r="U1029">
        <f t="shared" si="261"/>
        <v>0</v>
      </c>
      <c r="V1029">
        <f t="shared" si="262"/>
        <v>0</v>
      </c>
      <c r="W1029">
        <f t="shared" si="263"/>
        <v>1</v>
      </c>
      <c r="X1029">
        <f t="shared" si="264"/>
        <v>0</v>
      </c>
      <c r="Y1029">
        <f t="shared" si="265"/>
        <v>0</v>
      </c>
    </row>
    <row r="1030" spans="1:25" hidden="1">
      <c r="A1030" t="str">
        <f t="shared" si="257"/>
        <v>Price 1979</v>
      </c>
      <c r="E1030">
        <v>2.1230000000000002</v>
      </c>
      <c r="H1030">
        <f t="shared" si="268"/>
        <v>507</v>
      </c>
      <c r="I1030">
        <v>1081.8</v>
      </c>
      <c r="J1030">
        <v>0</v>
      </c>
      <c r="P1030">
        <f t="shared" ref="P1030:P1061" si="269">E1030/100</f>
        <v>2.1230000000000002E-2</v>
      </c>
      <c r="S1030">
        <f t="shared" si="259"/>
        <v>0</v>
      </c>
      <c r="T1030">
        <f t="shared" si="260"/>
        <v>0</v>
      </c>
      <c r="U1030">
        <f t="shared" si="261"/>
        <v>0</v>
      </c>
      <c r="V1030">
        <f t="shared" si="262"/>
        <v>0</v>
      </c>
      <c r="W1030">
        <f t="shared" si="263"/>
        <v>1</v>
      </c>
      <c r="X1030">
        <f t="shared" si="264"/>
        <v>0</v>
      </c>
      <c r="Y1030">
        <f t="shared" si="265"/>
        <v>0</v>
      </c>
    </row>
    <row r="1031" spans="1:25" hidden="1">
      <c r="A1031" t="str">
        <f t="shared" ref="A1031:A1062" si="270">A1030</f>
        <v>Price 1979</v>
      </c>
      <c r="E1031">
        <v>2.0870000000000002</v>
      </c>
      <c r="H1031">
        <f t="shared" si="268"/>
        <v>507</v>
      </c>
      <c r="I1031">
        <v>1087.3</v>
      </c>
      <c r="J1031">
        <v>0</v>
      </c>
      <c r="P1031">
        <f t="shared" si="269"/>
        <v>2.0870000000000003E-2</v>
      </c>
      <c r="S1031">
        <f t="shared" si="259"/>
        <v>0</v>
      </c>
      <c r="T1031">
        <f t="shared" si="260"/>
        <v>0</v>
      </c>
      <c r="U1031">
        <f t="shared" si="261"/>
        <v>0</v>
      </c>
      <c r="V1031">
        <f t="shared" si="262"/>
        <v>0</v>
      </c>
      <c r="W1031">
        <f t="shared" si="263"/>
        <v>1</v>
      </c>
      <c r="X1031">
        <f t="shared" si="264"/>
        <v>0</v>
      </c>
      <c r="Y1031">
        <f t="shared" si="265"/>
        <v>0</v>
      </c>
    </row>
    <row r="1032" spans="1:25" hidden="1">
      <c r="A1032" t="str">
        <f t="shared" si="270"/>
        <v>Price 1979</v>
      </c>
      <c r="E1032">
        <v>2.2200000000000002</v>
      </c>
      <c r="H1032">
        <f t="shared" si="268"/>
        <v>507</v>
      </c>
      <c r="I1032">
        <v>1325.9</v>
      </c>
      <c r="J1032">
        <v>0</v>
      </c>
      <c r="P1032">
        <f t="shared" si="269"/>
        <v>2.2200000000000001E-2</v>
      </c>
      <c r="S1032">
        <f t="shared" si="259"/>
        <v>0</v>
      </c>
      <c r="T1032">
        <f t="shared" si="260"/>
        <v>0</v>
      </c>
      <c r="U1032">
        <f t="shared" si="261"/>
        <v>0</v>
      </c>
      <c r="V1032">
        <f t="shared" si="262"/>
        <v>0</v>
      </c>
      <c r="W1032">
        <f t="shared" si="263"/>
        <v>1</v>
      </c>
      <c r="X1032">
        <f t="shared" si="264"/>
        <v>0</v>
      </c>
      <c r="Y1032">
        <f t="shared" si="265"/>
        <v>0</v>
      </c>
    </row>
    <row r="1033" spans="1:25" hidden="1">
      <c r="A1033" t="str">
        <f t="shared" si="270"/>
        <v>Price 1979</v>
      </c>
      <c r="E1033">
        <v>2.2559999999999998</v>
      </c>
      <c r="H1033">
        <f t="shared" si="268"/>
        <v>507</v>
      </c>
      <c r="I1033">
        <v>1471.3</v>
      </c>
      <c r="J1033">
        <v>0</v>
      </c>
      <c r="P1033">
        <f t="shared" si="269"/>
        <v>2.2559999999999997E-2</v>
      </c>
      <c r="S1033">
        <f t="shared" si="259"/>
        <v>0</v>
      </c>
      <c r="T1033">
        <f t="shared" si="260"/>
        <v>0</v>
      </c>
      <c r="U1033">
        <f t="shared" si="261"/>
        <v>0</v>
      </c>
      <c r="V1033">
        <f t="shared" si="262"/>
        <v>0</v>
      </c>
      <c r="W1033">
        <f t="shared" si="263"/>
        <v>1</v>
      </c>
      <c r="X1033">
        <f t="shared" si="264"/>
        <v>0</v>
      </c>
      <c r="Y1033">
        <f t="shared" si="265"/>
        <v>0</v>
      </c>
    </row>
    <row r="1034" spans="1:25" hidden="1">
      <c r="A1034" t="str">
        <f t="shared" si="270"/>
        <v>Price 1979</v>
      </c>
      <c r="E1034">
        <v>2.3730000000000002</v>
      </c>
      <c r="H1034">
        <f t="shared" si="268"/>
        <v>507</v>
      </c>
      <c r="I1034">
        <v>1643</v>
      </c>
      <c r="J1034">
        <v>0</v>
      </c>
      <c r="P1034">
        <f t="shared" si="269"/>
        <v>2.3730000000000001E-2</v>
      </c>
      <c r="S1034">
        <f t="shared" si="259"/>
        <v>0</v>
      </c>
      <c r="T1034">
        <f t="shared" si="260"/>
        <v>0</v>
      </c>
      <c r="U1034">
        <f t="shared" si="261"/>
        <v>0</v>
      </c>
      <c r="V1034">
        <f t="shared" si="262"/>
        <v>0</v>
      </c>
      <c r="W1034">
        <f t="shared" si="263"/>
        <v>1</v>
      </c>
      <c r="X1034">
        <f t="shared" si="264"/>
        <v>0</v>
      </c>
      <c r="Y1034">
        <f t="shared" si="265"/>
        <v>0</v>
      </c>
    </row>
    <row r="1035" spans="1:25" hidden="1">
      <c r="A1035" t="str">
        <f t="shared" si="270"/>
        <v>Price 1979</v>
      </c>
      <c r="E1035">
        <v>0.85219999999999996</v>
      </c>
      <c r="H1035">
        <v>553</v>
      </c>
      <c r="I1035">
        <v>197.6</v>
      </c>
      <c r="J1035">
        <v>0</v>
      </c>
      <c r="P1035">
        <f t="shared" si="269"/>
        <v>8.5220000000000001E-3</v>
      </c>
      <c r="S1035">
        <f t="shared" si="259"/>
        <v>0</v>
      </c>
      <c r="T1035">
        <f t="shared" si="260"/>
        <v>0</v>
      </c>
      <c r="U1035">
        <f t="shared" si="261"/>
        <v>0</v>
      </c>
      <c r="V1035">
        <f t="shared" si="262"/>
        <v>0</v>
      </c>
      <c r="W1035">
        <f t="shared" si="263"/>
        <v>1</v>
      </c>
      <c r="X1035">
        <f t="shared" si="264"/>
        <v>0</v>
      </c>
      <c r="Y1035">
        <f t="shared" si="265"/>
        <v>0</v>
      </c>
    </row>
    <row r="1036" spans="1:25" hidden="1">
      <c r="A1036" t="str">
        <f t="shared" si="270"/>
        <v>Price 1979</v>
      </c>
      <c r="E1036">
        <v>1.3320000000000001</v>
      </c>
      <c r="H1036">
        <v>553</v>
      </c>
      <c r="I1036">
        <v>318.3</v>
      </c>
      <c r="J1036">
        <v>0</v>
      </c>
      <c r="P1036">
        <f t="shared" si="269"/>
        <v>1.332E-2</v>
      </c>
      <c r="S1036">
        <f t="shared" si="259"/>
        <v>0</v>
      </c>
      <c r="T1036">
        <f t="shared" si="260"/>
        <v>0</v>
      </c>
      <c r="U1036">
        <f t="shared" si="261"/>
        <v>0</v>
      </c>
      <c r="V1036">
        <f t="shared" si="262"/>
        <v>0</v>
      </c>
      <c r="W1036">
        <f t="shared" si="263"/>
        <v>1</v>
      </c>
      <c r="X1036">
        <f t="shared" si="264"/>
        <v>0</v>
      </c>
      <c r="Y1036">
        <f t="shared" si="265"/>
        <v>0</v>
      </c>
    </row>
    <row r="1037" spans="1:25" hidden="1">
      <c r="A1037" t="str">
        <f t="shared" si="270"/>
        <v>Price 1979</v>
      </c>
      <c r="E1037">
        <v>2.0979999999999999</v>
      </c>
      <c r="H1037">
        <v>553</v>
      </c>
      <c r="I1037">
        <v>479.4</v>
      </c>
      <c r="J1037">
        <v>0</v>
      </c>
      <c r="P1037">
        <f t="shared" si="269"/>
        <v>2.0979999999999999E-2</v>
      </c>
      <c r="S1037">
        <f t="shared" si="259"/>
        <v>0</v>
      </c>
      <c r="T1037">
        <f t="shared" si="260"/>
        <v>0</v>
      </c>
      <c r="U1037">
        <f t="shared" si="261"/>
        <v>0</v>
      </c>
      <c r="V1037">
        <f t="shared" si="262"/>
        <v>0</v>
      </c>
      <c r="W1037">
        <f t="shared" si="263"/>
        <v>1</v>
      </c>
      <c r="X1037">
        <f t="shared" si="264"/>
        <v>0</v>
      </c>
      <c r="Y1037">
        <f t="shared" si="265"/>
        <v>0</v>
      </c>
    </row>
    <row r="1038" spans="1:25" hidden="1">
      <c r="A1038" t="str">
        <f t="shared" si="270"/>
        <v>Price 1979</v>
      </c>
      <c r="E1038">
        <v>2.7050000000000001</v>
      </c>
      <c r="H1038">
        <v>553</v>
      </c>
      <c r="I1038">
        <v>701.2</v>
      </c>
      <c r="J1038">
        <v>0</v>
      </c>
      <c r="P1038">
        <f t="shared" si="269"/>
        <v>2.7050000000000001E-2</v>
      </c>
      <c r="S1038">
        <f t="shared" si="259"/>
        <v>0</v>
      </c>
      <c r="T1038">
        <f t="shared" si="260"/>
        <v>0</v>
      </c>
      <c r="U1038">
        <f t="shared" si="261"/>
        <v>0</v>
      </c>
      <c r="V1038">
        <f t="shared" si="262"/>
        <v>0</v>
      </c>
      <c r="W1038">
        <f t="shared" si="263"/>
        <v>1</v>
      </c>
      <c r="X1038">
        <f t="shared" si="264"/>
        <v>0</v>
      </c>
      <c r="Y1038">
        <f t="shared" si="265"/>
        <v>0</v>
      </c>
    </row>
    <row r="1039" spans="1:25" hidden="1">
      <c r="A1039" t="str">
        <f t="shared" si="270"/>
        <v>Price 1979</v>
      </c>
      <c r="E1039">
        <v>3.3079999999999998</v>
      </c>
      <c r="H1039">
        <v>553</v>
      </c>
      <c r="I1039">
        <v>999.1</v>
      </c>
      <c r="J1039">
        <v>0</v>
      </c>
      <c r="P1039">
        <f t="shared" si="269"/>
        <v>3.3079999999999998E-2</v>
      </c>
      <c r="S1039">
        <f t="shared" ref="S1039:S1068" si="271">S1038</f>
        <v>0</v>
      </c>
      <c r="T1039">
        <f t="shared" ref="T1039:T1068" si="272">T1038</f>
        <v>0</v>
      </c>
      <c r="U1039">
        <f t="shared" ref="U1039:U1068" si="273">U1038</f>
        <v>0</v>
      </c>
      <c r="V1039">
        <f t="shared" ref="V1039:V1068" si="274">V1038</f>
        <v>0</v>
      </c>
      <c r="W1039">
        <f t="shared" ref="W1039:W1068" si="275">W1038</f>
        <v>1</v>
      </c>
      <c r="X1039">
        <f t="shared" ref="X1039:X1068" si="276">X1038</f>
        <v>0</v>
      </c>
      <c r="Y1039">
        <f t="shared" ref="Y1039:Y1068" si="277">Y1038</f>
        <v>0</v>
      </c>
    </row>
    <row r="1040" spans="1:25" hidden="1">
      <c r="A1040" t="str">
        <f t="shared" si="270"/>
        <v>Price 1979</v>
      </c>
      <c r="E1040">
        <v>3.4729999999999999</v>
      </c>
      <c r="H1040">
        <v>553</v>
      </c>
      <c r="I1040">
        <v>1263.8</v>
      </c>
      <c r="J1040">
        <v>0</v>
      </c>
      <c r="P1040">
        <f t="shared" si="269"/>
        <v>3.4729999999999997E-2</v>
      </c>
      <c r="S1040">
        <f t="shared" si="271"/>
        <v>0</v>
      </c>
      <c r="T1040">
        <f t="shared" si="272"/>
        <v>0</v>
      </c>
      <c r="U1040">
        <f t="shared" si="273"/>
        <v>0</v>
      </c>
      <c r="V1040">
        <f t="shared" si="274"/>
        <v>0</v>
      </c>
      <c r="W1040">
        <f t="shared" si="275"/>
        <v>1</v>
      </c>
      <c r="X1040">
        <f t="shared" si="276"/>
        <v>0</v>
      </c>
      <c r="Y1040">
        <f t="shared" si="277"/>
        <v>0</v>
      </c>
    </row>
    <row r="1041" spans="1:25" hidden="1">
      <c r="A1041" t="str">
        <f t="shared" si="270"/>
        <v>Price 1979</v>
      </c>
      <c r="E1041">
        <v>3.7080000000000002</v>
      </c>
      <c r="H1041">
        <f>H1040</f>
        <v>553</v>
      </c>
      <c r="I1041">
        <v>1518.2</v>
      </c>
      <c r="J1041">
        <v>0</v>
      </c>
      <c r="P1041">
        <f t="shared" si="269"/>
        <v>3.7080000000000002E-2</v>
      </c>
      <c r="S1041">
        <f t="shared" si="271"/>
        <v>0</v>
      </c>
      <c r="T1041">
        <f t="shared" si="272"/>
        <v>0</v>
      </c>
      <c r="U1041">
        <f t="shared" si="273"/>
        <v>0</v>
      </c>
      <c r="V1041">
        <f t="shared" si="274"/>
        <v>0</v>
      </c>
      <c r="W1041">
        <f t="shared" si="275"/>
        <v>1</v>
      </c>
      <c r="X1041">
        <f t="shared" si="276"/>
        <v>0</v>
      </c>
      <c r="Y1041">
        <f t="shared" si="277"/>
        <v>0</v>
      </c>
    </row>
    <row r="1042" spans="1:25" hidden="1">
      <c r="A1042" t="str">
        <f t="shared" si="270"/>
        <v>Price 1979</v>
      </c>
      <c r="E1042">
        <v>3.835</v>
      </c>
      <c r="H1042">
        <f>H1041</f>
        <v>553</v>
      </c>
      <c r="I1042">
        <v>1594.1</v>
      </c>
      <c r="J1042">
        <v>0</v>
      </c>
      <c r="P1042">
        <f t="shared" si="269"/>
        <v>3.8350000000000002E-2</v>
      </c>
      <c r="S1042">
        <f t="shared" si="271"/>
        <v>0</v>
      </c>
      <c r="T1042">
        <f t="shared" si="272"/>
        <v>0</v>
      </c>
      <c r="U1042">
        <f t="shared" si="273"/>
        <v>0</v>
      </c>
      <c r="V1042">
        <f t="shared" si="274"/>
        <v>0</v>
      </c>
      <c r="W1042">
        <f t="shared" si="275"/>
        <v>1</v>
      </c>
      <c r="X1042">
        <f t="shared" si="276"/>
        <v>0</v>
      </c>
      <c r="Y1042">
        <f t="shared" si="277"/>
        <v>0</v>
      </c>
    </row>
    <row r="1043" spans="1:25" hidden="1">
      <c r="A1043" t="str">
        <f t="shared" si="270"/>
        <v>Price 1979</v>
      </c>
      <c r="E1043">
        <v>4.0430000000000001</v>
      </c>
      <c r="H1043">
        <f>H1042</f>
        <v>553</v>
      </c>
      <c r="I1043">
        <v>1889.2</v>
      </c>
      <c r="J1043">
        <v>0</v>
      </c>
      <c r="P1043">
        <f t="shared" si="269"/>
        <v>4.0430000000000001E-2</v>
      </c>
      <c r="S1043">
        <f t="shared" si="271"/>
        <v>0</v>
      </c>
      <c r="T1043">
        <f t="shared" si="272"/>
        <v>0</v>
      </c>
      <c r="U1043">
        <f t="shared" si="273"/>
        <v>0</v>
      </c>
      <c r="V1043">
        <f t="shared" si="274"/>
        <v>0</v>
      </c>
      <c r="W1043">
        <f t="shared" si="275"/>
        <v>1</v>
      </c>
      <c r="X1043">
        <f t="shared" si="276"/>
        <v>0</v>
      </c>
      <c r="Y1043">
        <f t="shared" si="277"/>
        <v>0</v>
      </c>
    </row>
    <row r="1044" spans="1:25" hidden="1">
      <c r="A1044" t="str">
        <f t="shared" si="270"/>
        <v>Price 1979</v>
      </c>
      <c r="E1044">
        <v>0.29620000000000002</v>
      </c>
      <c r="H1044">
        <v>565</v>
      </c>
      <c r="I1044">
        <v>108</v>
      </c>
      <c r="J1044">
        <v>0</v>
      </c>
      <c r="P1044">
        <f t="shared" si="269"/>
        <v>2.9620000000000002E-3</v>
      </c>
      <c r="S1044">
        <f t="shared" si="271"/>
        <v>0</v>
      </c>
      <c r="T1044">
        <f t="shared" si="272"/>
        <v>0</v>
      </c>
      <c r="U1044">
        <f t="shared" si="273"/>
        <v>0</v>
      </c>
      <c r="V1044">
        <f t="shared" si="274"/>
        <v>0</v>
      </c>
      <c r="W1044">
        <f t="shared" si="275"/>
        <v>1</v>
      </c>
      <c r="X1044">
        <f t="shared" si="276"/>
        <v>0</v>
      </c>
      <c r="Y1044">
        <f t="shared" si="277"/>
        <v>0</v>
      </c>
    </row>
    <row r="1045" spans="1:25" hidden="1">
      <c r="A1045" t="str">
        <f t="shared" si="270"/>
        <v>Price 1979</v>
      </c>
      <c r="E1045">
        <v>0.88180000000000003</v>
      </c>
      <c r="H1045">
        <f t="shared" ref="H1045:H1050" si="278">H1044</f>
        <v>565</v>
      </c>
      <c r="I1045">
        <v>191</v>
      </c>
      <c r="J1045">
        <v>0</v>
      </c>
      <c r="P1045">
        <f t="shared" si="269"/>
        <v>8.8179999999999994E-3</v>
      </c>
      <c r="S1045">
        <f t="shared" si="271"/>
        <v>0</v>
      </c>
      <c r="T1045">
        <f t="shared" si="272"/>
        <v>0</v>
      </c>
      <c r="U1045">
        <f t="shared" si="273"/>
        <v>0</v>
      </c>
      <c r="V1045">
        <f t="shared" si="274"/>
        <v>0</v>
      </c>
      <c r="W1045">
        <f t="shared" si="275"/>
        <v>1</v>
      </c>
      <c r="X1045">
        <f t="shared" si="276"/>
        <v>0</v>
      </c>
      <c r="Y1045">
        <f t="shared" si="277"/>
        <v>0</v>
      </c>
    </row>
    <row r="1046" spans="1:25" hidden="1">
      <c r="A1046" t="str">
        <f t="shared" si="270"/>
        <v>Price 1979</v>
      </c>
      <c r="E1046">
        <v>1.51</v>
      </c>
      <c r="H1046">
        <f t="shared" si="278"/>
        <v>565</v>
      </c>
      <c r="I1046">
        <v>299</v>
      </c>
      <c r="J1046">
        <v>0</v>
      </c>
      <c r="P1046">
        <f t="shared" si="269"/>
        <v>1.5100000000000001E-2</v>
      </c>
      <c r="S1046">
        <f t="shared" si="271"/>
        <v>0</v>
      </c>
      <c r="T1046">
        <f t="shared" si="272"/>
        <v>0</v>
      </c>
      <c r="U1046">
        <f t="shared" si="273"/>
        <v>0</v>
      </c>
      <c r="V1046">
        <f t="shared" si="274"/>
        <v>0</v>
      </c>
      <c r="W1046">
        <f t="shared" si="275"/>
        <v>1</v>
      </c>
      <c r="X1046">
        <f t="shared" si="276"/>
        <v>0</v>
      </c>
      <c r="Y1046">
        <f t="shared" si="277"/>
        <v>0</v>
      </c>
    </row>
    <row r="1047" spans="1:25" hidden="1">
      <c r="A1047" t="str">
        <f t="shared" si="270"/>
        <v>Price 1979</v>
      </c>
      <c r="E1047">
        <v>3.649</v>
      </c>
      <c r="H1047">
        <f t="shared" si="278"/>
        <v>565</v>
      </c>
      <c r="I1047">
        <v>905.3</v>
      </c>
      <c r="J1047">
        <v>0</v>
      </c>
      <c r="P1047">
        <f t="shared" si="269"/>
        <v>3.6490000000000002E-2</v>
      </c>
      <c r="S1047">
        <f t="shared" si="271"/>
        <v>0</v>
      </c>
      <c r="T1047">
        <f t="shared" si="272"/>
        <v>0</v>
      </c>
      <c r="U1047">
        <f t="shared" si="273"/>
        <v>0</v>
      </c>
      <c r="V1047">
        <f t="shared" si="274"/>
        <v>0</v>
      </c>
      <c r="W1047">
        <f t="shared" si="275"/>
        <v>1</v>
      </c>
      <c r="X1047">
        <f t="shared" si="276"/>
        <v>0</v>
      </c>
      <c r="Y1047">
        <f t="shared" si="277"/>
        <v>0</v>
      </c>
    </row>
    <row r="1048" spans="1:25" hidden="1">
      <c r="A1048" t="str">
        <f t="shared" si="270"/>
        <v>Price 1979</v>
      </c>
      <c r="E1048">
        <v>3.8530000000000002</v>
      </c>
      <c r="H1048">
        <f t="shared" si="278"/>
        <v>565</v>
      </c>
      <c r="I1048">
        <v>1099</v>
      </c>
      <c r="J1048">
        <v>0</v>
      </c>
      <c r="P1048">
        <f t="shared" si="269"/>
        <v>3.8530000000000002E-2</v>
      </c>
      <c r="S1048">
        <f t="shared" si="271"/>
        <v>0</v>
      </c>
      <c r="T1048">
        <f t="shared" si="272"/>
        <v>0</v>
      </c>
      <c r="U1048">
        <f t="shared" si="273"/>
        <v>0</v>
      </c>
      <c r="V1048">
        <f t="shared" si="274"/>
        <v>0</v>
      </c>
      <c r="W1048">
        <f t="shared" si="275"/>
        <v>1</v>
      </c>
      <c r="X1048">
        <f t="shared" si="276"/>
        <v>0</v>
      </c>
      <c r="Y1048">
        <f t="shared" si="277"/>
        <v>0</v>
      </c>
    </row>
    <row r="1049" spans="1:25" hidden="1">
      <c r="A1049" t="str">
        <f t="shared" si="270"/>
        <v>Price 1979</v>
      </c>
      <c r="E1049">
        <v>4.4059999999999997</v>
      </c>
      <c r="H1049">
        <f t="shared" si="278"/>
        <v>565</v>
      </c>
      <c r="I1049">
        <v>1520.3</v>
      </c>
      <c r="J1049">
        <v>0</v>
      </c>
      <c r="P1049">
        <f t="shared" si="269"/>
        <v>4.4059999999999995E-2</v>
      </c>
      <c r="S1049">
        <f t="shared" si="271"/>
        <v>0</v>
      </c>
      <c r="T1049">
        <f t="shared" si="272"/>
        <v>0</v>
      </c>
      <c r="U1049">
        <f t="shared" si="273"/>
        <v>0</v>
      </c>
      <c r="V1049">
        <f t="shared" si="274"/>
        <v>0</v>
      </c>
      <c r="W1049">
        <f t="shared" si="275"/>
        <v>1</v>
      </c>
      <c r="X1049">
        <f t="shared" si="276"/>
        <v>0</v>
      </c>
      <c r="Y1049">
        <f t="shared" si="277"/>
        <v>0</v>
      </c>
    </row>
    <row r="1050" spans="1:25" hidden="1">
      <c r="A1050" t="str">
        <f t="shared" si="270"/>
        <v>Price 1979</v>
      </c>
      <c r="E1050">
        <v>4.5869999999999997</v>
      </c>
      <c r="H1050">
        <f t="shared" si="278"/>
        <v>565</v>
      </c>
      <c r="I1050">
        <v>1689.2</v>
      </c>
      <c r="J1050">
        <v>0</v>
      </c>
      <c r="P1050">
        <f t="shared" si="269"/>
        <v>4.5869999999999994E-2</v>
      </c>
      <c r="S1050">
        <f t="shared" si="271"/>
        <v>0</v>
      </c>
      <c r="T1050">
        <f t="shared" si="272"/>
        <v>0</v>
      </c>
      <c r="U1050">
        <f t="shared" si="273"/>
        <v>0</v>
      </c>
      <c r="V1050">
        <f t="shared" si="274"/>
        <v>0</v>
      </c>
      <c r="W1050">
        <f t="shared" si="275"/>
        <v>1</v>
      </c>
      <c r="X1050">
        <f t="shared" si="276"/>
        <v>0</v>
      </c>
      <c r="Y1050">
        <f t="shared" si="277"/>
        <v>0</v>
      </c>
    </row>
    <row r="1051" spans="1:25" hidden="1">
      <c r="A1051" t="str">
        <f t="shared" si="270"/>
        <v>Price 1979</v>
      </c>
      <c r="E1051">
        <v>0.14680000000000001</v>
      </c>
      <c r="H1051">
        <v>589</v>
      </c>
      <c r="I1051">
        <v>112.5</v>
      </c>
      <c r="J1051">
        <v>0</v>
      </c>
      <c r="P1051">
        <f t="shared" si="269"/>
        <v>1.4680000000000001E-3</v>
      </c>
      <c r="S1051">
        <f t="shared" si="271"/>
        <v>0</v>
      </c>
      <c r="T1051">
        <f t="shared" si="272"/>
        <v>0</v>
      </c>
      <c r="U1051">
        <f t="shared" si="273"/>
        <v>0</v>
      </c>
      <c r="V1051">
        <f t="shared" si="274"/>
        <v>0</v>
      </c>
      <c r="W1051">
        <f t="shared" si="275"/>
        <v>1</v>
      </c>
      <c r="X1051">
        <f t="shared" si="276"/>
        <v>0</v>
      </c>
      <c r="Y1051">
        <f t="shared" si="277"/>
        <v>0</v>
      </c>
    </row>
    <row r="1052" spans="1:25" hidden="1">
      <c r="A1052" t="str">
        <f t="shared" si="270"/>
        <v>Price 1979</v>
      </c>
      <c r="E1052">
        <v>1.7330000000000001</v>
      </c>
      <c r="H1052">
        <f t="shared" ref="H1052:H1058" si="279">H1051</f>
        <v>589</v>
      </c>
      <c r="I1052">
        <v>250.3</v>
      </c>
      <c r="J1052">
        <v>0</v>
      </c>
      <c r="P1052">
        <f t="shared" si="269"/>
        <v>1.7330000000000002E-2</v>
      </c>
      <c r="S1052">
        <f t="shared" si="271"/>
        <v>0</v>
      </c>
      <c r="T1052">
        <f t="shared" si="272"/>
        <v>0</v>
      </c>
      <c r="U1052">
        <f t="shared" si="273"/>
        <v>0</v>
      </c>
      <c r="V1052">
        <f t="shared" si="274"/>
        <v>0</v>
      </c>
      <c r="W1052">
        <f t="shared" si="275"/>
        <v>1</v>
      </c>
      <c r="X1052">
        <f t="shared" si="276"/>
        <v>0</v>
      </c>
      <c r="Y1052">
        <f t="shared" si="277"/>
        <v>0</v>
      </c>
    </row>
    <row r="1053" spans="1:25" hidden="1">
      <c r="A1053" t="str">
        <f t="shared" si="270"/>
        <v>Price 1979</v>
      </c>
      <c r="E1053">
        <v>4.2110000000000003</v>
      </c>
      <c r="H1053">
        <f t="shared" si="279"/>
        <v>589</v>
      </c>
      <c r="I1053">
        <v>534.1</v>
      </c>
      <c r="J1053">
        <v>0</v>
      </c>
      <c r="P1053">
        <f t="shared" si="269"/>
        <v>4.2110000000000002E-2</v>
      </c>
      <c r="S1053">
        <f t="shared" si="271"/>
        <v>0</v>
      </c>
      <c r="T1053">
        <f t="shared" si="272"/>
        <v>0</v>
      </c>
      <c r="U1053">
        <f t="shared" si="273"/>
        <v>0</v>
      </c>
      <c r="V1053">
        <f t="shared" si="274"/>
        <v>0</v>
      </c>
      <c r="W1053">
        <f t="shared" si="275"/>
        <v>1</v>
      </c>
      <c r="X1053">
        <f t="shared" si="276"/>
        <v>0</v>
      </c>
      <c r="Y1053">
        <f t="shared" si="277"/>
        <v>0</v>
      </c>
    </row>
    <row r="1054" spans="1:25" hidden="1">
      <c r="A1054" t="str">
        <f t="shared" si="270"/>
        <v>Price 1979</v>
      </c>
      <c r="E1054">
        <v>4.9539999999999997</v>
      </c>
      <c r="H1054">
        <f t="shared" si="279"/>
        <v>589</v>
      </c>
      <c r="I1054">
        <v>719.8</v>
      </c>
      <c r="J1054">
        <v>0</v>
      </c>
      <c r="P1054">
        <f t="shared" si="269"/>
        <v>4.9540000000000001E-2</v>
      </c>
      <c r="S1054">
        <f t="shared" si="271"/>
        <v>0</v>
      </c>
      <c r="T1054">
        <f t="shared" si="272"/>
        <v>0</v>
      </c>
      <c r="U1054">
        <f t="shared" si="273"/>
        <v>0</v>
      </c>
      <c r="V1054">
        <f t="shared" si="274"/>
        <v>0</v>
      </c>
      <c r="W1054">
        <f t="shared" si="275"/>
        <v>1</v>
      </c>
      <c r="X1054">
        <f t="shared" si="276"/>
        <v>0</v>
      </c>
      <c r="Y1054">
        <f t="shared" si="277"/>
        <v>0</v>
      </c>
    </row>
    <row r="1055" spans="1:25" hidden="1">
      <c r="A1055" t="str">
        <f t="shared" si="270"/>
        <v>Price 1979</v>
      </c>
      <c r="E1055">
        <v>5.5209999999999999</v>
      </c>
      <c r="H1055">
        <f t="shared" si="279"/>
        <v>589</v>
      </c>
      <c r="I1055">
        <v>923.2</v>
      </c>
      <c r="J1055">
        <v>0</v>
      </c>
      <c r="P1055">
        <f t="shared" si="269"/>
        <v>5.5210000000000002E-2</v>
      </c>
      <c r="S1055">
        <f t="shared" si="271"/>
        <v>0</v>
      </c>
      <c r="T1055">
        <f t="shared" si="272"/>
        <v>0</v>
      </c>
      <c r="U1055">
        <f t="shared" si="273"/>
        <v>0</v>
      </c>
      <c r="V1055">
        <f t="shared" si="274"/>
        <v>0</v>
      </c>
      <c r="W1055">
        <f t="shared" si="275"/>
        <v>1</v>
      </c>
      <c r="X1055">
        <f t="shared" si="276"/>
        <v>0</v>
      </c>
      <c r="Y1055">
        <f t="shared" si="277"/>
        <v>0</v>
      </c>
    </row>
    <row r="1056" spans="1:25" hidden="1">
      <c r="A1056" t="str">
        <f t="shared" si="270"/>
        <v>Price 1979</v>
      </c>
      <c r="E1056">
        <v>6.2140000000000004</v>
      </c>
      <c r="H1056">
        <f t="shared" si="279"/>
        <v>589</v>
      </c>
      <c r="I1056">
        <v>1172.8</v>
      </c>
      <c r="J1056">
        <v>0</v>
      </c>
      <c r="P1056">
        <f t="shared" si="269"/>
        <v>6.2140000000000001E-2</v>
      </c>
      <c r="S1056">
        <f t="shared" si="271"/>
        <v>0</v>
      </c>
      <c r="T1056">
        <f t="shared" si="272"/>
        <v>0</v>
      </c>
      <c r="U1056">
        <f t="shared" si="273"/>
        <v>0</v>
      </c>
      <c r="V1056">
        <f t="shared" si="274"/>
        <v>0</v>
      </c>
      <c r="W1056">
        <f t="shared" si="275"/>
        <v>1</v>
      </c>
      <c r="X1056">
        <f t="shared" si="276"/>
        <v>0</v>
      </c>
      <c r="Y1056">
        <f t="shared" si="277"/>
        <v>0</v>
      </c>
    </row>
    <row r="1057" spans="1:25" hidden="1">
      <c r="A1057" t="str">
        <f t="shared" si="270"/>
        <v>Price 1979</v>
      </c>
      <c r="E1057">
        <v>6.6740000000000004</v>
      </c>
      <c r="H1057">
        <f t="shared" si="279"/>
        <v>589</v>
      </c>
      <c r="I1057">
        <v>1654.1</v>
      </c>
      <c r="J1057">
        <v>0</v>
      </c>
      <c r="P1057">
        <f t="shared" si="269"/>
        <v>6.6740000000000008E-2</v>
      </c>
      <c r="S1057">
        <f t="shared" si="271"/>
        <v>0</v>
      </c>
      <c r="T1057">
        <f t="shared" si="272"/>
        <v>0</v>
      </c>
      <c r="U1057">
        <f t="shared" si="273"/>
        <v>0</v>
      </c>
      <c r="V1057">
        <f t="shared" si="274"/>
        <v>0</v>
      </c>
      <c r="W1057">
        <f t="shared" si="275"/>
        <v>1</v>
      </c>
      <c r="X1057">
        <f t="shared" si="276"/>
        <v>0</v>
      </c>
      <c r="Y1057">
        <f t="shared" si="277"/>
        <v>0</v>
      </c>
    </row>
    <row r="1058" spans="1:25" hidden="1">
      <c r="A1058" t="str">
        <f t="shared" si="270"/>
        <v>Price 1979</v>
      </c>
      <c r="E1058">
        <v>6.9169999999999998</v>
      </c>
      <c r="H1058">
        <f t="shared" si="279"/>
        <v>589</v>
      </c>
      <c r="I1058">
        <v>1913.3</v>
      </c>
      <c r="J1058">
        <v>0</v>
      </c>
      <c r="P1058">
        <f t="shared" si="269"/>
        <v>6.9169999999999995E-2</v>
      </c>
      <c r="S1058">
        <f t="shared" si="271"/>
        <v>0</v>
      </c>
      <c r="T1058">
        <f t="shared" si="272"/>
        <v>0</v>
      </c>
      <c r="U1058">
        <f t="shared" si="273"/>
        <v>0</v>
      </c>
      <c r="V1058">
        <f t="shared" si="274"/>
        <v>0</v>
      </c>
      <c r="W1058">
        <f t="shared" si="275"/>
        <v>1</v>
      </c>
      <c r="X1058">
        <f t="shared" si="276"/>
        <v>0</v>
      </c>
      <c r="Y1058">
        <f t="shared" si="277"/>
        <v>0</v>
      </c>
    </row>
    <row r="1059" spans="1:25" hidden="1">
      <c r="A1059" t="str">
        <f t="shared" si="270"/>
        <v>Price 1979</v>
      </c>
      <c r="E1059">
        <v>0.61339999999999995</v>
      </c>
      <c r="H1059">
        <v>627</v>
      </c>
      <c r="I1059">
        <v>195.6</v>
      </c>
      <c r="J1059">
        <v>0</v>
      </c>
      <c r="P1059">
        <f t="shared" si="269"/>
        <v>6.1339999999999997E-3</v>
      </c>
      <c r="S1059">
        <f t="shared" si="271"/>
        <v>0</v>
      </c>
      <c r="T1059">
        <f t="shared" si="272"/>
        <v>0</v>
      </c>
      <c r="U1059">
        <f t="shared" si="273"/>
        <v>0</v>
      </c>
      <c r="V1059">
        <f t="shared" si="274"/>
        <v>0</v>
      </c>
      <c r="W1059">
        <f t="shared" si="275"/>
        <v>1</v>
      </c>
      <c r="X1059">
        <f t="shared" si="276"/>
        <v>0</v>
      </c>
      <c r="Y1059">
        <f t="shared" si="277"/>
        <v>0</v>
      </c>
    </row>
    <row r="1060" spans="1:25" hidden="1">
      <c r="A1060" t="str">
        <f t="shared" si="270"/>
        <v>Price 1979</v>
      </c>
      <c r="E1060">
        <v>1.766</v>
      </c>
      <c r="H1060">
        <f t="shared" ref="H1060:H1068" si="280">H1059</f>
        <v>627</v>
      </c>
      <c r="I1060">
        <v>250.3</v>
      </c>
      <c r="J1060">
        <v>0</v>
      </c>
      <c r="P1060">
        <f t="shared" si="269"/>
        <v>1.7659999999999999E-2</v>
      </c>
      <c r="S1060">
        <f t="shared" si="271"/>
        <v>0</v>
      </c>
      <c r="T1060">
        <f t="shared" si="272"/>
        <v>0</v>
      </c>
      <c r="U1060">
        <f t="shared" si="273"/>
        <v>0</v>
      </c>
      <c r="V1060">
        <f t="shared" si="274"/>
        <v>0</v>
      </c>
      <c r="W1060">
        <f t="shared" si="275"/>
        <v>1</v>
      </c>
      <c r="X1060">
        <f t="shared" si="276"/>
        <v>0</v>
      </c>
      <c r="Y1060">
        <f t="shared" si="277"/>
        <v>0</v>
      </c>
    </row>
    <row r="1061" spans="1:25" hidden="1">
      <c r="A1061" t="str">
        <f t="shared" si="270"/>
        <v>Price 1979</v>
      </c>
      <c r="E1061">
        <v>3.52</v>
      </c>
      <c r="H1061">
        <f t="shared" si="280"/>
        <v>627</v>
      </c>
      <c r="I1061">
        <v>323.3</v>
      </c>
      <c r="J1061">
        <v>0</v>
      </c>
      <c r="P1061">
        <f t="shared" si="269"/>
        <v>3.5200000000000002E-2</v>
      </c>
      <c r="S1061">
        <f t="shared" si="271"/>
        <v>0</v>
      </c>
      <c r="T1061">
        <f t="shared" si="272"/>
        <v>0</v>
      </c>
      <c r="U1061">
        <f t="shared" si="273"/>
        <v>0</v>
      </c>
      <c r="V1061">
        <f t="shared" si="274"/>
        <v>0</v>
      </c>
      <c r="W1061">
        <f t="shared" si="275"/>
        <v>1</v>
      </c>
      <c r="X1061">
        <f t="shared" si="276"/>
        <v>0</v>
      </c>
      <c r="Y1061">
        <f t="shared" si="277"/>
        <v>0</v>
      </c>
    </row>
    <row r="1062" spans="1:25" hidden="1">
      <c r="A1062" t="str">
        <f t="shared" si="270"/>
        <v>Price 1979</v>
      </c>
      <c r="E1062">
        <v>5.5339999999999998</v>
      </c>
      <c r="H1062">
        <f t="shared" si="280"/>
        <v>627</v>
      </c>
      <c r="I1062">
        <v>425.7</v>
      </c>
      <c r="J1062">
        <v>0</v>
      </c>
      <c r="P1062">
        <f t="shared" ref="P1062:P1068" si="281">E1062/100</f>
        <v>5.534E-2</v>
      </c>
      <c r="S1062">
        <f t="shared" si="271"/>
        <v>0</v>
      </c>
      <c r="T1062">
        <f t="shared" si="272"/>
        <v>0</v>
      </c>
      <c r="U1062">
        <f t="shared" si="273"/>
        <v>0</v>
      </c>
      <c r="V1062">
        <f t="shared" si="274"/>
        <v>0</v>
      </c>
      <c r="W1062">
        <f t="shared" si="275"/>
        <v>1</v>
      </c>
      <c r="X1062">
        <f t="shared" si="276"/>
        <v>0</v>
      </c>
      <c r="Y1062">
        <f t="shared" si="277"/>
        <v>0</v>
      </c>
    </row>
    <row r="1063" spans="1:25" hidden="1">
      <c r="A1063" t="str">
        <f t="shared" ref="A1063:A1068" si="282">A1062</f>
        <v>Price 1979</v>
      </c>
      <c r="E1063">
        <v>6.407</v>
      </c>
      <c r="H1063">
        <f t="shared" si="280"/>
        <v>627</v>
      </c>
      <c r="I1063">
        <v>530.1</v>
      </c>
      <c r="J1063">
        <v>0</v>
      </c>
      <c r="P1063">
        <f t="shared" si="281"/>
        <v>6.4070000000000002E-2</v>
      </c>
      <c r="S1063">
        <f t="shared" si="271"/>
        <v>0</v>
      </c>
      <c r="T1063">
        <f t="shared" si="272"/>
        <v>0</v>
      </c>
      <c r="U1063">
        <f t="shared" si="273"/>
        <v>0</v>
      </c>
      <c r="V1063">
        <f t="shared" si="274"/>
        <v>0</v>
      </c>
      <c r="W1063">
        <f t="shared" si="275"/>
        <v>1</v>
      </c>
      <c r="X1063">
        <f t="shared" si="276"/>
        <v>0</v>
      </c>
      <c r="Y1063">
        <f t="shared" si="277"/>
        <v>0</v>
      </c>
    </row>
    <row r="1064" spans="1:25" hidden="1">
      <c r="A1064" t="str">
        <f t="shared" si="282"/>
        <v>Price 1979</v>
      </c>
      <c r="E1064">
        <v>8.7799999999999994</v>
      </c>
      <c r="H1064">
        <f t="shared" si="280"/>
        <v>627</v>
      </c>
      <c r="I1064">
        <v>1090.8</v>
      </c>
      <c r="J1064">
        <v>0</v>
      </c>
      <c r="P1064">
        <f t="shared" si="281"/>
        <v>8.7799999999999989E-2</v>
      </c>
      <c r="S1064">
        <f t="shared" si="271"/>
        <v>0</v>
      </c>
      <c r="T1064">
        <f t="shared" si="272"/>
        <v>0</v>
      </c>
      <c r="U1064">
        <f t="shared" si="273"/>
        <v>0</v>
      </c>
      <c r="V1064">
        <f t="shared" si="274"/>
        <v>0</v>
      </c>
      <c r="W1064">
        <f t="shared" si="275"/>
        <v>1</v>
      </c>
      <c r="X1064">
        <f t="shared" si="276"/>
        <v>0</v>
      </c>
      <c r="Y1064">
        <f t="shared" si="277"/>
        <v>0</v>
      </c>
    </row>
    <row r="1065" spans="1:25" hidden="1">
      <c r="A1065" t="str">
        <f t="shared" si="282"/>
        <v>Price 1979</v>
      </c>
      <c r="E1065">
        <v>9.1809999999999992</v>
      </c>
      <c r="H1065">
        <f t="shared" si="280"/>
        <v>627</v>
      </c>
      <c r="I1065">
        <v>1272.8</v>
      </c>
      <c r="J1065">
        <v>0</v>
      </c>
      <c r="P1065">
        <f t="shared" si="281"/>
        <v>9.1809999999999989E-2</v>
      </c>
      <c r="S1065">
        <f t="shared" si="271"/>
        <v>0</v>
      </c>
      <c r="T1065">
        <f t="shared" si="272"/>
        <v>0</v>
      </c>
      <c r="U1065">
        <f t="shared" si="273"/>
        <v>0</v>
      </c>
      <c r="V1065">
        <f t="shared" si="274"/>
        <v>0</v>
      </c>
      <c r="W1065">
        <f t="shared" si="275"/>
        <v>1</v>
      </c>
      <c r="X1065">
        <f t="shared" si="276"/>
        <v>0</v>
      </c>
      <c r="Y1065">
        <f t="shared" si="277"/>
        <v>0</v>
      </c>
    </row>
    <row r="1066" spans="1:25" hidden="1">
      <c r="A1066" t="str">
        <f t="shared" si="282"/>
        <v>Price 1979</v>
      </c>
      <c r="E1066">
        <v>10.17</v>
      </c>
      <c r="H1066">
        <f t="shared" si="280"/>
        <v>627</v>
      </c>
      <c r="I1066">
        <v>1699.6</v>
      </c>
      <c r="J1066">
        <v>0</v>
      </c>
      <c r="P1066">
        <f t="shared" si="281"/>
        <v>0.1017</v>
      </c>
      <c r="S1066">
        <f t="shared" si="271"/>
        <v>0</v>
      </c>
      <c r="T1066">
        <f t="shared" si="272"/>
        <v>0</v>
      </c>
      <c r="U1066">
        <f t="shared" si="273"/>
        <v>0</v>
      </c>
      <c r="V1066">
        <f t="shared" si="274"/>
        <v>0</v>
      </c>
      <c r="W1066">
        <f t="shared" si="275"/>
        <v>1</v>
      </c>
      <c r="X1066">
        <f t="shared" si="276"/>
        <v>0</v>
      </c>
      <c r="Y1066">
        <f t="shared" si="277"/>
        <v>0</v>
      </c>
    </row>
    <row r="1067" spans="1:25" hidden="1">
      <c r="A1067" t="str">
        <f t="shared" si="282"/>
        <v>Price 1979</v>
      </c>
      <c r="E1067">
        <v>10.53</v>
      </c>
      <c r="H1067">
        <f t="shared" si="280"/>
        <v>627</v>
      </c>
      <c r="I1067">
        <v>1857.4</v>
      </c>
      <c r="J1067">
        <v>0</v>
      </c>
      <c r="P1067">
        <f t="shared" si="281"/>
        <v>0.10529999999999999</v>
      </c>
      <c r="S1067">
        <f t="shared" si="271"/>
        <v>0</v>
      </c>
      <c r="T1067">
        <f t="shared" si="272"/>
        <v>0</v>
      </c>
      <c r="U1067">
        <f t="shared" si="273"/>
        <v>0</v>
      </c>
      <c r="V1067">
        <f t="shared" si="274"/>
        <v>0</v>
      </c>
      <c r="W1067">
        <f t="shared" si="275"/>
        <v>1</v>
      </c>
      <c r="X1067">
        <f t="shared" si="276"/>
        <v>0</v>
      </c>
      <c r="Y1067">
        <f t="shared" si="277"/>
        <v>0</v>
      </c>
    </row>
    <row r="1068" spans="1:25" hidden="1">
      <c r="A1068" t="str">
        <f t="shared" si="282"/>
        <v>Price 1979</v>
      </c>
      <c r="E1068">
        <v>10.87</v>
      </c>
      <c r="H1068">
        <f t="shared" si="280"/>
        <v>627</v>
      </c>
      <c r="I1068">
        <v>1972.6</v>
      </c>
      <c r="J1068">
        <v>0</v>
      </c>
      <c r="P1068">
        <f t="shared" si="281"/>
        <v>0.10869999999999999</v>
      </c>
      <c r="S1068">
        <f t="shared" si="271"/>
        <v>0</v>
      </c>
      <c r="T1068">
        <f t="shared" si="272"/>
        <v>0</v>
      </c>
      <c r="U1068">
        <f t="shared" si="273"/>
        <v>0</v>
      </c>
      <c r="V1068">
        <f t="shared" si="274"/>
        <v>0</v>
      </c>
      <c r="W1068">
        <f t="shared" si="275"/>
        <v>1</v>
      </c>
      <c r="X1068">
        <f t="shared" si="276"/>
        <v>0</v>
      </c>
      <c r="Y1068">
        <f t="shared" si="277"/>
        <v>0</v>
      </c>
    </row>
    <row r="1069" spans="1:25">
      <c r="A1069" t="s">
        <v>48</v>
      </c>
      <c r="H1069">
        <v>374.15</v>
      </c>
      <c r="I1069">
        <v>623.14874999999995</v>
      </c>
      <c r="J1069">
        <v>0</v>
      </c>
      <c r="L1069">
        <v>2.8199999999999999E-2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>
      <c r="A1070" t="str">
        <f t="shared" ref="A1070:A1101" si="283">A1069</f>
        <v>Prutton &amp; Savage 1945</v>
      </c>
      <c r="H1070">
        <v>374.15</v>
      </c>
      <c r="I1070">
        <v>565.39350000000002</v>
      </c>
      <c r="J1070">
        <v>0</v>
      </c>
      <c r="L1070">
        <v>2.7799999999999998E-2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>
      <c r="A1071" t="str">
        <f t="shared" si="283"/>
        <v>Prutton &amp; Savage 1945</v>
      </c>
      <c r="H1071">
        <v>374.15</v>
      </c>
      <c r="I1071">
        <v>524.86350000000004</v>
      </c>
      <c r="J1071">
        <v>0</v>
      </c>
      <c r="L1071">
        <v>2.6599999999999999E-2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>
      <c r="A1072" t="str">
        <f t="shared" si="283"/>
        <v>Prutton &amp; Savage 1945</v>
      </c>
      <c r="H1072">
        <v>374.15</v>
      </c>
      <c r="I1072">
        <v>457.98899999999998</v>
      </c>
      <c r="J1072">
        <v>0</v>
      </c>
      <c r="L1072">
        <v>2.5100000000000001E-2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>
      <c r="A1073" t="str">
        <f t="shared" si="283"/>
        <v>Prutton &amp; Savage 1945</v>
      </c>
      <c r="H1073">
        <v>374.15</v>
      </c>
      <c r="I1073">
        <v>448.86975000000001</v>
      </c>
      <c r="J1073">
        <v>0</v>
      </c>
      <c r="L1073">
        <v>2.53E-2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>
      <c r="A1074" t="str">
        <f t="shared" si="283"/>
        <v>Prutton &amp; Savage 1945</v>
      </c>
      <c r="H1074">
        <v>374.15</v>
      </c>
      <c r="I1074">
        <v>329.30624999999998</v>
      </c>
      <c r="J1074">
        <v>0</v>
      </c>
      <c r="L1074">
        <v>2.3099999999999999E-2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>
      <c r="A1075" t="str">
        <f t="shared" si="283"/>
        <v>Prutton &amp; Savage 1945</v>
      </c>
      <c r="H1075">
        <v>374.15</v>
      </c>
      <c r="I1075">
        <v>324.24</v>
      </c>
      <c r="J1075">
        <v>0</v>
      </c>
      <c r="L1075">
        <v>2.3300000000000001E-2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>
      <c r="A1076" t="str">
        <f t="shared" si="283"/>
        <v>Prutton &amp; Savage 1945</v>
      </c>
      <c r="H1076">
        <v>374.15</v>
      </c>
      <c r="I1076">
        <v>202.65</v>
      </c>
      <c r="J1076">
        <v>0</v>
      </c>
      <c r="L1076">
        <v>2.2100000000000002E-2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>
      <c r="A1077" t="str">
        <f t="shared" si="283"/>
        <v>Prutton &amp; Savage 1945</v>
      </c>
      <c r="H1077">
        <v>374.15</v>
      </c>
      <c r="I1077">
        <v>286.74975000000001</v>
      </c>
      <c r="J1077">
        <v>0</v>
      </c>
      <c r="L1077">
        <v>2.23E-2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 t="str">
        <f t="shared" si="283"/>
        <v>Prutton &amp; Savage 1945</v>
      </c>
      <c r="H1078">
        <v>374.15</v>
      </c>
      <c r="I1078">
        <v>214.809</v>
      </c>
      <c r="J1078">
        <v>0</v>
      </c>
      <c r="L1078">
        <v>2.07E-2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 t="str">
        <f t="shared" si="283"/>
        <v>Prutton &amp; Savage 1945</v>
      </c>
      <c r="H1079">
        <v>374.15</v>
      </c>
      <c r="I1079">
        <v>212.7825</v>
      </c>
      <c r="J1079">
        <v>0</v>
      </c>
      <c r="L1079">
        <v>2.0500000000000001E-2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>
      <c r="A1080" t="str">
        <f t="shared" si="283"/>
        <v>Prutton &amp; Savage 1945</v>
      </c>
      <c r="H1080">
        <v>374.15</v>
      </c>
      <c r="I1080">
        <v>110.44425</v>
      </c>
      <c r="J1080">
        <v>0</v>
      </c>
      <c r="L1080">
        <v>1.5299999999999999E-2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>
      <c r="A1081" t="str">
        <f t="shared" si="283"/>
        <v>Prutton &amp; Savage 1945</v>
      </c>
      <c r="H1081">
        <v>374.15</v>
      </c>
      <c r="I1081">
        <v>108.41775</v>
      </c>
      <c r="J1081">
        <v>0</v>
      </c>
      <c r="L1081">
        <v>1.4999999999999999E-2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>
      <c r="A1082" t="str">
        <f t="shared" si="283"/>
        <v>Prutton &amp; Savage 1945</v>
      </c>
      <c r="H1082">
        <v>374.15</v>
      </c>
      <c r="I1082">
        <v>57.755249999999997</v>
      </c>
      <c r="J1082">
        <v>0</v>
      </c>
      <c r="L1082">
        <v>1.0800000000000001E-2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>
      <c r="A1083" t="str">
        <f t="shared" si="283"/>
        <v>Prutton &amp; Savage 1945</v>
      </c>
      <c r="H1083">
        <v>393.15</v>
      </c>
      <c r="I1083">
        <v>703.19550000000004</v>
      </c>
      <c r="J1083">
        <v>0</v>
      </c>
      <c r="L1083">
        <v>0.03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>
      <c r="A1084" t="str">
        <f t="shared" si="283"/>
        <v>Prutton &amp; Savage 1945</v>
      </c>
      <c r="H1084">
        <v>393.15</v>
      </c>
      <c r="I1084">
        <v>654.55949999999996</v>
      </c>
      <c r="J1084">
        <v>0</v>
      </c>
      <c r="L1084">
        <v>2.9899999999999999E-2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>
      <c r="A1085" t="str">
        <f t="shared" si="283"/>
        <v>Prutton &amp; Savage 1945</v>
      </c>
      <c r="H1085">
        <v>393.15</v>
      </c>
      <c r="I1085">
        <v>577.55250000000001</v>
      </c>
      <c r="J1085">
        <v>0</v>
      </c>
      <c r="L1085">
        <v>2.9000000000000001E-2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>
      <c r="A1086" t="str">
        <f t="shared" si="283"/>
        <v>Prutton &amp; Savage 1945</v>
      </c>
      <c r="H1086">
        <v>393.15</v>
      </c>
      <c r="I1086">
        <v>569.44650000000001</v>
      </c>
      <c r="J1086">
        <v>0</v>
      </c>
      <c r="L1086">
        <v>2.8799999999999999E-2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>
      <c r="A1087" t="str">
        <f t="shared" si="283"/>
        <v>Prutton &amp; Savage 1945</v>
      </c>
      <c r="H1087">
        <v>393.15</v>
      </c>
      <c r="I1087">
        <v>364.77</v>
      </c>
      <c r="J1087">
        <v>0</v>
      </c>
      <c r="L1087">
        <v>2.5000000000000001E-2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>
      <c r="A1088" t="str">
        <f t="shared" si="283"/>
        <v>Prutton &amp; Savage 1945</v>
      </c>
      <c r="H1088">
        <v>393.15</v>
      </c>
      <c r="I1088">
        <v>357.67725000000002</v>
      </c>
      <c r="J1088">
        <v>0</v>
      </c>
      <c r="L1088">
        <v>2.4799999999999999E-2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>
      <c r="A1089" t="str">
        <f t="shared" si="283"/>
        <v>Prutton &amp; Savage 1945</v>
      </c>
      <c r="H1089">
        <v>393.15</v>
      </c>
      <c r="I1089">
        <v>189.47774999999999</v>
      </c>
      <c r="J1089">
        <v>0</v>
      </c>
      <c r="L1089">
        <v>0.02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>
      <c r="A1090" t="str">
        <f t="shared" si="283"/>
        <v>Prutton &amp; Savage 1945</v>
      </c>
      <c r="H1090">
        <v>393.15</v>
      </c>
      <c r="I1090">
        <v>188.46449999999999</v>
      </c>
      <c r="J1090">
        <v>0</v>
      </c>
      <c r="L1090">
        <v>1.9300000000000001E-2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>
      <c r="A1091" t="str">
        <f t="shared" si="283"/>
        <v>Prutton &amp; Savage 1945</v>
      </c>
      <c r="H1091">
        <v>393.15</v>
      </c>
      <c r="I1091">
        <v>69.914249999999996</v>
      </c>
      <c r="J1091">
        <v>0</v>
      </c>
      <c r="L1091">
        <v>1.0500000000000001E-2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>
      <c r="A1092" t="str">
        <f t="shared" si="283"/>
        <v>Prutton &amp; Savage 1945</v>
      </c>
      <c r="H1092">
        <v>393.15</v>
      </c>
      <c r="I1092">
        <v>68.900999999999996</v>
      </c>
      <c r="J1092">
        <v>0</v>
      </c>
      <c r="L1092">
        <v>0.01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>
      <c r="A1093" t="str">
        <f t="shared" si="283"/>
        <v>Prutton &amp; Savage 1945</v>
      </c>
      <c r="H1093">
        <v>393.15</v>
      </c>
      <c r="I1093">
        <v>23.304749999999999</v>
      </c>
      <c r="J1093">
        <v>0</v>
      </c>
      <c r="L1093">
        <v>4.0000000000000001E-3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>
      <c r="A1094" t="str">
        <f t="shared" si="283"/>
        <v>Prutton &amp; Savage 1945</v>
      </c>
      <c r="H1094">
        <v>393.15</v>
      </c>
      <c r="I1094">
        <v>23.304749999999999</v>
      </c>
      <c r="J1094">
        <v>0</v>
      </c>
      <c r="L1094">
        <v>3.8E-3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>
      <c r="A1095" t="str">
        <f t="shared" si="283"/>
        <v>Prutton &amp; Savage 1945</v>
      </c>
      <c r="H1095">
        <v>348.65</v>
      </c>
      <c r="I1095">
        <v>628.21500000000003</v>
      </c>
      <c r="J1095">
        <v>1.0123180057696113</v>
      </c>
      <c r="L1095">
        <v>1.9199999999999998E-2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>
      <c r="A1096" t="str">
        <f t="shared" si="283"/>
        <v>Prutton &amp; Savage 1945</v>
      </c>
      <c r="H1096">
        <v>348.65</v>
      </c>
      <c r="I1096">
        <v>592.75125000000003</v>
      </c>
      <c r="J1096">
        <v>1.0123180057696113</v>
      </c>
      <c r="L1096">
        <v>1.84E-2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>
      <c r="A1097" t="str">
        <f t="shared" si="283"/>
        <v>Prutton &amp; Savage 1945</v>
      </c>
      <c r="H1097">
        <v>348.65</v>
      </c>
      <c r="I1097">
        <v>451.90949999999998</v>
      </c>
      <c r="J1097">
        <v>1.0123180057696113</v>
      </c>
      <c r="L1097">
        <v>1.6799999999999999E-2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>
      <c r="A1098" t="str">
        <f t="shared" si="283"/>
        <v>Prutton &amp; Savage 1945</v>
      </c>
      <c r="H1098">
        <v>348.65</v>
      </c>
      <c r="I1098">
        <v>431.64449999999999</v>
      </c>
      <c r="J1098">
        <v>1.0123180057696113</v>
      </c>
      <c r="L1098">
        <v>1.7000000000000001E-2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>
      <c r="A1099" t="str">
        <f t="shared" si="283"/>
        <v>Prutton &amp; Savage 1945</v>
      </c>
      <c r="H1099">
        <v>348.65</v>
      </c>
      <c r="I1099">
        <v>332.346</v>
      </c>
      <c r="J1099">
        <v>1.0123180057696113</v>
      </c>
      <c r="L1099">
        <v>1.5800000000000002E-2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>
      <c r="A1100" t="str">
        <f t="shared" si="283"/>
        <v>Prutton &amp; Savage 1945</v>
      </c>
      <c r="H1100">
        <v>348.65</v>
      </c>
      <c r="I1100">
        <v>314.10750000000002</v>
      </c>
      <c r="J1100">
        <v>1.0123180057696113</v>
      </c>
      <c r="L1100">
        <v>1.54E-2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>
      <c r="A1101" t="str">
        <f t="shared" si="283"/>
        <v>Prutton &amp; Savage 1945</v>
      </c>
      <c r="H1101">
        <v>348.65</v>
      </c>
      <c r="I1101">
        <v>165.15975</v>
      </c>
      <c r="J1101">
        <v>1.0123180057696113</v>
      </c>
      <c r="L1101">
        <v>1.3299999999999999E-2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>
      <c r="A1102" t="str">
        <f t="shared" ref="A1102:A1133" si="284">A1101</f>
        <v>Prutton &amp; Savage 1945</v>
      </c>
      <c r="H1102">
        <v>348.65</v>
      </c>
      <c r="I1102">
        <v>164.1465</v>
      </c>
      <c r="J1102">
        <v>1.0123180057696113</v>
      </c>
      <c r="L1102">
        <v>1.3299999999999999E-2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>
      <c r="A1103" t="str">
        <f t="shared" si="284"/>
        <v>Prutton &amp; Savage 1945</v>
      </c>
      <c r="H1103">
        <v>348.65</v>
      </c>
      <c r="I1103">
        <v>63.83475</v>
      </c>
      <c r="J1103">
        <v>1.0123180057696113</v>
      </c>
      <c r="L1103">
        <v>8.3000000000000001E-3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>
      <c r="A1104" t="str">
        <f t="shared" si="284"/>
        <v>Prutton &amp; Savage 1945</v>
      </c>
      <c r="H1104">
        <v>348.65</v>
      </c>
      <c r="I1104">
        <v>62.8215</v>
      </c>
      <c r="J1104">
        <v>1.0123180057696113</v>
      </c>
      <c r="L1104">
        <v>8.0999999999999996E-3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>
      <c r="A1105" t="str">
        <f t="shared" si="284"/>
        <v>Prutton &amp; Savage 1945</v>
      </c>
      <c r="H1105">
        <v>348.65</v>
      </c>
      <c r="I1105">
        <v>16.212</v>
      </c>
      <c r="J1105">
        <v>1.0123180057696113</v>
      </c>
      <c r="L1105">
        <v>2.7000000000000001E-3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>
      <c r="A1106" t="str">
        <f t="shared" si="284"/>
        <v>Prutton &amp; Savage 1945</v>
      </c>
      <c r="H1106">
        <v>348.65</v>
      </c>
      <c r="I1106">
        <v>16.212</v>
      </c>
      <c r="J1106">
        <v>1.0123180057696113</v>
      </c>
      <c r="L1106">
        <v>2.5999999999999999E-3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>
      <c r="A1107" t="str">
        <f t="shared" si="284"/>
        <v>Prutton &amp; Savage 1945</v>
      </c>
      <c r="H1107">
        <v>374.15</v>
      </c>
      <c r="I1107">
        <v>626.18849999999998</v>
      </c>
      <c r="J1107">
        <v>1.0123180057696113</v>
      </c>
      <c r="L1107">
        <v>1.8599999999999998E-2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>
      <c r="A1108" t="str">
        <f t="shared" si="284"/>
        <v>Prutton &amp; Savage 1945</v>
      </c>
      <c r="H1108">
        <v>374.15</v>
      </c>
      <c r="I1108">
        <v>582.61874999999998</v>
      </c>
      <c r="J1108">
        <v>1.0123180057696113</v>
      </c>
      <c r="L1108">
        <v>1.8499999999999999E-2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>
      <c r="A1109" t="str">
        <f t="shared" si="284"/>
        <v>Prutton &amp; Savage 1945</v>
      </c>
      <c r="H1109">
        <v>374.15</v>
      </c>
      <c r="I1109">
        <v>506.625</v>
      </c>
      <c r="J1109">
        <v>1.0123180057696113</v>
      </c>
      <c r="L1109">
        <v>1.7399999999999999E-2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>
      <c r="A1110" t="str">
        <f t="shared" si="284"/>
        <v>Prutton &amp; Savage 1945</v>
      </c>
      <c r="H1110">
        <v>374.15</v>
      </c>
      <c r="I1110">
        <v>399.22050000000002</v>
      </c>
      <c r="J1110">
        <v>1.0123180057696113</v>
      </c>
      <c r="L1110">
        <v>1.6799999999999999E-2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>
      <c r="A1111" t="str">
        <f t="shared" si="284"/>
        <v>Prutton &amp; Savage 1945</v>
      </c>
      <c r="H1111">
        <v>374.15</v>
      </c>
      <c r="I1111">
        <v>385.03499999999997</v>
      </c>
      <c r="J1111">
        <v>1.0123180057696113</v>
      </c>
      <c r="L1111">
        <v>1.6500000000000001E-2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>
      <c r="A1112" t="str">
        <f t="shared" si="284"/>
        <v>Prutton &amp; Savage 1945</v>
      </c>
      <c r="H1112">
        <v>374.15</v>
      </c>
      <c r="I1112">
        <v>356.66399999999999</v>
      </c>
      <c r="J1112">
        <v>1.0123180057696113</v>
      </c>
      <c r="L1112">
        <v>1.5900000000000001E-2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>
      <c r="A1113" t="str">
        <f t="shared" si="284"/>
        <v>Prutton &amp; Savage 1945</v>
      </c>
      <c r="H1113">
        <v>374.15</v>
      </c>
      <c r="I1113">
        <v>351.59775000000002</v>
      </c>
      <c r="J1113">
        <v>1.0123180057696113</v>
      </c>
      <c r="L1113">
        <v>1.6199999999999999E-2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>
      <c r="A1114" t="str">
        <f t="shared" si="284"/>
        <v>Prutton &amp; Savage 1945</v>
      </c>
      <c r="H1114">
        <v>374.15</v>
      </c>
      <c r="I1114">
        <v>289.78949999999998</v>
      </c>
      <c r="J1114">
        <v>1.0123180057696113</v>
      </c>
      <c r="L1114">
        <v>1.52E-2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>
      <c r="A1115" t="str">
        <f t="shared" si="284"/>
        <v>Prutton &amp; Savage 1945</v>
      </c>
      <c r="H1115">
        <v>374.15</v>
      </c>
      <c r="I1115">
        <v>289.78949999999998</v>
      </c>
      <c r="J1115">
        <v>1.0123180057696113</v>
      </c>
      <c r="L1115">
        <v>1.47E-2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>
      <c r="A1116" t="str">
        <f t="shared" si="284"/>
        <v>Prutton &amp; Savage 1945</v>
      </c>
      <c r="H1116">
        <v>374.15</v>
      </c>
      <c r="I1116">
        <v>215.82225</v>
      </c>
      <c r="J1116">
        <v>1.0123180057696113</v>
      </c>
      <c r="L1116">
        <v>1.4E-2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>
      <c r="A1117" t="str">
        <f t="shared" si="284"/>
        <v>Prutton &amp; Savage 1945</v>
      </c>
      <c r="H1117">
        <v>374.15</v>
      </c>
      <c r="I1117">
        <v>215.82225</v>
      </c>
      <c r="J1117">
        <v>1.0123180057696113</v>
      </c>
      <c r="L1117">
        <v>1.35E-2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>
      <c r="A1118" t="str">
        <f t="shared" si="284"/>
        <v>Prutton &amp; Savage 1945</v>
      </c>
      <c r="H1118">
        <v>374.15</v>
      </c>
      <c r="I1118">
        <v>121.59</v>
      </c>
      <c r="J1118">
        <v>1.0123180057696113</v>
      </c>
      <c r="L1118">
        <v>1.1299999999999999E-2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>
      <c r="A1119" t="str">
        <f t="shared" si="284"/>
        <v>Prutton &amp; Savage 1945</v>
      </c>
      <c r="H1119">
        <v>374.15</v>
      </c>
      <c r="I1119">
        <v>121.59</v>
      </c>
      <c r="J1119">
        <v>1.0123180057696113</v>
      </c>
      <c r="L1119">
        <v>1.12E-2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>
      <c r="A1120" t="str">
        <f t="shared" si="284"/>
        <v>Prutton &amp; Savage 1945</v>
      </c>
      <c r="H1120">
        <v>374.15</v>
      </c>
      <c r="I1120">
        <v>56.741999999999997</v>
      </c>
      <c r="J1120">
        <v>1.0123180057696113</v>
      </c>
      <c r="L1120">
        <v>8.0999999999999996E-3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>
      <c r="A1121" t="str">
        <f t="shared" si="284"/>
        <v>Prutton &amp; Savage 1945</v>
      </c>
      <c r="H1121">
        <v>374.15</v>
      </c>
      <c r="I1121">
        <v>17.225249999999999</v>
      </c>
      <c r="J1121">
        <v>1.0123180057696113</v>
      </c>
      <c r="L1121">
        <v>2.2000000000000001E-3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5">
      <c r="A1122" t="str">
        <f t="shared" si="284"/>
        <v>Prutton &amp; Savage 1945</v>
      </c>
      <c r="H1122">
        <v>374.15</v>
      </c>
      <c r="I1122">
        <v>17.225249999999999</v>
      </c>
      <c r="J1122">
        <v>1.0123180057696113</v>
      </c>
      <c r="L1122">
        <v>2.0999999999999999E-3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>
      <c r="A1123" t="str">
        <f t="shared" si="284"/>
        <v>Prutton &amp; Savage 1945</v>
      </c>
      <c r="H1123">
        <v>394.15</v>
      </c>
      <c r="I1123">
        <v>712.31475</v>
      </c>
      <c r="J1123">
        <v>1.0123180057696113</v>
      </c>
      <c r="L1123">
        <v>1.9300000000000001E-2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>
      <c r="A1124" t="str">
        <f t="shared" si="284"/>
        <v>Prutton &amp; Savage 1945</v>
      </c>
      <c r="H1124">
        <v>394.15</v>
      </c>
      <c r="I1124">
        <v>629.22825</v>
      </c>
      <c r="J1124">
        <v>1.0123180057696113</v>
      </c>
      <c r="L1124">
        <v>1.8100000000000002E-2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>
      <c r="A1125" t="str">
        <f t="shared" si="284"/>
        <v>Prutton &amp; Savage 1945</v>
      </c>
      <c r="H1125">
        <v>394.15</v>
      </c>
      <c r="I1125">
        <v>592.75125000000003</v>
      </c>
      <c r="J1125">
        <v>1.0123180057696113</v>
      </c>
      <c r="L1125">
        <v>1.84E-2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>
      <c r="A1126" t="str">
        <f t="shared" si="284"/>
        <v>Prutton &amp; Savage 1945</v>
      </c>
      <c r="H1126">
        <v>394.15</v>
      </c>
      <c r="I1126">
        <v>466.09499999999997</v>
      </c>
      <c r="J1126">
        <v>1.0123180057696113</v>
      </c>
      <c r="L1126">
        <v>1.67E-2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>
      <c r="A1127" t="str">
        <f t="shared" si="284"/>
        <v>Prutton &amp; Savage 1945</v>
      </c>
      <c r="H1127">
        <v>394.15</v>
      </c>
      <c r="I1127">
        <v>442.79025000000001</v>
      </c>
      <c r="J1127">
        <v>1.0123180057696113</v>
      </c>
      <c r="L1127">
        <v>1.6799999999999999E-2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>
      <c r="A1128" t="str">
        <f t="shared" si="284"/>
        <v>Prutton &amp; Savage 1945</v>
      </c>
      <c r="H1128">
        <v>394.15</v>
      </c>
      <c r="I1128">
        <v>303.97500000000002</v>
      </c>
      <c r="J1128">
        <v>1.0123180057696113</v>
      </c>
      <c r="L1128">
        <v>1.4800000000000001E-2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>
      <c r="A1129" t="str">
        <f t="shared" si="284"/>
        <v>Prutton &amp; Savage 1945</v>
      </c>
      <c r="H1129">
        <v>394.15</v>
      </c>
      <c r="I1129">
        <v>300.93525</v>
      </c>
      <c r="J1129">
        <v>1.0123180057696113</v>
      </c>
      <c r="L1129">
        <v>1.4800000000000001E-2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>
      <c r="A1130" t="str">
        <f t="shared" si="284"/>
        <v>Prutton &amp; Savage 1945</v>
      </c>
      <c r="H1130">
        <v>394.15</v>
      </c>
      <c r="I1130">
        <v>155.02725000000001</v>
      </c>
      <c r="J1130">
        <v>1.0123180057696113</v>
      </c>
      <c r="L1130">
        <v>1.11E-2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>
      <c r="A1131" t="str">
        <f t="shared" si="284"/>
        <v>Prutton &amp; Savage 1945</v>
      </c>
      <c r="H1131">
        <v>394.15</v>
      </c>
      <c r="I1131">
        <v>141.85499999999999</v>
      </c>
      <c r="J1131">
        <v>1.0123180057696113</v>
      </c>
      <c r="L1131">
        <v>1.1299999999999999E-2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>
      <c r="A1132" t="str">
        <f t="shared" si="284"/>
        <v>Prutton &amp; Savage 1945</v>
      </c>
      <c r="H1132">
        <v>394.15</v>
      </c>
      <c r="I1132">
        <v>78.020250000000004</v>
      </c>
      <c r="J1132">
        <v>1.0123180057696113</v>
      </c>
      <c r="L1132">
        <v>6.8999999999999999E-3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>
      <c r="A1133" t="str">
        <f t="shared" si="284"/>
        <v>Prutton &amp; Savage 1945</v>
      </c>
      <c r="H1133">
        <v>394.15</v>
      </c>
      <c r="I1133">
        <v>77.007000000000005</v>
      </c>
      <c r="J1133">
        <v>1.0123180057696113</v>
      </c>
      <c r="L1133">
        <v>6.1000000000000004E-3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>
      <c r="A1134" t="str">
        <f t="shared" ref="A1134:A1165" si="285">A1133</f>
        <v>Prutton &amp; Savage 1945</v>
      </c>
      <c r="H1134">
        <v>394.15</v>
      </c>
      <c r="I1134">
        <v>21.27825</v>
      </c>
      <c r="J1134">
        <v>1.0123180057696113</v>
      </c>
      <c r="L1134">
        <v>2.7000000000000001E-3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>
      <c r="A1135" t="str">
        <f t="shared" si="285"/>
        <v>Prutton &amp; Savage 1945</v>
      </c>
      <c r="H1135">
        <v>349.15</v>
      </c>
      <c r="I1135">
        <v>607.95000000000005</v>
      </c>
      <c r="J1135">
        <v>2.2808869353054648</v>
      </c>
      <c r="L1135">
        <v>1.18E-2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>
      <c r="A1136" t="str">
        <f t="shared" si="285"/>
        <v>Prutton &amp; Savage 1945</v>
      </c>
      <c r="H1136">
        <v>349.15</v>
      </c>
      <c r="I1136">
        <v>579.57899999999995</v>
      </c>
      <c r="J1136">
        <v>2.2808869353054648</v>
      </c>
      <c r="L1136">
        <v>1.17E-2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>
      <c r="A1137" t="str">
        <f t="shared" si="285"/>
        <v>Prutton &amp; Savage 1945</v>
      </c>
      <c r="H1137">
        <v>349.15</v>
      </c>
      <c r="I1137">
        <v>466.09499999999997</v>
      </c>
      <c r="J1137">
        <v>2.2808869353054648</v>
      </c>
      <c r="L1137">
        <v>1.0800000000000001E-2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>
      <c r="A1138" t="str">
        <f t="shared" si="285"/>
        <v>Prutton &amp; Savage 1945</v>
      </c>
      <c r="H1138">
        <v>349.15</v>
      </c>
      <c r="I1138">
        <v>460.01549999999997</v>
      </c>
      <c r="J1138">
        <v>2.2808869353054648</v>
      </c>
      <c r="L1138">
        <v>1.0699999999999999E-2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>
      <c r="A1139" t="str">
        <f t="shared" si="285"/>
        <v>Prutton &amp; Savage 1945</v>
      </c>
      <c r="H1139">
        <v>349.15</v>
      </c>
      <c r="I1139">
        <v>293.84249999999997</v>
      </c>
      <c r="J1139">
        <v>2.2808869353054648</v>
      </c>
      <c r="L1139">
        <v>9.7999999999999997E-3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>
      <c r="A1140" t="str">
        <f t="shared" si="285"/>
        <v>Prutton &amp; Savage 1945</v>
      </c>
      <c r="H1140">
        <v>349.15</v>
      </c>
      <c r="I1140">
        <v>285.73649999999998</v>
      </c>
      <c r="J1140">
        <v>2.2808869353054648</v>
      </c>
      <c r="L1140">
        <v>9.7000000000000003E-3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>
      <c r="A1141" t="str">
        <f t="shared" si="285"/>
        <v>Prutton &amp; Savage 1945</v>
      </c>
      <c r="H1141">
        <v>349.15</v>
      </c>
      <c r="I1141">
        <v>168.1995</v>
      </c>
      <c r="J1141">
        <v>2.2808869353054648</v>
      </c>
      <c r="L1141">
        <v>8.6E-3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>
      <c r="A1142" t="str">
        <f t="shared" si="285"/>
        <v>Prutton &amp; Savage 1945</v>
      </c>
      <c r="H1142">
        <v>349.15</v>
      </c>
      <c r="I1142">
        <v>167.18625</v>
      </c>
      <c r="J1142">
        <v>2.2808869353054648</v>
      </c>
      <c r="L1142">
        <v>8.8000000000000005E-3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>
      <c r="A1143" t="str">
        <f t="shared" si="285"/>
        <v>Prutton &amp; Savage 1945</v>
      </c>
      <c r="H1143">
        <v>349.15</v>
      </c>
      <c r="I1143">
        <v>73.967249999999993</v>
      </c>
      <c r="J1143">
        <v>2.2808869353054648</v>
      </c>
      <c r="L1143">
        <v>6.0000000000000001E-3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>
      <c r="A1144" t="str">
        <f t="shared" si="285"/>
        <v>Prutton &amp; Savage 1945</v>
      </c>
      <c r="H1144">
        <v>349.15</v>
      </c>
      <c r="I1144">
        <v>73.967249999999993</v>
      </c>
      <c r="J1144">
        <v>2.2808869353054648</v>
      </c>
      <c r="L1144">
        <v>5.7999999999999996E-3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>
      <c r="A1145" t="str">
        <f t="shared" si="285"/>
        <v>Prutton &amp; Savage 1945</v>
      </c>
      <c r="H1145">
        <v>349.15</v>
      </c>
      <c r="I1145">
        <v>23.304749999999999</v>
      </c>
      <c r="J1145">
        <v>2.2808869353054648</v>
      </c>
      <c r="L1145">
        <v>2.2000000000000001E-3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>
      <c r="A1146" t="str">
        <f t="shared" si="285"/>
        <v>Prutton &amp; Savage 1945</v>
      </c>
      <c r="H1146">
        <v>349.15</v>
      </c>
      <c r="I1146">
        <v>22.291499999999999</v>
      </c>
      <c r="J1146">
        <v>2.2808869353054648</v>
      </c>
      <c r="L1146">
        <v>2.2000000000000001E-3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>
      <c r="A1147" t="str">
        <f t="shared" si="285"/>
        <v>Prutton &amp; Savage 1945</v>
      </c>
      <c r="H1147">
        <v>374.15</v>
      </c>
      <c r="I1147">
        <v>656.58600000000001</v>
      </c>
      <c r="J1147">
        <v>2.2808869353054648</v>
      </c>
      <c r="L1147">
        <v>1.23E-2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>
      <c r="A1148" t="str">
        <f t="shared" si="285"/>
        <v>Prutton &amp; Savage 1945</v>
      </c>
      <c r="H1148">
        <v>374.15</v>
      </c>
      <c r="I1148">
        <v>581.60550000000001</v>
      </c>
      <c r="J1148">
        <v>2.2808869353054648</v>
      </c>
      <c r="L1148">
        <v>1.18E-2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>
      <c r="A1149" t="str">
        <f t="shared" si="285"/>
        <v>Prutton &amp; Savage 1945</v>
      </c>
      <c r="H1149">
        <v>374.15</v>
      </c>
      <c r="I1149">
        <v>573.49950000000001</v>
      </c>
      <c r="J1149">
        <v>2.2808869353054648</v>
      </c>
      <c r="L1149">
        <v>1.1599999999999999E-2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>
      <c r="A1150" t="str">
        <f t="shared" si="285"/>
        <v>Prutton &amp; Savage 1945</v>
      </c>
      <c r="H1150">
        <v>374.15</v>
      </c>
      <c r="I1150">
        <v>295.86899999999997</v>
      </c>
      <c r="J1150">
        <v>2.2808869353054648</v>
      </c>
      <c r="L1150">
        <v>9.9000000000000008E-3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>
      <c r="A1151" t="str">
        <f t="shared" si="285"/>
        <v>Prutton &amp; Savage 1945</v>
      </c>
      <c r="H1151">
        <v>374.15</v>
      </c>
      <c r="I1151">
        <v>293.84249999999997</v>
      </c>
      <c r="J1151">
        <v>2.2808869353054648</v>
      </c>
      <c r="L1151">
        <v>9.7000000000000003E-3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>
      <c r="A1152" t="str">
        <f t="shared" si="285"/>
        <v>Prutton &amp; Savage 1945</v>
      </c>
      <c r="H1152">
        <v>374.15</v>
      </c>
      <c r="I1152">
        <v>172.2525</v>
      </c>
      <c r="J1152">
        <v>2.2808869353054648</v>
      </c>
      <c r="L1152">
        <v>8.3000000000000001E-3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>
      <c r="A1153" t="str">
        <f t="shared" si="285"/>
        <v>Prutton &amp; Savage 1945</v>
      </c>
      <c r="H1153">
        <v>374.15</v>
      </c>
      <c r="I1153">
        <v>171.23925</v>
      </c>
      <c r="J1153">
        <v>2.2808869353054648</v>
      </c>
      <c r="L1153">
        <v>8.3999999999999995E-3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>
      <c r="A1154" t="str">
        <f t="shared" si="285"/>
        <v>Prutton &amp; Savage 1945</v>
      </c>
      <c r="H1154">
        <v>374.15</v>
      </c>
      <c r="I1154">
        <v>143.88149999999999</v>
      </c>
      <c r="J1154">
        <v>2.2808869353054648</v>
      </c>
      <c r="L1154">
        <v>7.4000000000000003E-3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>
      <c r="A1155" t="str">
        <f t="shared" si="285"/>
        <v>Prutton &amp; Savage 1945</v>
      </c>
      <c r="H1155">
        <v>374.15</v>
      </c>
      <c r="I1155">
        <v>143.88149999999999</v>
      </c>
      <c r="J1155">
        <v>2.2808869353054648</v>
      </c>
      <c r="L1155">
        <v>7.4000000000000003E-3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>
      <c r="A1156" t="str">
        <f t="shared" si="285"/>
        <v>Prutton &amp; Savage 1945</v>
      </c>
      <c r="H1156">
        <v>374.15</v>
      </c>
      <c r="I1156">
        <v>92.205749999999995</v>
      </c>
      <c r="J1156">
        <v>2.2808869353054648</v>
      </c>
      <c r="L1156">
        <v>5.7999999999999996E-3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>
      <c r="A1157" t="str">
        <f t="shared" si="285"/>
        <v>Prutton &amp; Savage 1945</v>
      </c>
      <c r="H1157">
        <v>374.15</v>
      </c>
      <c r="I1157">
        <v>89.165999999999997</v>
      </c>
      <c r="J1157">
        <v>2.2808869353054648</v>
      </c>
      <c r="L1157">
        <v>5.8999999999999999E-3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>
      <c r="A1158" t="str">
        <f t="shared" si="285"/>
        <v>Prutton &amp; Savage 1945</v>
      </c>
      <c r="H1158">
        <v>374.15</v>
      </c>
      <c r="I1158">
        <v>23.304749999999999</v>
      </c>
      <c r="J1158">
        <v>2.2808869353054648</v>
      </c>
      <c r="L1158">
        <v>1.8E-3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>
      <c r="A1159" t="str">
        <f t="shared" si="285"/>
        <v>Prutton &amp; Savage 1945</v>
      </c>
      <c r="H1159">
        <v>374.15</v>
      </c>
      <c r="I1159">
        <v>23.304749999999999</v>
      </c>
      <c r="J1159">
        <v>2.2808869353054648</v>
      </c>
      <c r="L1159">
        <v>1.6999999999999999E-3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>
      <c r="A1160" t="str">
        <f t="shared" si="285"/>
        <v>Prutton &amp; Savage 1945</v>
      </c>
      <c r="H1160">
        <v>394.15</v>
      </c>
      <c r="I1160">
        <v>667.73175000000003</v>
      </c>
      <c r="J1160">
        <v>2.2808869353054648</v>
      </c>
      <c r="L1160">
        <v>1.15E-2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>
      <c r="A1161" t="str">
        <f t="shared" si="285"/>
        <v>Prutton &amp; Savage 1945</v>
      </c>
      <c r="H1161">
        <v>394.15</v>
      </c>
      <c r="I1161">
        <v>644.42700000000002</v>
      </c>
      <c r="J1161">
        <v>2.2808869353054648</v>
      </c>
      <c r="L1161">
        <v>1.15E-2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>
      <c r="A1162" t="str">
        <f t="shared" si="285"/>
        <v>Prutton &amp; Savage 1945</v>
      </c>
      <c r="H1162">
        <v>394.15</v>
      </c>
      <c r="I1162">
        <v>609.97649999999999</v>
      </c>
      <c r="J1162">
        <v>2.2808869353054648</v>
      </c>
      <c r="L1162">
        <v>1.17E-2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>
      <c r="A1163" t="str">
        <f t="shared" si="285"/>
        <v>Prutton &amp; Savage 1945</v>
      </c>
      <c r="H1163">
        <v>394.15</v>
      </c>
      <c r="I1163">
        <v>512.70449999999994</v>
      </c>
      <c r="J1163">
        <v>2.2808869353054648</v>
      </c>
      <c r="L1163">
        <v>1.1299999999999999E-2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>
      <c r="A1164" t="str">
        <f t="shared" si="285"/>
        <v>Prutton &amp; Savage 1945</v>
      </c>
      <c r="H1164">
        <v>394.15</v>
      </c>
      <c r="I1164">
        <v>497.50574999999998</v>
      </c>
      <c r="J1164">
        <v>2.2808869353054648</v>
      </c>
      <c r="L1164">
        <v>1.0999999999999999E-2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>
      <c r="A1165" t="str">
        <f t="shared" si="285"/>
        <v>Prutton &amp; Savage 1945</v>
      </c>
      <c r="H1165">
        <v>394.15</v>
      </c>
      <c r="I1165">
        <v>470.14799999999997</v>
      </c>
      <c r="J1165">
        <v>2.2808869353054648</v>
      </c>
      <c r="L1165">
        <v>1.0999999999999999E-2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>
      <c r="A1166" t="str">
        <f t="shared" ref="A1166:A1197" si="286">A1165</f>
        <v>Prutton &amp; Savage 1945</v>
      </c>
      <c r="H1166">
        <v>394.15</v>
      </c>
      <c r="I1166">
        <v>285.73649999999998</v>
      </c>
      <c r="J1166">
        <v>2.2808869353054648</v>
      </c>
      <c r="L1166">
        <v>9.4000000000000004E-3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>
      <c r="A1167" t="str">
        <f t="shared" si="286"/>
        <v>Prutton &amp; Savage 1945</v>
      </c>
      <c r="H1167">
        <v>394.15</v>
      </c>
      <c r="I1167">
        <v>283.70999999999998</v>
      </c>
      <c r="J1167">
        <v>2.2808869353054648</v>
      </c>
      <c r="L1167">
        <v>9.4000000000000004E-3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>
      <c r="A1168" t="str">
        <f t="shared" si="286"/>
        <v>Prutton &amp; Savage 1945</v>
      </c>
      <c r="H1168">
        <v>394.15</v>
      </c>
      <c r="I1168">
        <v>151.98750000000001</v>
      </c>
      <c r="J1168">
        <v>2.2808869353054648</v>
      </c>
      <c r="L1168">
        <v>7.3000000000000001E-3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>
      <c r="A1169" t="str">
        <f t="shared" si="286"/>
        <v>Prutton &amp; Savage 1945</v>
      </c>
      <c r="H1169">
        <v>394.15</v>
      </c>
      <c r="I1169">
        <v>151.98750000000001</v>
      </c>
      <c r="J1169">
        <v>2.2808869353054648</v>
      </c>
      <c r="L1169">
        <v>7.3000000000000001E-3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>
      <c r="A1170" t="str">
        <f t="shared" si="286"/>
        <v>Prutton &amp; Savage 1945</v>
      </c>
      <c r="H1170">
        <v>394.15</v>
      </c>
      <c r="I1170">
        <v>63.83475</v>
      </c>
      <c r="J1170">
        <v>2.2808869353054648</v>
      </c>
      <c r="L1170">
        <v>3.8999999999999998E-3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>
      <c r="A1171" t="str">
        <f t="shared" si="286"/>
        <v>Prutton &amp; Savage 1945</v>
      </c>
      <c r="H1171">
        <v>394.15</v>
      </c>
      <c r="I1171">
        <v>63.83475</v>
      </c>
      <c r="J1171">
        <v>2.2808869353054648</v>
      </c>
      <c r="L1171">
        <v>3.8999999999999998E-3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>
      <c r="A1172" t="str">
        <f t="shared" si="286"/>
        <v>Prutton &amp; Savage 1945</v>
      </c>
      <c r="H1172">
        <v>394.15</v>
      </c>
      <c r="I1172">
        <v>25.331250000000001</v>
      </c>
      <c r="J1172">
        <v>2.2808869353054648</v>
      </c>
      <c r="L1172">
        <v>1.9E-3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>
      <c r="A1173" t="str">
        <f t="shared" si="286"/>
        <v>Prutton &amp; Savage 1945</v>
      </c>
      <c r="H1173">
        <v>394.15</v>
      </c>
      <c r="I1173">
        <v>25.331250000000001</v>
      </c>
      <c r="J1173">
        <v>2.2808869353054648</v>
      </c>
      <c r="L1173">
        <v>1.6999999999999999E-3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>
      <c r="A1174" t="str">
        <f t="shared" si="286"/>
        <v>Prutton &amp; Savage 1945</v>
      </c>
      <c r="H1174">
        <v>349.15</v>
      </c>
      <c r="I1174">
        <v>633.28125</v>
      </c>
      <c r="J1174">
        <v>3.8985831361235488</v>
      </c>
      <c r="L1174">
        <v>6.8999999999999999E-3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>
      <c r="A1175" t="str">
        <f t="shared" si="286"/>
        <v>Prutton &amp; Savage 1945</v>
      </c>
      <c r="H1175">
        <v>349.15</v>
      </c>
      <c r="I1175">
        <v>561.34050000000002</v>
      </c>
      <c r="J1175">
        <v>3.8985831361235488</v>
      </c>
      <c r="L1175">
        <v>7.0000000000000001E-3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>
      <c r="A1176" t="str">
        <f t="shared" si="286"/>
        <v>Prutton &amp; Savage 1945</v>
      </c>
      <c r="H1176">
        <v>349.15</v>
      </c>
      <c r="I1176">
        <v>531.95624999999995</v>
      </c>
      <c r="J1176">
        <v>3.8985831361235488</v>
      </c>
      <c r="L1176">
        <v>7.0000000000000001E-3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>
      <c r="A1177" t="str">
        <f t="shared" si="286"/>
        <v>Prutton &amp; Savage 1945</v>
      </c>
      <c r="H1177">
        <v>349.15</v>
      </c>
      <c r="I1177">
        <v>461.02875</v>
      </c>
      <c r="J1177">
        <v>3.8985831361235488</v>
      </c>
      <c r="L1177">
        <v>6.6E-3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>
      <c r="A1178" t="str">
        <f t="shared" si="286"/>
        <v>Prutton &amp; Savage 1945</v>
      </c>
      <c r="H1178">
        <v>349.15</v>
      </c>
      <c r="I1178">
        <v>436.71075000000002</v>
      </c>
      <c r="J1178">
        <v>3.8985831361235488</v>
      </c>
      <c r="L1178">
        <v>6.7000000000000002E-3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 t="str">
        <f t="shared" si="286"/>
        <v>Prutton &amp; Savage 1945</v>
      </c>
      <c r="H1179">
        <v>349.15</v>
      </c>
      <c r="I1179">
        <v>323.22674999999998</v>
      </c>
      <c r="J1179">
        <v>3.8985831361235488</v>
      </c>
      <c r="L1179">
        <v>6.1000000000000004E-3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>
      <c r="A1180" t="str">
        <f t="shared" si="286"/>
        <v>Prutton &amp; Savage 1945</v>
      </c>
      <c r="H1180">
        <v>349.15</v>
      </c>
      <c r="I1180">
        <v>318.16050000000001</v>
      </c>
      <c r="J1180">
        <v>3.8985831361235488</v>
      </c>
      <c r="L1180">
        <v>6.0000000000000001E-3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>
      <c r="A1181" t="str">
        <f t="shared" si="286"/>
        <v>Prutton &amp; Savage 1945</v>
      </c>
      <c r="H1181">
        <v>349.15</v>
      </c>
      <c r="I1181">
        <v>165.15975</v>
      </c>
      <c r="J1181">
        <v>3.8985831361235488</v>
      </c>
      <c r="L1181">
        <v>5.1000000000000004E-3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>
      <c r="A1182" t="str">
        <f t="shared" si="286"/>
        <v>Prutton &amp; Savage 1945</v>
      </c>
      <c r="H1182">
        <v>349.15</v>
      </c>
      <c r="I1182">
        <v>163.13325</v>
      </c>
      <c r="J1182">
        <v>3.8985831361235488</v>
      </c>
      <c r="L1182">
        <v>5.1999999999999998E-3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>
      <c r="A1183" t="str">
        <f t="shared" si="286"/>
        <v>Prutton &amp; Savage 1945</v>
      </c>
      <c r="H1183">
        <v>349.15</v>
      </c>
      <c r="I1183">
        <v>74.980499999999992</v>
      </c>
      <c r="J1183">
        <v>3.8985831361235488</v>
      </c>
      <c r="L1183">
        <v>3.7000000000000002E-3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>
      <c r="A1184" t="str">
        <f t="shared" si="286"/>
        <v>Prutton &amp; Savage 1945</v>
      </c>
      <c r="H1184">
        <v>349.15</v>
      </c>
      <c r="I1184">
        <v>73.967249999999993</v>
      </c>
      <c r="J1184">
        <v>3.8985831361235488</v>
      </c>
      <c r="L1184">
        <v>3.5999999999999999E-3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>
      <c r="A1185" t="str">
        <f t="shared" si="286"/>
        <v>Prutton &amp; Savage 1945</v>
      </c>
      <c r="H1185">
        <v>349.15</v>
      </c>
      <c r="I1185">
        <v>15.19875</v>
      </c>
      <c r="J1185">
        <v>3.8985831361235488</v>
      </c>
      <c r="L1185">
        <v>8.9999999999999998E-4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>
      <c r="A1186" t="str">
        <f t="shared" si="286"/>
        <v>Prutton &amp; Savage 1945</v>
      </c>
      <c r="H1186">
        <v>349.15</v>
      </c>
      <c r="I1186">
        <v>15.19875</v>
      </c>
      <c r="J1186">
        <v>3.8985831361235488</v>
      </c>
      <c r="L1186">
        <v>8.9999999999999998E-4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>
      <c r="A1187" t="str">
        <f t="shared" si="286"/>
        <v>Prutton &amp; Savage 1945</v>
      </c>
      <c r="H1187">
        <v>374.15</v>
      </c>
      <c r="I1187">
        <v>638.34749999999997</v>
      </c>
      <c r="J1187">
        <v>3.8985831361235488</v>
      </c>
      <c r="L1187">
        <v>7.1000000000000004E-3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>
      <c r="A1188" t="str">
        <f t="shared" si="286"/>
        <v>Prutton &amp; Savage 1945</v>
      </c>
      <c r="H1188">
        <v>374.15</v>
      </c>
      <c r="I1188">
        <v>531.95624999999995</v>
      </c>
      <c r="J1188">
        <v>3.8985831361235488</v>
      </c>
      <c r="L1188">
        <v>7.0000000000000001E-3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>
      <c r="A1189" t="str">
        <f t="shared" si="286"/>
        <v>Prutton &amp; Savage 1945</v>
      </c>
      <c r="H1189">
        <v>374.15</v>
      </c>
      <c r="I1189">
        <v>407.32650000000001</v>
      </c>
      <c r="J1189">
        <v>3.8985831361235488</v>
      </c>
      <c r="L1189">
        <v>6.3E-3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t="str">
        <f t="shared" si="286"/>
        <v>Prutton &amp; Savage 1945</v>
      </c>
      <c r="H1190">
        <v>374.15</v>
      </c>
      <c r="I1190">
        <v>394.15424999999999</v>
      </c>
      <c r="J1190">
        <v>3.8985831361235488</v>
      </c>
      <c r="L1190">
        <v>6.4000000000000003E-3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t="str">
        <f t="shared" si="286"/>
        <v>Prutton &amp; Savage 1945</v>
      </c>
      <c r="H1191">
        <v>374.15</v>
      </c>
      <c r="I1191">
        <v>393.14100000000002</v>
      </c>
      <c r="J1191">
        <v>3.8985831361235488</v>
      </c>
      <c r="L1191">
        <v>6.4000000000000003E-3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>
      <c r="A1192" t="str">
        <f t="shared" si="286"/>
        <v>Prutton &amp; Savage 1945</v>
      </c>
      <c r="H1192">
        <v>374.15</v>
      </c>
      <c r="I1192">
        <v>264.45825000000002</v>
      </c>
      <c r="J1192">
        <v>3.8985831361235488</v>
      </c>
      <c r="L1192">
        <v>5.7999999999999996E-3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>
      <c r="A1193" t="str">
        <f t="shared" si="286"/>
        <v>Prutton &amp; Savage 1945</v>
      </c>
      <c r="H1193">
        <v>374.15</v>
      </c>
      <c r="I1193">
        <v>241.15350000000001</v>
      </c>
      <c r="J1193">
        <v>3.8985831361235488</v>
      </c>
      <c r="L1193">
        <v>5.1999999999999998E-3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>
      <c r="A1194" t="str">
        <f t="shared" si="286"/>
        <v>Prutton &amp; Savage 1945</v>
      </c>
      <c r="H1194">
        <v>374.15</v>
      </c>
      <c r="I1194">
        <v>237.10049999999998</v>
      </c>
      <c r="J1194">
        <v>3.8985831361235488</v>
      </c>
      <c r="L1194">
        <v>5.4000000000000003E-3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>
      <c r="A1195" t="str">
        <f t="shared" si="286"/>
        <v>Prutton &amp; Savage 1945</v>
      </c>
      <c r="H1195">
        <v>374.15</v>
      </c>
      <c r="I1195">
        <v>156.04050000000001</v>
      </c>
      <c r="J1195">
        <v>3.8985831361235488</v>
      </c>
      <c r="L1195">
        <v>4.8999999999999998E-3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>
      <c r="A1196" t="str">
        <f t="shared" si="286"/>
        <v>Prutton &amp; Savage 1945</v>
      </c>
      <c r="H1196">
        <v>374.15</v>
      </c>
      <c r="I1196">
        <v>153.00075000000001</v>
      </c>
      <c r="J1196">
        <v>3.8985831361235488</v>
      </c>
      <c r="L1196">
        <v>4.7000000000000002E-3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>
      <c r="A1197" t="str">
        <f t="shared" si="286"/>
        <v>Prutton &amp; Savage 1945</v>
      </c>
      <c r="H1197">
        <v>374.15</v>
      </c>
      <c r="I1197">
        <v>77.007000000000005</v>
      </c>
      <c r="J1197">
        <v>3.8985831361235488</v>
      </c>
      <c r="L1197">
        <v>3.3E-3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>
      <c r="A1198" t="str">
        <f t="shared" ref="A1198:A1212" si="287">A1197</f>
        <v>Prutton &amp; Savage 1945</v>
      </c>
      <c r="H1198">
        <v>374.15</v>
      </c>
      <c r="I1198">
        <v>74.980499999999992</v>
      </c>
      <c r="J1198">
        <v>3.8985831361235488</v>
      </c>
      <c r="L1198">
        <v>3.0999999999999999E-3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>
      <c r="A1199" t="str">
        <f t="shared" si="287"/>
        <v>Prutton &amp; Savage 1945</v>
      </c>
      <c r="H1199">
        <v>394.15</v>
      </c>
      <c r="I1199">
        <v>885.58050000000003</v>
      </c>
      <c r="J1199">
        <v>3.8985831361235488</v>
      </c>
      <c r="L1199">
        <v>2.12E-2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>
      <c r="A1200" t="str">
        <f t="shared" si="287"/>
        <v>Prutton &amp; Savage 1945</v>
      </c>
      <c r="H1200">
        <v>394.15</v>
      </c>
      <c r="I1200">
        <v>840.99749999999995</v>
      </c>
      <c r="J1200">
        <v>3.8985831361235488</v>
      </c>
      <c r="L1200">
        <v>2.1999999999999999E-2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>
      <c r="A1201" t="str">
        <f t="shared" si="287"/>
        <v>Prutton &amp; Savage 1945</v>
      </c>
      <c r="H1201">
        <v>394.15</v>
      </c>
      <c r="I1201">
        <v>663.67875000000004</v>
      </c>
      <c r="J1201">
        <v>3.8985831361235488</v>
      </c>
      <c r="L1201">
        <v>1.9800000000000002E-2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>
      <c r="A1202" t="str">
        <f t="shared" si="287"/>
        <v>Prutton &amp; Savage 1945</v>
      </c>
      <c r="H1202">
        <v>394.15</v>
      </c>
      <c r="I1202">
        <v>651.51975000000004</v>
      </c>
      <c r="J1202">
        <v>3.8985831361235488</v>
      </c>
      <c r="L1202">
        <v>1.095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>
      <c r="A1203" t="str">
        <f t="shared" si="287"/>
        <v>Prutton &amp; Savage 1945</v>
      </c>
      <c r="H1203">
        <v>394.15</v>
      </c>
      <c r="I1203">
        <v>498.51900000000001</v>
      </c>
      <c r="J1203">
        <v>3.8985831361235488</v>
      </c>
      <c r="L1203">
        <v>1.0840000000000001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>
      <c r="A1204" t="str">
        <f t="shared" si="287"/>
        <v>Prutton &amp; Savage 1945</v>
      </c>
      <c r="H1204">
        <v>394.15</v>
      </c>
      <c r="I1204">
        <v>486.36</v>
      </c>
      <c r="J1204">
        <v>3.8985831361235488</v>
      </c>
      <c r="L1204">
        <v>1.7899999999999999E-2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>
      <c r="A1205" t="str">
        <f t="shared" si="287"/>
        <v>Prutton &amp; Savage 1945</v>
      </c>
      <c r="H1205">
        <v>394.15</v>
      </c>
      <c r="I1205">
        <v>322.21350000000001</v>
      </c>
      <c r="J1205">
        <v>3.8985831361235488</v>
      </c>
      <c r="L1205">
        <v>1.5900000000000001E-2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>
      <c r="A1206" t="str">
        <f t="shared" si="287"/>
        <v>Prutton &amp; Savage 1945</v>
      </c>
      <c r="H1206">
        <v>394.15</v>
      </c>
      <c r="I1206">
        <v>313.09424999999999</v>
      </c>
      <c r="J1206">
        <v>3.8985831361235488</v>
      </c>
      <c r="L1206">
        <v>1.5299999999999999E-2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>
      <c r="A1207" t="str">
        <f t="shared" si="287"/>
        <v>Prutton &amp; Savage 1945</v>
      </c>
      <c r="H1207">
        <v>394.15</v>
      </c>
      <c r="I1207">
        <v>158.06700000000001</v>
      </c>
      <c r="J1207">
        <v>3.8985831361235488</v>
      </c>
      <c r="L1207">
        <v>1.24E-2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>
      <c r="A1208" t="str">
        <f t="shared" si="287"/>
        <v>Prutton &amp; Savage 1945</v>
      </c>
      <c r="H1208">
        <v>394.15</v>
      </c>
      <c r="I1208">
        <v>157.05375000000001</v>
      </c>
      <c r="J1208">
        <v>3.8985831361235488</v>
      </c>
      <c r="L1208">
        <v>1.1599999999999999E-2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5">
      <c r="A1209" t="str">
        <f t="shared" si="287"/>
        <v>Prutton &amp; Savage 1945</v>
      </c>
      <c r="H1209">
        <v>394.15</v>
      </c>
      <c r="I1209">
        <v>74.980499999999992</v>
      </c>
      <c r="J1209">
        <v>3.8985831361235488</v>
      </c>
      <c r="L1209">
        <v>8.2000000000000007E-3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>
      <c r="A1210" t="str">
        <f t="shared" si="287"/>
        <v>Prutton &amp; Savage 1945</v>
      </c>
      <c r="H1210">
        <v>394.15</v>
      </c>
      <c r="I1210">
        <v>73.967249999999993</v>
      </c>
      <c r="J1210">
        <v>3.8985831361235488</v>
      </c>
      <c r="L1210">
        <v>7.1000000000000004E-3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>
      <c r="A1211" t="str">
        <f t="shared" si="287"/>
        <v>Prutton &amp; Savage 1945</v>
      </c>
      <c r="H1211">
        <v>394.15</v>
      </c>
      <c r="I1211">
        <v>28.370999999999999</v>
      </c>
      <c r="J1211">
        <v>3.8985831361235488</v>
      </c>
      <c r="L1211">
        <v>3.0000000000000001E-3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>
      <c r="A1212" t="str">
        <f t="shared" si="287"/>
        <v>Prutton &amp; Savage 1945</v>
      </c>
      <c r="C1212" t="s">
        <v>49</v>
      </c>
      <c r="D1212" t="s">
        <v>47</v>
      </c>
      <c r="E1212" t="s">
        <v>46</v>
      </c>
      <c r="F1212" t="s">
        <v>55</v>
      </c>
      <c r="H1212">
        <v>394.15</v>
      </c>
      <c r="I1212">
        <v>28.370999999999999</v>
      </c>
      <c r="J1212">
        <v>3.8985831361235488</v>
      </c>
      <c r="L1212">
        <v>3.0000000000000001E-3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</row>
    <row r="1213" spans="1:25" hidden="1">
      <c r="A1213" t="s">
        <v>31</v>
      </c>
      <c r="H1213">
        <v>273.14999999999998</v>
      </c>
      <c r="I1213">
        <v>1.0189999999999999</v>
      </c>
      <c r="J1213">
        <f t="shared" ref="J1213:J1244" si="288">J1212</f>
        <v>3.8985831361235488</v>
      </c>
      <c r="L1213">
        <v>1.3980000000000001E-4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</row>
    <row r="1214" spans="1:25" hidden="1">
      <c r="A1214" t="s">
        <v>31</v>
      </c>
      <c r="H1214">
        <v>273.14999999999998</v>
      </c>
      <c r="I1214">
        <v>1.0189999999999999</v>
      </c>
      <c r="J1214">
        <f t="shared" si="288"/>
        <v>3.8985831361235488</v>
      </c>
      <c r="L1214">
        <v>1.3999999999999999E-4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 hidden="1">
      <c r="A1215" t="s">
        <v>79</v>
      </c>
      <c r="H1215">
        <v>338.15</v>
      </c>
      <c r="I1215">
        <v>101.3</v>
      </c>
      <c r="J1215">
        <f t="shared" si="288"/>
        <v>3.8985831361235488</v>
      </c>
      <c r="N1215">
        <v>6.9999999999999999E-4</v>
      </c>
      <c r="S1215">
        <f t="shared" ref="S1215:S1232" si="289">S1214</f>
        <v>1</v>
      </c>
      <c r="T1215">
        <f t="shared" ref="T1215:T1232" si="290">T1214</f>
        <v>0</v>
      </c>
      <c r="U1215">
        <f t="shared" ref="U1215:U1232" si="291">U1214</f>
        <v>0</v>
      </c>
      <c r="V1215">
        <f t="shared" ref="V1215:V1232" si="292">V1214</f>
        <v>0</v>
      </c>
      <c r="W1215">
        <f t="shared" ref="W1215:W1232" si="293">W1214</f>
        <v>0</v>
      </c>
      <c r="X1215">
        <f t="shared" ref="X1215:X1232" si="294">X1214</f>
        <v>0</v>
      </c>
      <c r="Y1215">
        <f t="shared" ref="Y1215:Y1232" si="295">Y1214</f>
        <v>0</v>
      </c>
    </row>
    <row r="1216" spans="1:25" hidden="1">
      <c r="A1216" t="str">
        <f t="shared" ref="A1216:A1232" si="296">A1215</f>
        <v>Saddington 1934</v>
      </c>
      <c r="H1216">
        <v>353.15</v>
      </c>
      <c r="I1216">
        <v>101.3</v>
      </c>
      <c r="J1216">
        <f t="shared" si="288"/>
        <v>3.8985831361235488</v>
      </c>
      <c r="N1216">
        <v>6.9800000000000005E-4</v>
      </c>
      <c r="S1216">
        <f t="shared" si="289"/>
        <v>1</v>
      </c>
      <c r="T1216">
        <f t="shared" si="290"/>
        <v>0</v>
      </c>
      <c r="U1216">
        <f t="shared" si="291"/>
        <v>0</v>
      </c>
      <c r="V1216">
        <f t="shared" si="292"/>
        <v>0</v>
      </c>
      <c r="W1216">
        <f t="shared" si="293"/>
        <v>0</v>
      </c>
      <c r="X1216">
        <f t="shared" si="294"/>
        <v>0</v>
      </c>
      <c r="Y1216">
        <f t="shared" si="295"/>
        <v>0</v>
      </c>
    </row>
    <row r="1217" spans="1:25" hidden="1">
      <c r="A1217" t="str">
        <f t="shared" si="296"/>
        <v>Saddington 1934</v>
      </c>
      <c r="H1217">
        <v>398.15</v>
      </c>
      <c r="I1217">
        <v>101.3</v>
      </c>
      <c r="J1217">
        <f t="shared" si="288"/>
        <v>3.8985831361235488</v>
      </c>
      <c r="N1217">
        <v>8.5499999999999997E-4</v>
      </c>
      <c r="S1217">
        <f t="shared" si="289"/>
        <v>1</v>
      </c>
      <c r="T1217">
        <f t="shared" si="290"/>
        <v>0</v>
      </c>
      <c r="U1217">
        <f t="shared" si="291"/>
        <v>0</v>
      </c>
      <c r="V1217">
        <f t="shared" si="292"/>
        <v>0</v>
      </c>
      <c r="W1217">
        <f t="shared" si="293"/>
        <v>0</v>
      </c>
      <c r="X1217">
        <f t="shared" si="294"/>
        <v>0</v>
      </c>
      <c r="Y1217">
        <f t="shared" si="295"/>
        <v>0</v>
      </c>
    </row>
    <row r="1218" spans="1:25" hidden="1">
      <c r="A1218" t="str">
        <f t="shared" si="296"/>
        <v>Saddington 1934</v>
      </c>
      <c r="H1218">
        <v>453.15</v>
      </c>
      <c r="I1218">
        <v>101.3</v>
      </c>
      <c r="J1218">
        <f t="shared" si="288"/>
        <v>3.8985831361235488</v>
      </c>
      <c r="N1218">
        <v>1.173E-3</v>
      </c>
      <c r="S1218">
        <f t="shared" si="289"/>
        <v>1</v>
      </c>
      <c r="T1218">
        <f t="shared" si="290"/>
        <v>0</v>
      </c>
      <c r="U1218">
        <f t="shared" si="291"/>
        <v>0</v>
      </c>
      <c r="V1218">
        <f t="shared" si="292"/>
        <v>0</v>
      </c>
      <c r="W1218">
        <f t="shared" si="293"/>
        <v>0</v>
      </c>
      <c r="X1218">
        <f t="shared" si="294"/>
        <v>0</v>
      </c>
      <c r="Y1218">
        <f t="shared" si="295"/>
        <v>0</v>
      </c>
    </row>
    <row r="1219" spans="1:25" hidden="1">
      <c r="A1219" t="str">
        <f t="shared" si="296"/>
        <v>Saddington 1934</v>
      </c>
      <c r="H1219">
        <v>483.15</v>
      </c>
      <c r="I1219">
        <v>101.3</v>
      </c>
      <c r="J1219">
        <f t="shared" si="288"/>
        <v>3.8985831361235488</v>
      </c>
      <c r="N1219">
        <v>1.297E-3</v>
      </c>
      <c r="S1219">
        <f t="shared" si="289"/>
        <v>1</v>
      </c>
      <c r="T1219">
        <f t="shared" si="290"/>
        <v>0</v>
      </c>
      <c r="U1219">
        <f t="shared" si="291"/>
        <v>0</v>
      </c>
      <c r="V1219">
        <f t="shared" si="292"/>
        <v>0</v>
      </c>
      <c r="W1219">
        <f t="shared" si="293"/>
        <v>0</v>
      </c>
      <c r="X1219">
        <f t="shared" si="294"/>
        <v>0</v>
      </c>
      <c r="Y1219">
        <f t="shared" si="295"/>
        <v>0</v>
      </c>
    </row>
    <row r="1220" spans="1:25" hidden="1">
      <c r="A1220" t="str">
        <f t="shared" si="296"/>
        <v>Saddington 1934</v>
      </c>
      <c r="H1220">
        <v>513.15</v>
      </c>
      <c r="I1220">
        <v>101.3</v>
      </c>
      <c r="J1220">
        <f t="shared" si="288"/>
        <v>3.8985831361235488</v>
      </c>
      <c r="N1220">
        <v>1.446E-3</v>
      </c>
      <c r="S1220">
        <f t="shared" si="289"/>
        <v>1</v>
      </c>
      <c r="T1220">
        <f t="shared" si="290"/>
        <v>0</v>
      </c>
      <c r="U1220">
        <f t="shared" si="291"/>
        <v>0</v>
      </c>
      <c r="V1220">
        <f t="shared" si="292"/>
        <v>0</v>
      </c>
      <c r="W1220">
        <f t="shared" si="293"/>
        <v>0</v>
      </c>
      <c r="X1220">
        <f t="shared" si="294"/>
        <v>0</v>
      </c>
      <c r="Y1220">
        <f t="shared" si="295"/>
        <v>0</v>
      </c>
    </row>
    <row r="1221" spans="1:25" hidden="1">
      <c r="A1221" t="str">
        <f t="shared" si="296"/>
        <v>Saddington 1934</v>
      </c>
      <c r="H1221">
        <v>323.14999999999998</v>
      </c>
      <c r="I1221">
        <v>202.7</v>
      </c>
      <c r="J1221">
        <f t="shared" si="288"/>
        <v>3.8985831361235488</v>
      </c>
      <c r="N1221">
        <v>1.2899999999999999E-3</v>
      </c>
      <c r="S1221">
        <f t="shared" si="289"/>
        <v>1</v>
      </c>
      <c r="T1221">
        <f t="shared" si="290"/>
        <v>0</v>
      </c>
      <c r="U1221">
        <f t="shared" si="291"/>
        <v>0</v>
      </c>
      <c r="V1221">
        <f t="shared" si="292"/>
        <v>0</v>
      </c>
      <c r="W1221">
        <f t="shared" si="293"/>
        <v>0</v>
      </c>
      <c r="X1221">
        <f t="shared" si="294"/>
        <v>0</v>
      </c>
      <c r="Y1221">
        <f t="shared" si="295"/>
        <v>0</v>
      </c>
    </row>
    <row r="1222" spans="1:25" hidden="1">
      <c r="A1222" t="str">
        <f t="shared" si="296"/>
        <v>Saddington 1934</v>
      </c>
      <c r="H1222">
        <v>353.15</v>
      </c>
      <c r="I1222">
        <v>202.7</v>
      </c>
      <c r="J1222">
        <f t="shared" si="288"/>
        <v>3.8985831361235488</v>
      </c>
      <c r="N1222">
        <v>1.248E-3</v>
      </c>
      <c r="S1222">
        <f t="shared" si="289"/>
        <v>1</v>
      </c>
      <c r="T1222">
        <f t="shared" si="290"/>
        <v>0</v>
      </c>
      <c r="U1222">
        <f t="shared" si="291"/>
        <v>0</v>
      </c>
      <c r="V1222">
        <f t="shared" si="292"/>
        <v>0</v>
      </c>
      <c r="W1222">
        <f t="shared" si="293"/>
        <v>0</v>
      </c>
      <c r="X1222">
        <f t="shared" si="294"/>
        <v>0</v>
      </c>
      <c r="Y1222">
        <f t="shared" si="295"/>
        <v>0</v>
      </c>
    </row>
    <row r="1223" spans="1:25" hidden="1">
      <c r="A1223" t="str">
        <f t="shared" si="296"/>
        <v>Saddington 1934</v>
      </c>
      <c r="H1223">
        <v>373.15</v>
      </c>
      <c r="I1223">
        <v>202.7</v>
      </c>
      <c r="J1223">
        <f t="shared" si="288"/>
        <v>3.8985831361235488</v>
      </c>
      <c r="N1223">
        <v>1.302E-3</v>
      </c>
      <c r="S1223">
        <f t="shared" si="289"/>
        <v>1</v>
      </c>
      <c r="T1223">
        <f t="shared" si="290"/>
        <v>0</v>
      </c>
      <c r="U1223">
        <f t="shared" si="291"/>
        <v>0</v>
      </c>
      <c r="V1223">
        <f t="shared" si="292"/>
        <v>0</v>
      </c>
      <c r="W1223">
        <f t="shared" si="293"/>
        <v>0</v>
      </c>
      <c r="X1223">
        <f t="shared" si="294"/>
        <v>0</v>
      </c>
      <c r="Y1223">
        <f t="shared" si="295"/>
        <v>0</v>
      </c>
    </row>
    <row r="1224" spans="1:25" hidden="1">
      <c r="A1224" t="str">
        <f t="shared" si="296"/>
        <v>Saddington 1934</v>
      </c>
      <c r="H1224">
        <v>423.15</v>
      </c>
      <c r="I1224">
        <v>202.7</v>
      </c>
      <c r="J1224">
        <f t="shared" si="288"/>
        <v>3.8985831361235488</v>
      </c>
      <c r="N1224">
        <v>1.5499999999999999E-3</v>
      </c>
      <c r="S1224">
        <f t="shared" si="289"/>
        <v>1</v>
      </c>
      <c r="T1224">
        <f t="shared" si="290"/>
        <v>0</v>
      </c>
      <c r="U1224">
        <f t="shared" si="291"/>
        <v>0</v>
      </c>
      <c r="V1224">
        <f t="shared" si="292"/>
        <v>0</v>
      </c>
      <c r="W1224">
        <f t="shared" si="293"/>
        <v>0</v>
      </c>
      <c r="X1224">
        <f t="shared" si="294"/>
        <v>0</v>
      </c>
      <c r="Y1224">
        <f t="shared" si="295"/>
        <v>0</v>
      </c>
    </row>
    <row r="1225" spans="1:25" hidden="1">
      <c r="A1225" t="str">
        <f t="shared" si="296"/>
        <v>Saddington 1934</v>
      </c>
      <c r="H1225">
        <v>473.15</v>
      </c>
      <c r="I1225">
        <v>202.7</v>
      </c>
      <c r="J1225">
        <f t="shared" si="288"/>
        <v>3.8985831361235488</v>
      </c>
      <c r="N1225">
        <v>2.343E-3</v>
      </c>
      <c r="S1225">
        <f t="shared" si="289"/>
        <v>1</v>
      </c>
      <c r="T1225">
        <f t="shared" si="290"/>
        <v>0</v>
      </c>
      <c r="U1225">
        <f t="shared" si="291"/>
        <v>0</v>
      </c>
      <c r="V1225">
        <f t="shared" si="292"/>
        <v>0</v>
      </c>
      <c r="W1225">
        <f t="shared" si="293"/>
        <v>0</v>
      </c>
      <c r="X1225">
        <f t="shared" si="294"/>
        <v>0</v>
      </c>
      <c r="Y1225">
        <f t="shared" si="295"/>
        <v>0</v>
      </c>
    </row>
    <row r="1226" spans="1:25" hidden="1">
      <c r="A1226" t="str">
        <f t="shared" si="296"/>
        <v>Saddington 1934</v>
      </c>
      <c r="H1226">
        <v>513.15</v>
      </c>
      <c r="I1226">
        <v>202.7</v>
      </c>
      <c r="J1226">
        <f t="shared" si="288"/>
        <v>3.8985831361235488</v>
      </c>
      <c r="N1226">
        <v>3.1189999999999998E-3</v>
      </c>
      <c r="S1226">
        <f t="shared" si="289"/>
        <v>1</v>
      </c>
      <c r="T1226">
        <f t="shared" si="290"/>
        <v>0</v>
      </c>
      <c r="U1226">
        <f t="shared" si="291"/>
        <v>0</v>
      </c>
      <c r="V1226">
        <f t="shared" si="292"/>
        <v>0</v>
      </c>
      <c r="W1226">
        <f t="shared" si="293"/>
        <v>0</v>
      </c>
      <c r="X1226">
        <f t="shared" si="294"/>
        <v>0</v>
      </c>
      <c r="Y1226">
        <f t="shared" si="295"/>
        <v>0</v>
      </c>
    </row>
    <row r="1227" spans="1:25" hidden="1">
      <c r="A1227" t="str">
        <f t="shared" si="296"/>
        <v>Saddington 1934</v>
      </c>
      <c r="H1227">
        <v>323.14999999999998</v>
      </c>
      <c r="I1227">
        <v>304</v>
      </c>
      <c r="J1227">
        <f t="shared" si="288"/>
        <v>3.8985831361235488</v>
      </c>
      <c r="N1227">
        <v>1.8339999999999999E-3</v>
      </c>
      <c r="S1227">
        <f t="shared" si="289"/>
        <v>1</v>
      </c>
      <c r="T1227">
        <f t="shared" si="290"/>
        <v>0</v>
      </c>
      <c r="U1227">
        <f t="shared" si="291"/>
        <v>0</v>
      </c>
      <c r="V1227">
        <f t="shared" si="292"/>
        <v>0</v>
      </c>
      <c r="W1227">
        <f t="shared" si="293"/>
        <v>0</v>
      </c>
      <c r="X1227">
        <f t="shared" si="294"/>
        <v>0</v>
      </c>
      <c r="Y1227">
        <f t="shared" si="295"/>
        <v>0</v>
      </c>
    </row>
    <row r="1228" spans="1:25" hidden="1">
      <c r="A1228" t="str">
        <f t="shared" si="296"/>
        <v>Saddington 1934</v>
      </c>
      <c r="H1228">
        <v>343.15</v>
      </c>
      <c r="I1228">
        <v>304</v>
      </c>
      <c r="J1228">
        <f t="shared" si="288"/>
        <v>3.8985831361235488</v>
      </c>
      <c r="N1228">
        <v>1.73E-3</v>
      </c>
      <c r="S1228">
        <f t="shared" si="289"/>
        <v>1</v>
      </c>
      <c r="T1228">
        <f t="shared" si="290"/>
        <v>0</v>
      </c>
      <c r="U1228">
        <f t="shared" si="291"/>
        <v>0</v>
      </c>
      <c r="V1228">
        <f t="shared" si="292"/>
        <v>0</v>
      </c>
      <c r="W1228">
        <f t="shared" si="293"/>
        <v>0</v>
      </c>
      <c r="X1228">
        <f t="shared" si="294"/>
        <v>0</v>
      </c>
      <c r="Y1228">
        <f t="shared" si="295"/>
        <v>0</v>
      </c>
    </row>
    <row r="1229" spans="1:25" hidden="1">
      <c r="A1229" t="str">
        <f t="shared" si="296"/>
        <v>Saddington 1934</v>
      </c>
      <c r="H1229">
        <v>378.15</v>
      </c>
      <c r="I1229">
        <v>304</v>
      </c>
      <c r="J1229">
        <f t="shared" si="288"/>
        <v>3.8985831361235488</v>
      </c>
      <c r="N1229">
        <v>1.853E-3</v>
      </c>
      <c r="S1229">
        <f t="shared" si="289"/>
        <v>1</v>
      </c>
      <c r="T1229">
        <f t="shared" si="290"/>
        <v>0</v>
      </c>
      <c r="U1229">
        <f t="shared" si="291"/>
        <v>0</v>
      </c>
      <c r="V1229">
        <f t="shared" si="292"/>
        <v>0</v>
      </c>
      <c r="W1229">
        <f t="shared" si="293"/>
        <v>0</v>
      </c>
      <c r="X1229">
        <f t="shared" si="294"/>
        <v>0</v>
      </c>
      <c r="Y1229">
        <f t="shared" si="295"/>
        <v>0</v>
      </c>
    </row>
    <row r="1230" spans="1:25" hidden="1">
      <c r="A1230" t="str">
        <f t="shared" si="296"/>
        <v>Saddington 1934</v>
      </c>
      <c r="H1230">
        <v>408.15</v>
      </c>
      <c r="I1230">
        <v>304</v>
      </c>
      <c r="J1230">
        <f t="shared" si="288"/>
        <v>3.8985831361235488</v>
      </c>
      <c r="N1230">
        <v>2.2300000000000002E-3</v>
      </c>
      <c r="S1230">
        <f t="shared" si="289"/>
        <v>1</v>
      </c>
      <c r="T1230">
        <f t="shared" si="290"/>
        <v>0</v>
      </c>
      <c r="U1230">
        <f t="shared" si="291"/>
        <v>0</v>
      </c>
      <c r="V1230">
        <f t="shared" si="292"/>
        <v>0</v>
      </c>
      <c r="W1230">
        <f t="shared" si="293"/>
        <v>0</v>
      </c>
      <c r="X1230">
        <f t="shared" si="294"/>
        <v>0</v>
      </c>
      <c r="Y1230">
        <f t="shared" si="295"/>
        <v>0</v>
      </c>
    </row>
    <row r="1231" spans="1:25" hidden="1">
      <c r="A1231" t="str">
        <f t="shared" si="296"/>
        <v>Saddington 1934</v>
      </c>
      <c r="H1231">
        <v>438.15</v>
      </c>
      <c r="I1231">
        <v>304</v>
      </c>
      <c r="J1231">
        <f t="shared" si="288"/>
        <v>3.8985831361235488</v>
      </c>
      <c r="N1231">
        <v>2.7829999999999999E-3</v>
      </c>
      <c r="S1231">
        <f t="shared" si="289"/>
        <v>1</v>
      </c>
      <c r="T1231">
        <f t="shared" si="290"/>
        <v>0</v>
      </c>
      <c r="U1231">
        <f t="shared" si="291"/>
        <v>0</v>
      </c>
      <c r="V1231">
        <f t="shared" si="292"/>
        <v>0</v>
      </c>
      <c r="W1231">
        <f t="shared" si="293"/>
        <v>0</v>
      </c>
      <c r="X1231">
        <f t="shared" si="294"/>
        <v>0</v>
      </c>
      <c r="Y1231">
        <f t="shared" si="295"/>
        <v>0</v>
      </c>
    </row>
    <row r="1232" spans="1:25" hidden="1">
      <c r="A1232" t="str">
        <f t="shared" si="296"/>
        <v>Saddington 1934</v>
      </c>
      <c r="H1232">
        <v>503.15</v>
      </c>
      <c r="I1232">
        <v>304</v>
      </c>
      <c r="J1232">
        <f t="shared" si="288"/>
        <v>3.8985831361235488</v>
      </c>
      <c r="N1232">
        <v>4.313E-3</v>
      </c>
      <c r="S1232">
        <f t="shared" si="289"/>
        <v>1</v>
      </c>
      <c r="T1232">
        <f t="shared" si="290"/>
        <v>0</v>
      </c>
      <c r="U1232">
        <f t="shared" si="291"/>
        <v>0</v>
      </c>
      <c r="V1232">
        <f t="shared" si="292"/>
        <v>0</v>
      </c>
      <c r="W1232">
        <f t="shared" si="293"/>
        <v>0</v>
      </c>
      <c r="X1232">
        <f t="shared" si="294"/>
        <v>0</v>
      </c>
      <c r="Y1232">
        <f t="shared" si="295"/>
        <v>0</v>
      </c>
    </row>
    <row r="1233" spans="1:25" hidden="1">
      <c r="A1233" t="s">
        <v>88</v>
      </c>
      <c r="H1233">
        <v>323.20999999999998</v>
      </c>
      <c r="I1233">
        <v>11.899999999999999</v>
      </c>
      <c r="J1233">
        <f t="shared" si="288"/>
        <v>3.8985831361235488</v>
      </c>
      <c r="N1233">
        <v>1.2E-4</v>
      </c>
      <c r="S1233">
        <f t="shared" ref="S1233:S1264" si="297">S1232</f>
        <v>1</v>
      </c>
      <c r="T1233">
        <f t="shared" ref="T1233:T1264" si="298">T1232</f>
        <v>0</v>
      </c>
      <c r="U1233">
        <v>1</v>
      </c>
      <c r="V1233">
        <v>0</v>
      </c>
      <c r="W1233">
        <f t="shared" ref="W1233:W1264" si="299">W1232</f>
        <v>0</v>
      </c>
      <c r="X1233">
        <f t="shared" ref="X1233:X1264" si="300">X1232</f>
        <v>0</v>
      </c>
      <c r="Y1233">
        <f t="shared" ref="Y1233:Y1264" si="301">Y1232</f>
        <v>0</v>
      </c>
    </row>
    <row r="1234" spans="1:25" hidden="1">
      <c r="A1234" t="str">
        <f t="shared" ref="A1234:A1265" si="302">A1233</f>
        <v>Sanchez-Vicente 2022</v>
      </c>
      <c r="H1234">
        <v>323.22000000000003</v>
      </c>
      <c r="I1234">
        <v>20.299999999999997</v>
      </c>
      <c r="J1234">
        <f t="shared" si="288"/>
        <v>3.8985831361235488</v>
      </c>
      <c r="N1234">
        <v>1.6000000000000001E-4</v>
      </c>
      <c r="S1234">
        <f t="shared" si="297"/>
        <v>1</v>
      </c>
      <c r="T1234">
        <f t="shared" si="298"/>
        <v>0</v>
      </c>
      <c r="U1234">
        <f t="shared" ref="U1234:U1265" si="303">U1233</f>
        <v>1</v>
      </c>
      <c r="V1234">
        <f t="shared" ref="V1234:V1265" si="304">V1233</f>
        <v>0</v>
      </c>
      <c r="W1234">
        <f t="shared" si="299"/>
        <v>0</v>
      </c>
      <c r="X1234">
        <f t="shared" si="300"/>
        <v>0</v>
      </c>
      <c r="Y1234">
        <f t="shared" si="301"/>
        <v>0</v>
      </c>
    </row>
    <row r="1235" spans="1:25" hidden="1">
      <c r="A1235" t="str">
        <f t="shared" si="302"/>
        <v>Sanchez-Vicente 2022</v>
      </c>
      <c r="H1235">
        <v>323.2</v>
      </c>
      <c r="I1235">
        <v>26.200000000000003</v>
      </c>
      <c r="J1235">
        <f t="shared" si="288"/>
        <v>3.8985831361235488</v>
      </c>
      <c r="N1235">
        <v>2.1000000000000001E-4</v>
      </c>
      <c r="S1235">
        <f t="shared" si="297"/>
        <v>1</v>
      </c>
      <c r="T1235">
        <f t="shared" si="298"/>
        <v>0</v>
      </c>
      <c r="U1235">
        <f t="shared" si="303"/>
        <v>1</v>
      </c>
      <c r="V1235">
        <f t="shared" si="304"/>
        <v>0</v>
      </c>
      <c r="W1235">
        <f t="shared" si="299"/>
        <v>0</v>
      </c>
      <c r="X1235">
        <f t="shared" si="300"/>
        <v>0</v>
      </c>
      <c r="Y1235">
        <f t="shared" si="301"/>
        <v>0</v>
      </c>
    </row>
    <row r="1236" spans="1:25" hidden="1">
      <c r="A1236" t="str">
        <f t="shared" si="302"/>
        <v>Sanchez-Vicente 2022</v>
      </c>
      <c r="H1236">
        <v>323.19</v>
      </c>
      <c r="I1236">
        <v>26.200000000000003</v>
      </c>
      <c r="J1236">
        <f t="shared" si="288"/>
        <v>3.8985831361235488</v>
      </c>
      <c r="N1236">
        <v>2.3000000000000001E-4</v>
      </c>
      <c r="S1236">
        <f t="shared" si="297"/>
        <v>1</v>
      </c>
      <c r="T1236">
        <f t="shared" si="298"/>
        <v>0</v>
      </c>
      <c r="U1236">
        <f t="shared" si="303"/>
        <v>1</v>
      </c>
      <c r="V1236">
        <f t="shared" si="304"/>
        <v>0</v>
      </c>
      <c r="W1236">
        <f t="shared" si="299"/>
        <v>0</v>
      </c>
      <c r="X1236">
        <f t="shared" si="300"/>
        <v>0</v>
      </c>
      <c r="Y1236">
        <f t="shared" si="301"/>
        <v>0</v>
      </c>
    </row>
    <row r="1237" spans="1:25" hidden="1">
      <c r="A1237" t="str">
        <f t="shared" si="302"/>
        <v>Sanchez-Vicente 2022</v>
      </c>
      <c r="H1237">
        <v>323.22000000000003</v>
      </c>
      <c r="I1237">
        <v>50.599999999999994</v>
      </c>
      <c r="J1237">
        <f t="shared" si="288"/>
        <v>3.8985831361235488</v>
      </c>
      <c r="N1237">
        <v>4.2000000000000002E-4</v>
      </c>
      <c r="S1237">
        <f t="shared" si="297"/>
        <v>1</v>
      </c>
      <c r="T1237">
        <f t="shared" si="298"/>
        <v>0</v>
      </c>
      <c r="U1237">
        <f t="shared" si="303"/>
        <v>1</v>
      </c>
      <c r="V1237">
        <f t="shared" si="304"/>
        <v>0</v>
      </c>
      <c r="W1237">
        <f t="shared" si="299"/>
        <v>0</v>
      </c>
      <c r="X1237">
        <f t="shared" si="300"/>
        <v>0</v>
      </c>
      <c r="Y1237">
        <f t="shared" si="301"/>
        <v>0</v>
      </c>
    </row>
    <row r="1238" spans="1:25" hidden="1">
      <c r="A1238" t="str">
        <f t="shared" si="302"/>
        <v>Sanchez-Vicente 2022</v>
      </c>
      <c r="H1238">
        <v>323.20999999999998</v>
      </c>
      <c r="I1238">
        <v>51.1</v>
      </c>
      <c r="J1238">
        <f t="shared" si="288"/>
        <v>3.8985831361235488</v>
      </c>
      <c r="N1238">
        <v>4.2000000000000002E-4</v>
      </c>
      <c r="S1238">
        <f t="shared" si="297"/>
        <v>1</v>
      </c>
      <c r="T1238">
        <f t="shared" si="298"/>
        <v>0</v>
      </c>
      <c r="U1238">
        <f t="shared" si="303"/>
        <v>1</v>
      </c>
      <c r="V1238">
        <f t="shared" si="304"/>
        <v>0</v>
      </c>
      <c r="W1238">
        <f t="shared" si="299"/>
        <v>0</v>
      </c>
      <c r="X1238">
        <f t="shared" si="300"/>
        <v>0</v>
      </c>
      <c r="Y1238">
        <f t="shared" si="301"/>
        <v>0</v>
      </c>
    </row>
    <row r="1239" spans="1:25" hidden="1">
      <c r="A1239" t="str">
        <f t="shared" si="302"/>
        <v>Sanchez-Vicente 2022</v>
      </c>
      <c r="H1239">
        <v>323.2</v>
      </c>
      <c r="I1239">
        <v>74.599999999999994</v>
      </c>
      <c r="J1239">
        <f t="shared" si="288"/>
        <v>3.8985831361235488</v>
      </c>
      <c r="N1239">
        <v>6.0999999999999997E-4</v>
      </c>
      <c r="S1239">
        <f t="shared" si="297"/>
        <v>1</v>
      </c>
      <c r="T1239">
        <f t="shared" si="298"/>
        <v>0</v>
      </c>
      <c r="U1239">
        <f t="shared" si="303"/>
        <v>1</v>
      </c>
      <c r="V1239">
        <f t="shared" si="304"/>
        <v>0</v>
      </c>
      <c r="W1239">
        <f t="shared" si="299"/>
        <v>0</v>
      </c>
      <c r="X1239">
        <f t="shared" si="300"/>
        <v>0</v>
      </c>
      <c r="Y1239">
        <f t="shared" si="301"/>
        <v>0</v>
      </c>
    </row>
    <row r="1240" spans="1:25" hidden="1">
      <c r="A1240" t="str">
        <f t="shared" si="302"/>
        <v>Sanchez-Vicente 2022</v>
      </c>
      <c r="H1240">
        <v>323.2</v>
      </c>
      <c r="I1240">
        <v>79.800000000000011</v>
      </c>
      <c r="J1240">
        <f t="shared" si="288"/>
        <v>3.8985831361235488</v>
      </c>
      <c r="N1240">
        <v>6.3000000000000003E-4</v>
      </c>
      <c r="S1240">
        <f t="shared" si="297"/>
        <v>1</v>
      </c>
      <c r="T1240">
        <f t="shared" si="298"/>
        <v>0</v>
      </c>
      <c r="U1240">
        <f t="shared" si="303"/>
        <v>1</v>
      </c>
      <c r="V1240">
        <f t="shared" si="304"/>
        <v>0</v>
      </c>
      <c r="W1240">
        <f t="shared" si="299"/>
        <v>0</v>
      </c>
      <c r="X1240">
        <f t="shared" si="300"/>
        <v>0</v>
      </c>
      <c r="Y1240">
        <f t="shared" si="301"/>
        <v>0</v>
      </c>
    </row>
    <row r="1241" spans="1:25" hidden="1">
      <c r="A1241" t="str">
        <f t="shared" si="302"/>
        <v>Sanchez-Vicente 2022</v>
      </c>
      <c r="H1241">
        <v>323.20999999999998</v>
      </c>
      <c r="I1241">
        <v>98.5</v>
      </c>
      <c r="J1241">
        <f t="shared" si="288"/>
        <v>3.8985831361235488</v>
      </c>
      <c r="N1241">
        <v>8.0999999999999996E-4</v>
      </c>
      <c r="S1241">
        <f t="shared" si="297"/>
        <v>1</v>
      </c>
      <c r="T1241">
        <f t="shared" si="298"/>
        <v>0</v>
      </c>
      <c r="U1241">
        <f t="shared" si="303"/>
        <v>1</v>
      </c>
      <c r="V1241">
        <f t="shared" si="304"/>
        <v>0</v>
      </c>
      <c r="W1241">
        <f t="shared" si="299"/>
        <v>0</v>
      </c>
      <c r="X1241">
        <f t="shared" si="300"/>
        <v>0</v>
      </c>
      <c r="Y1241">
        <f t="shared" si="301"/>
        <v>0</v>
      </c>
    </row>
    <row r="1242" spans="1:25" hidden="1">
      <c r="A1242" t="str">
        <f t="shared" si="302"/>
        <v>Sanchez-Vicente 2022</v>
      </c>
      <c r="H1242">
        <v>323.2</v>
      </c>
      <c r="I1242">
        <v>98.6</v>
      </c>
      <c r="J1242">
        <f t="shared" si="288"/>
        <v>3.8985831361235488</v>
      </c>
      <c r="N1242">
        <v>8.0999999999999996E-4</v>
      </c>
      <c r="S1242">
        <f t="shared" si="297"/>
        <v>1</v>
      </c>
      <c r="T1242">
        <f t="shared" si="298"/>
        <v>0</v>
      </c>
      <c r="U1242">
        <f t="shared" si="303"/>
        <v>1</v>
      </c>
      <c r="V1242">
        <f t="shared" si="304"/>
        <v>0</v>
      </c>
      <c r="W1242">
        <f t="shared" si="299"/>
        <v>0</v>
      </c>
      <c r="X1242">
        <f t="shared" si="300"/>
        <v>0</v>
      </c>
      <c r="Y1242">
        <f t="shared" si="301"/>
        <v>0</v>
      </c>
    </row>
    <row r="1243" spans="1:25" hidden="1">
      <c r="A1243" t="str">
        <f t="shared" si="302"/>
        <v>Sanchez-Vicente 2022</v>
      </c>
      <c r="H1243">
        <v>323.20999999999998</v>
      </c>
      <c r="I1243">
        <v>99.9</v>
      </c>
      <c r="J1243">
        <f t="shared" si="288"/>
        <v>3.8985831361235488</v>
      </c>
      <c r="N1243">
        <v>8.4000000000000003E-4</v>
      </c>
      <c r="S1243">
        <f t="shared" si="297"/>
        <v>1</v>
      </c>
      <c r="T1243">
        <f t="shared" si="298"/>
        <v>0</v>
      </c>
      <c r="U1243">
        <f t="shared" si="303"/>
        <v>1</v>
      </c>
      <c r="V1243">
        <f t="shared" si="304"/>
        <v>0</v>
      </c>
      <c r="W1243">
        <f t="shared" si="299"/>
        <v>0</v>
      </c>
      <c r="X1243">
        <f t="shared" si="300"/>
        <v>0</v>
      </c>
      <c r="Y1243">
        <f t="shared" si="301"/>
        <v>0</v>
      </c>
    </row>
    <row r="1244" spans="1:25" hidden="1">
      <c r="A1244" t="str">
        <f t="shared" si="302"/>
        <v>Sanchez-Vicente 2022</v>
      </c>
      <c r="H1244">
        <v>323.19</v>
      </c>
      <c r="I1244">
        <v>116.30000000000001</v>
      </c>
      <c r="J1244">
        <f t="shared" si="288"/>
        <v>3.8985831361235488</v>
      </c>
      <c r="N1244">
        <v>9.1E-4</v>
      </c>
      <c r="S1244">
        <f t="shared" si="297"/>
        <v>1</v>
      </c>
      <c r="T1244">
        <f t="shared" si="298"/>
        <v>0</v>
      </c>
      <c r="U1244">
        <f t="shared" si="303"/>
        <v>1</v>
      </c>
      <c r="V1244">
        <f t="shared" si="304"/>
        <v>0</v>
      </c>
      <c r="W1244">
        <f t="shared" si="299"/>
        <v>0</v>
      </c>
      <c r="X1244">
        <f t="shared" si="300"/>
        <v>0</v>
      </c>
      <c r="Y1244">
        <f t="shared" si="301"/>
        <v>0</v>
      </c>
    </row>
    <row r="1245" spans="1:25" hidden="1">
      <c r="A1245" t="str">
        <f t="shared" si="302"/>
        <v>Sanchez-Vicente 2022</v>
      </c>
      <c r="H1245">
        <v>323.2</v>
      </c>
      <c r="I1245">
        <v>126.5</v>
      </c>
      <c r="J1245">
        <f t="shared" ref="J1245:J1276" si="305">J1244</f>
        <v>3.8985831361235488</v>
      </c>
      <c r="N1245">
        <v>1.0300000000000001E-3</v>
      </c>
      <c r="S1245">
        <f t="shared" si="297"/>
        <v>1</v>
      </c>
      <c r="T1245">
        <f t="shared" si="298"/>
        <v>0</v>
      </c>
      <c r="U1245">
        <f t="shared" si="303"/>
        <v>1</v>
      </c>
      <c r="V1245">
        <f t="shared" si="304"/>
        <v>0</v>
      </c>
      <c r="W1245">
        <f t="shared" si="299"/>
        <v>0</v>
      </c>
      <c r="X1245">
        <f t="shared" si="300"/>
        <v>0</v>
      </c>
      <c r="Y1245">
        <f t="shared" si="301"/>
        <v>0</v>
      </c>
    </row>
    <row r="1246" spans="1:25" hidden="1">
      <c r="A1246" t="str">
        <f t="shared" si="302"/>
        <v>Sanchez-Vicente 2022</v>
      </c>
      <c r="H1246">
        <v>323.2</v>
      </c>
      <c r="I1246">
        <v>151.19999999999999</v>
      </c>
      <c r="J1246">
        <f t="shared" si="305"/>
        <v>3.8985831361235488</v>
      </c>
      <c r="N1246">
        <v>1.16E-3</v>
      </c>
      <c r="S1246">
        <f t="shared" si="297"/>
        <v>1</v>
      </c>
      <c r="T1246">
        <f t="shared" si="298"/>
        <v>0</v>
      </c>
      <c r="U1246">
        <f t="shared" si="303"/>
        <v>1</v>
      </c>
      <c r="V1246">
        <f t="shared" si="304"/>
        <v>0</v>
      </c>
      <c r="W1246">
        <f t="shared" si="299"/>
        <v>0</v>
      </c>
      <c r="X1246">
        <f t="shared" si="300"/>
        <v>0</v>
      </c>
      <c r="Y1246">
        <f t="shared" si="301"/>
        <v>0</v>
      </c>
    </row>
    <row r="1247" spans="1:25" hidden="1">
      <c r="A1247" t="str">
        <f t="shared" si="302"/>
        <v>Sanchez-Vicente 2022</v>
      </c>
      <c r="H1247">
        <v>323.20999999999998</v>
      </c>
      <c r="I1247">
        <v>155.69999999999999</v>
      </c>
      <c r="J1247">
        <f t="shared" si="305"/>
        <v>3.8985831361235488</v>
      </c>
      <c r="N1247">
        <v>1.16E-3</v>
      </c>
      <c r="S1247">
        <f t="shared" si="297"/>
        <v>1</v>
      </c>
      <c r="T1247">
        <f t="shared" si="298"/>
        <v>0</v>
      </c>
      <c r="U1247">
        <f t="shared" si="303"/>
        <v>1</v>
      </c>
      <c r="V1247">
        <f t="shared" si="304"/>
        <v>0</v>
      </c>
      <c r="W1247">
        <f t="shared" si="299"/>
        <v>0</v>
      </c>
      <c r="X1247">
        <f t="shared" si="300"/>
        <v>0</v>
      </c>
      <c r="Y1247">
        <f t="shared" si="301"/>
        <v>0</v>
      </c>
    </row>
    <row r="1248" spans="1:25" hidden="1">
      <c r="A1248" t="str">
        <f t="shared" si="302"/>
        <v>Sanchez-Vicente 2022</v>
      </c>
      <c r="H1248">
        <v>323.2</v>
      </c>
      <c r="I1248">
        <v>176.29999999999998</v>
      </c>
      <c r="J1248">
        <f t="shared" si="305"/>
        <v>3.8985831361235488</v>
      </c>
      <c r="N1248">
        <v>1.32E-3</v>
      </c>
      <c r="S1248">
        <f t="shared" si="297"/>
        <v>1</v>
      </c>
      <c r="T1248">
        <f t="shared" si="298"/>
        <v>0</v>
      </c>
      <c r="U1248">
        <f t="shared" si="303"/>
        <v>1</v>
      </c>
      <c r="V1248">
        <f t="shared" si="304"/>
        <v>0</v>
      </c>
      <c r="W1248">
        <f t="shared" si="299"/>
        <v>0</v>
      </c>
      <c r="X1248">
        <f t="shared" si="300"/>
        <v>0</v>
      </c>
      <c r="Y1248">
        <f t="shared" si="301"/>
        <v>0</v>
      </c>
    </row>
    <row r="1249" spans="1:25" hidden="1">
      <c r="A1249" t="str">
        <f t="shared" si="302"/>
        <v>Sanchez-Vicente 2022</v>
      </c>
      <c r="H1249">
        <v>323.2</v>
      </c>
      <c r="I1249">
        <v>202</v>
      </c>
      <c r="J1249">
        <f t="shared" si="305"/>
        <v>3.8985831361235488</v>
      </c>
      <c r="N1249">
        <v>1.49E-3</v>
      </c>
      <c r="S1249">
        <f t="shared" si="297"/>
        <v>1</v>
      </c>
      <c r="T1249">
        <f t="shared" si="298"/>
        <v>0</v>
      </c>
      <c r="U1249">
        <f t="shared" si="303"/>
        <v>1</v>
      </c>
      <c r="V1249">
        <f t="shared" si="304"/>
        <v>0</v>
      </c>
      <c r="W1249">
        <f t="shared" si="299"/>
        <v>0</v>
      </c>
      <c r="X1249">
        <f t="shared" si="300"/>
        <v>0</v>
      </c>
      <c r="Y1249">
        <f t="shared" si="301"/>
        <v>0</v>
      </c>
    </row>
    <row r="1250" spans="1:25" hidden="1">
      <c r="A1250" t="str">
        <f t="shared" si="302"/>
        <v>Sanchez-Vicente 2022</v>
      </c>
      <c r="H1250">
        <v>348.3</v>
      </c>
      <c r="I1250">
        <v>9.5</v>
      </c>
      <c r="J1250">
        <f t="shared" si="305"/>
        <v>3.8985831361235488</v>
      </c>
      <c r="N1250">
        <v>8.0000000000000007E-5</v>
      </c>
      <c r="S1250">
        <f t="shared" si="297"/>
        <v>1</v>
      </c>
      <c r="T1250">
        <f t="shared" si="298"/>
        <v>0</v>
      </c>
      <c r="U1250">
        <f t="shared" si="303"/>
        <v>1</v>
      </c>
      <c r="V1250">
        <f t="shared" si="304"/>
        <v>0</v>
      </c>
      <c r="W1250">
        <f t="shared" si="299"/>
        <v>0</v>
      </c>
      <c r="X1250">
        <f t="shared" si="300"/>
        <v>0</v>
      </c>
      <c r="Y1250">
        <f t="shared" si="301"/>
        <v>0</v>
      </c>
    </row>
    <row r="1251" spans="1:25" hidden="1">
      <c r="A1251" t="str">
        <f t="shared" si="302"/>
        <v>Sanchez-Vicente 2022</v>
      </c>
      <c r="H1251">
        <v>348.33</v>
      </c>
      <c r="I1251">
        <v>10.199999999999999</v>
      </c>
      <c r="J1251">
        <f t="shared" si="305"/>
        <v>3.8985831361235488</v>
      </c>
      <c r="N1251">
        <v>8.0000000000000007E-5</v>
      </c>
      <c r="S1251">
        <f t="shared" si="297"/>
        <v>1</v>
      </c>
      <c r="T1251">
        <f t="shared" si="298"/>
        <v>0</v>
      </c>
      <c r="U1251">
        <f t="shared" si="303"/>
        <v>1</v>
      </c>
      <c r="V1251">
        <f t="shared" si="304"/>
        <v>0</v>
      </c>
      <c r="W1251">
        <f t="shared" si="299"/>
        <v>0</v>
      </c>
      <c r="X1251">
        <f t="shared" si="300"/>
        <v>0</v>
      </c>
      <c r="Y1251">
        <f t="shared" si="301"/>
        <v>0</v>
      </c>
    </row>
    <row r="1252" spans="1:25" hidden="1">
      <c r="A1252" t="str">
        <f t="shared" si="302"/>
        <v>Sanchez-Vicente 2022</v>
      </c>
      <c r="H1252">
        <v>348.3</v>
      </c>
      <c r="I1252">
        <v>18.700000000000003</v>
      </c>
      <c r="J1252">
        <f t="shared" si="305"/>
        <v>3.8985831361235488</v>
      </c>
      <c r="N1252">
        <v>1.4999999999999999E-4</v>
      </c>
      <c r="S1252">
        <f t="shared" si="297"/>
        <v>1</v>
      </c>
      <c r="T1252">
        <f t="shared" si="298"/>
        <v>0</v>
      </c>
      <c r="U1252">
        <f t="shared" si="303"/>
        <v>1</v>
      </c>
      <c r="V1252">
        <f t="shared" si="304"/>
        <v>0</v>
      </c>
      <c r="W1252">
        <f t="shared" si="299"/>
        <v>0</v>
      </c>
      <c r="X1252">
        <f t="shared" si="300"/>
        <v>0</v>
      </c>
      <c r="Y1252">
        <f t="shared" si="301"/>
        <v>0</v>
      </c>
    </row>
    <row r="1253" spans="1:25" hidden="1">
      <c r="A1253" t="str">
        <f t="shared" si="302"/>
        <v>Sanchez-Vicente 2022</v>
      </c>
      <c r="H1253">
        <v>348.3</v>
      </c>
      <c r="I1253">
        <v>52.599999999999994</v>
      </c>
      <c r="J1253">
        <f t="shared" si="305"/>
        <v>3.8985831361235488</v>
      </c>
      <c r="N1253">
        <v>4.2999999999999999E-4</v>
      </c>
      <c r="S1253">
        <f t="shared" si="297"/>
        <v>1</v>
      </c>
      <c r="T1253">
        <f t="shared" si="298"/>
        <v>0</v>
      </c>
      <c r="U1253">
        <f t="shared" si="303"/>
        <v>1</v>
      </c>
      <c r="V1253">
        <f t="shared" si="304"/>
        <v>0</v>
      </c>
      <c r="W1253">
        <f t="shared" si="299"/>
        <v>0</v>
      </c>
      <c r="X1253">
        <f t="shared" si="300"/>
        <v>0</v>
      </c>
      <c r="Y1253">
        <f t="shared" si="301"/>
        <v>0</v>
      </c>
    </row>
    <row r="1254" spans="1:25" hidden="1">
      <c r="A1254" t="str">
        <f t="shared" si="302"/>
        <v>Sanchez-Vicente 2022</v>
      </c>
      <c r="H1254">
        <v>348.3</v>
      </c>
      <c r="I1254">
        <v>74.599999999999994</v>
      </c>
      <c r="J1254">
        <f t="shared" si="305"/>
        <v>3.8985831361235488</v>
      </c>
      <c r="N1254">
        <v>6.2E-4</v>
      </c>
      <c r="S1254">
        <f t="shared" si="297"/>
        <v>1</v>
      </c>
      <c r="T1254">
        <f t="shared" si="298"/>
        <v>0</v>
      </c>
      <c r="U1254">
        <f t="shared" si="303"/>
        <v>1</v>
      </c>
      <c r="V1254">
        <f t="shared" si="304"/>
        <v>0</v>
      </c>
      <c r="W1254">
        <f t="shared" si="299"/>
        <v>0</v>
      </c>
      <c r="X1254">
        <f t="shared" si="300"/>
        <v>0</v>
      </c>
      <c r="Y1254">
        <f t="shared" si="301"/>
        <v>0</v>
      </c>
    </row>
    <row r="1255" spans="1:25" hidden="1">
      <c r="A1255" t="str">
        <f t="shared" si="302"/>
        <v>Sanchez-Vicente 2022</v>
      </c>
      <c r="H1255">
        <v>348.3</v>
      </c>
      <c r="I1255">
        <v>100.19999999999999</v>
      </c>
      <c r="J1255">
        <f t="shared" si="305"/>
        <v>3.8985831361235488</v>
      </c>
      <c r="N1255">
        <v>8.0000000000000004E-4</v>
      </c>
      <c r="S1255">
        <f t="shared" si="297"/>
        <v>1</v>
      </c>
      <c r="T1255">
        <f t="shared" si="298"/>
        <v>0</v>
      </c>
      <c r="U1255">
        <f t="shared" si="303"/>
        <v>1</v>
      </c>
      <c r="V1255">
        <f t="shared" si="304"/>
        <v>0</v>
      </c>
      <c r="W1255">
        <f t="shared" si="299"/>
        <v>0</v>
      </c>
      <c r="X1255">
        <f t="shared" si="300"/>
        <v>0</v>
      </c>
      <c r="Y1255">
        <f t="shared" si="301"/>
        <v>0</v>
      </c>
    </row>
    <row r="1256" spans="1:25" hidden="1">
      <c r="A1256" t="str">
        <f t="shared" si="302"/>
        <v>Sanchez-Vicente 2022</v>
      </c>
      <c r="H1256">
        <v>348.28</v>
      </c>
      <c r="I1256">
        <v>125.1</v>
      </c>
      <c r="J1256">
        <f t="shared" si="305"/>
        <v>3.8985831361235488</v>
      </c>
      <c r="N1256">
        <v>1.01E-3</v>
      </c>
      <c r="S1256">
        <f t="shared" si="297"/>
        <v>1</v>
      </c>
      <c r="T1256">
        <f t="shared" si="298"/>
        <v>0</v>
      </c>
      <c r="U1256">
        <f t="shared" si="303"/>
        <v>1</v>
      </c>
      <c r="V1256">
        <f t="shared" si="304"/>
        <v>0</v>
      </c>
      <c r="W1256">
        <f t="shared" si="299"/>
        <v>0</v>
      </c>
      <c r="X1256">
        <f t="shared" si="300"/>
        <v>0</v>
      </c>
      <c r="Y1256">
        <f t="shared" si="301"/>
        <v>0</v>
      </c>
    </row>
    <row r="1257" spans="1:25" hidden="1">
      <c r="A1257" t="str">
        <f t="shared" si="302"/>
        <v>Sanchez-Vicente 2022</v>
      </c>
      <c r="H1257">
        <v>373.22</v>
      </c>
      <c r="I1257">
        <v>12.2</v>
      </c>
      <c r="J1257">
        <f t="shared" si="305"/>
        <v>3.8985831361235488</v>
      </c>
      <c r="N1257">
        <v>6.9999999999999994E-5</v>
      </c>
      <c r="S1257">
        <f t="shared" si="297"/>
        <v>1</v>
      </c>
      <c r="T1257">
        <f t="shared" si="298"/>
        <v>0</v>
      </c>
      <c r="U1257">
        <f t="shared" si="303"/>
        <v>1</v>
      </c>
      <c r="V1257">
        <f t="shared" si="304"/>
        <v>0</v>
      </c>
      <c r="W1257">
        <f t="shared" si="299"/>
        <v>0</v>
      </c>
      <c r="X1257">
        <f t="shared" si="300"/>
        <v>0</v>
      </c>
      <c r="Y1257">
        <f t="shared" si="301"/>
        <v>0</v>
      </c>
    </row>
    <row r="1258" spans="1:25" hidden="1">
      <c r="A1258" t="str">
        <f t="shared" si="302"/>
        <v>Sanchez-Vicente 2022</v>
      </c>
      <c r="H1258">
        <v>373.17</v>
      </c>
      <c r="I1258">
        <v>15.2</v>
      </c>
      <c r="J1258">
        <f t="shared" si="305"/>
        <v>3.8985831361235488</v>
      </c>
      <c r="N1258">
        <v>1.1E-4</v>
      </c>
      <c r="S1258">
        <f t="shared" si="297"/>
        <v>1</v>
      </c>
      <c r="T1258">
        <f t="shared" si="298"/>
        <v>0</v>
      </c>
      <c r="U1258">
        <f t="shared" si="303"/>
        <v>1</v>
      </c>
      <c r="V1258">
        <f t="shared" si="304"/>
        <v>0</v>
      </c>
      <c r="W1258">
        <f t="shared" si="299"/>
        <v>0</v>
      </c>
      <c r="X1258">
        <f t="shared" si="300"/>
        <v>0</v>
      </c>
      <c r="Y1258">
        <f t="shared" si="301"/>
        <v>0</v>
      </c>
    </row>
    <row r="1259" spans="1:25" hidden="1">
      <c r="A1259" t="str">
        <f t="shared" si="302"/>
        <v>Sanchez-Vicente 2022</v>
      </c>
      <c r="H1259">
        <v>373.17</v>
      </c>
      <c r="I1259">
        <v>24.6</v>
      </c>
      <c r="J1259">
        <f t="shared" si="305"/>
        <v>3.8985831361235488</v>
      </c>
      <c r="N1259">
        <v>2.0000000000000001E-4</v>
      </c>
      <c r="S1259">
        <f t="shared" si="297"/>
        <v>1</v>
      </c>
      <c r="T1259">
        <f t="shared" si="298"/>
        <v>0</v>
      </c>
      <c r="U1259">
        <f t="shared" si="303"/>
        <v>1</v>
      </c>
      <c r="V1259">
        <f t="shared" si="304"/>
        <v>0</v>
      </c>
      <c r="W1259">
        <f t="shared" si="299"/>
        <v>0</v>
      </c>
      <c r="X1259">
        <f t="shared" si="300"/>
        <v>0</v>
      </c>
      <c r="Y1259">
        <f t="shared" si="301"/>
        <v>0</v>
      </c>
    </row>
    <row r="1260" spans="1:25" hidden="1">
      <c r="A1260" t="str">
        <f t="shared" si="302"/>
        <v>Sanchez-Vicente 2022</v>
      </c>
      <c r="H1260">
        <v>373.22</v>
      </c>
      <c r="I1260">
        <v>50.300000000000004</v>
      </c>
      <c r="J1260">
        <f t="shared" si="305"/>
        <v>3.8985831361235488</v>
      </c>
      <c r="N1260">
        <v>3.8999999999999999E-4</v>
      </c>
      <c r="S1260">
        <f t="shared" si="297"/>
        <v>1</v>
      </c>
      <c r="T1260">
        <f t="shared" si="298"/>
        <v>0</v>
      </c>
      <c r="U1260">
        <f t="shared" si="303"/>
        <v>1</v>
      </c>
      <c r="V1260">
        <f t="shared" si="304"/>
        <v>0</v>
      </c>
      <c r="W1260">
        <f t="shared" si="299"/>
        <v>0</v>
      </c>
      <c r="X1260">
        <f t="shared" si="300"/>
        <v>0</v>
      </c>
      <c r="Y1260">
        <f t="shared" si="301"/>
        <v>0</v>
      </c>
    </row>
    <row r="1261" spans="1:25" hidden="1">
      <c r="A1261" t="str">
        <f t="shared" si="302"/>
        <v>Sanchez-Vicente 2022</v>
      </c>
      <c r="H1261">
        <v>373.27</v>
      </c>
      <c r="I1261">
        <v>50.7</v>
      </c>
      <c r="J1261">
        <f t="shared" si="305"/>
        <v>3.8985831361235488</v>
      </c>
      <c r="N1261">
        <v>3.8999999999999999E-4</v>
      </c>
      <c r="S1261">
        <f t="shared" si="297"/>
        <v>1</v>
      </c>
      <c r="T1261">
        <f t="shared" si="298"/>
        <v>0</v>
      </c>
      <c r="U1261">
        <f t="shared" si="303"/>
        <v>1</v>
      </c>
      <c r="V1261">
        <f t="shared" si="304"/>
        <v>0</v>
      </c>
      <c r="W1261">
        <f t="shared" si="299"/>
        <v>0</v>
      </c>
      <c r="X1261">
        <f t="shared" si="300"/>
        <v>0</v>
      </c>
      <c r="Y1261">
        <f t="shared" si="301"/>
        <v>0</v>
      </c>
    </row>
    <row r="1262" spans="1:25" hidden="1">
      <c r="A1262" t="str">
        <f t="shared" si="302"/>
        <v>Sanchez-Vicente 2022</v>
      </c>
      <c r="H1262">
        <v>373.18</v>
      </c>
      <c r="I1262">
        <v>51.5</v>
      </c>
      <c r="J1262">
        <f t="shared" si="305"/>
        <v>3.8985831361235488</v>
      </c>
      <c r="N1262">
        <v>4.2000000000000002E-4</v>
      </c>
      <c r="S1262">
        <f t="shared" si="297"/>
        <v>1</v>
      </c>
      <c r="T1262">
        <f t="shared" si="298"/>
        <v>0</v>
      </c>
      <c r="U1262">
        <f t="shared" si="303"/>
        <v>1</v>
      </c>
      <c r="V1262">
        <f t="shared" si="304"/>
        <v>0</v>
      </c>
      <c r="W1262">
        <f t="shared" si="299"/>
        <v>0</v>
      </c>
      <c r="X1262">
        <f t="shared" si="300"/>
        <v>0</v>
      </c>
      <c r="Y1262">
        <f t="shared" si="301"/>
        <v>0</v>
      </c>
    </row>
    <row r="1263" spans="1:25" hidden="1">
      <c r="A1263" t="str">
        <f t="shared" si="302"/>
        <v>Sanchez-Vicente 2022</v>
      </c>
      <c r="H1263">
        <v>373.19</v>
      </c>
      <c r="I1263">
        <v>75.099999999999994</v>
      </c>
      <c r="J1263">
        <f t="shared" si="305"/>
        <v>3.8985831361235488</v>
      </c>
      <c r="N1263">
        <v>6.3000000000000003E-4</v>
      </c>
      <c r="S1263">
        <f t="shared" si="297"/>
        <v>1</v>
      </c>
      <c r="T1263">
        <f t="shared" si="298"/>
        <v>0</v>
      </c>
      <c r="U1263">
        <f t="shared" si="303"/>
        <v>1</v>
      </c>
      <c r="V1263">
        <f t="shared" si="304"/>
        <v>0</v>
      </c>
      <c r="W1263">
        <f t="shared" si="299"/>
        <v>0</v>
      </c>
      <c r="X1263">
        <f t="shared" si="300"/>
        <v>0</v>
      </c>
      <c r="Y1263">
        <f t="shared" si="301"/>
        <v>0</v>
      </c>
    </row>
    <row r="1264" spans="1:25" hidden="1">
      <c r="A1264" t="str">
        <f t="shared" si="302"/>
        <v>Sanchez-Vicente 2022</v>
      </c>
      <c r="H1264">
        <v>373.27</v>
      </c>
      <c r="I1264">
        <v>76.900000000000006</v>
      </c>
      <c r="J1264">
        <f t="shared" si="305"/>
        <v>3.8985831361235488</v>
      </c>
      <c r="N1264">
        <v>6.3000000000000003E-4</v>
      </c>
      <c r="S1264">
        <f t="shared" si="297"/>
        <v>1</v>
      </c>
      <c r="T1264">
        <f t="shared" si="298"/>
        <v>0</v>
      </c>
      <c r="U1264">
        <f t="shared" si="303"/>
        <v>1</v>
      </c>
      <c r="V1264">
        <f t="shared" si="304"/>
        <v>0</v>
      </c>
      <c r="W1264">
        <f t="shared" si="299"/>
        <v>0</v>
      </c>
      <c r="X1264">
        <f t="shared" si="300"/>
        <v>0</v>
      </c>
      <c r="Y1264">
        <f t="shared" si="301"/>
        <v>0</v>
      </c>
    </row>
    <row r="1265" spans="1:25" hidden="1">
      <c r="A1265" t="str">
        <f t="shared" si="302"/>
        <v>Sanchez-Vicente 2022</v>
      </c>
      <c r="H1265">
        <v>373.18</v>
      </c>
      <c r="I1265">
        <v>100.5</v>
      </c>
      <c r="J1265">
        <f t="shared" si="305"/>
        <v>3.8985831361235488</v>
      </c>
      <c r="N1265">
        <v>8.1999999999999998E-4</v>
      </c>
      <c r="S1265">
        <f t="shared" ref="S1265:S1296" si="306">S1264</f>
        <v>1</v>
      </c>
      <c r="T1265">
        <f t="shared" ref="T1265:T1296" si="307">T1264</f>
        <v>0</v>
      </c>
      <c r="U1265">
        <f t="shared" si="303"/>
        <v>1</v>
      </c>
      <c r="V1265">
        <f t="shared" si="304"/>
        <v>0</v>
      </c>
      <c r="W1265">
        <f t="shared" ref="W1265:W1296" si="308">W1264</f>
        <v>0</v>
      </c>
      <c r="X1265">
        <f t="shared" ref="X1265:X1296" si="309">X1264</f>
        <v>0</v>
      </c>
      <c r="Y1265">
        <f t="shared" ref="Y1265:Y1296" si="310">Y1264</f>
        <v>0</v>
      </c>
    </row>
    <row r="1266" spans="1:25" hidden="1">
      <c r="A1266" t="str">
        <f t="shared" ref="A1266:A1297" si="311">A1265</f>
        <v>Sanchez-Vicente 2022</v>
      </c>
      <c r="H1266">
        <v>373.26</v>
      </c>
      <c r="I1266">
        <v>104.60000000000001</v>
      </c>
      <c r="J1266">
        <f t="shared" si="305"/>
        <v>3.8985831361235488</v>
      </c>
      <c r="N1266">
        <v>8.1999999999999998E-4</v>
      </c>
      <c r="S1266">
        <f t="shared" si="306"/>
        <v>1</v>
      </c>
      <c r="T1266">
        <f t="shared" si="307"/>
        <v>0</v>
      </c>
      <c r="U1266">
        <f t="shared" ref="U1266:U1297" si="312">U1265</f>
        <v>1</v>
      </c>
      <c r="V1266">
        <f t="shared" ref="V1266:V1297" si="313">V1265</f>
        <v>0</v>
      </c>
      <c r="W1266">
        <f t="shared" si="308"/>
        <v>0</v>
      </c>
      <c r="X1266">
        <f t="shared" si="309"/>
        <v>0</v>
      </c>
      <c r="Y1266">
        <f t="shared" si="310"/>
        <v>0</v>
      </c>
    </row>
    <row r="1267" spans="1:25" hidden="1">
      <c r="A1267" t="str">
        <f t="shared" si="311"/>
        <v>Sanchez-Vicente 2022</v>
      </c>
      <c r="H1267">
        <v>373.19</v>
      </c>
      <c r="I1267">
        <v>129.4</v>
      </c>
      <c r="J1267">
        <f t="shared" si="305"/>
        <v>3.8985831361235488</v>
      </c>
      <c r="N1267">
        <v>1.06E-3</v>
      </c>
      <c r="S1267">
        <f t="shared" si="306"/>
        <v>1</v>
      </c>
      <c r="T1267">
        <f t="shared" si="307"/>
        <v>0</v>
      </c>
      <c r="U1267">
        <f t="shared" si="312"/>
        <v>1</v>
      </c>
      <c r="V1267">
        <f t="shared" si="313"/>
        <v>0</v>
      </c>
      <c r="W1267">
        <f t="shared" si="308"/>
        <v>0</v>
      </c>
      <c r="X1267">
        <f t="shared" si="309"/>
        <v>0</v>
      </c>
      <c r="Y1267">
        <f t="shared" si="310"/>
        <v>0</v>
      </c>
    </row>
    <row r="1268" spans="1:25" hidden="1">
      <c r="A1268" t="str">
        <f t="shared" si="311"/>
        <v>Sanchez-Vicente 2022</v>
      </c>
      <c r="H1268">
        <v>373.27</v>
      </c>
      <c r="I1268">
        <v>134.30000000000001</v>
      </c>
      <c r="J1268">
        <f t="shared" si="305"/>
        <v>3.8985831361235488</v>
      </c>
      <c r="N1268">
        <v>1.07E-3</v>
      </c>
      <c r="S1268">
        <f t="shared" si="306"/>
        <v>1</v>
      </c>
      <c r="T1268">
        <f t="shared" si="307"/>
        <v>0</v>
      </c>
      <c r="U1268">
        <f t="shared" si="312"/>
        <v>1</v>
      </c>
      <c r="V1268">
        <f t="shared" si="313"/>
        <v>0</v>
      </c>
      <c r="W1268">
        <f t="shared" si="308"/>
        <v>0</v>
      </c>
      <c r="X1268">
        <f t="shared" si="309"/>
        <v>0</v>
      </c>
      <c r="Y1268">
        <f t="shared" si="310"/>
        <v>0</v>
      </c>
    </row>
    <row r="1269" spans="1:25" hidden="1">
      <c r="A1269" t="str">
        <f t="shared" si="311"/>
        <v>Sanchez-Vicente 2022</v>
      </c>
      <c r="H1269">
        <v>373.19</v>
      </c>
      <c r="I1269">
        <v>150.19999999999999</v>
      </c>
      <c r="J1269">
        <f t="shared" si="305"/>
        <v>3.8985831361235488</v>
      </c>
      <c r="N1269">
        <v>1.1900000000000001E-3</v>
      </c>
      <c r="S1269">
        <f t="shared" si="306"/>
        <v>1</v>
      </c>
      <c r="T1269">
        <f t="shared" si="307"/>
        <v>0</v>
      </c>
      <c r="U1269">
        <f t="shared" si="312"/>
        <v>1</v>
      </c>
      <c r="V1269">
        <f t="shared" si="313"/>
        <v>0</v>
      </c>
      <c r="W1269">
        <f t="shared" si="308"/>
        <v>0</v>
      </c>
      <c r="X1269">
        <f t="shared" si="309"/>
        <v>0</v>
      </c>
      <c r="Y1269">
        <f t="shared" si="310"/>
        <v>0</v>
      </c>
    </row>
    <row r="1270" spans="1:25" hidden="1">
      <c r="A1270" t="str">
        <f t="shared" si="311"/>
        <v>Sanchez-Vicente 2022</v>
      </c>
      <c r="H1270">
        <v>373.26</v>
      </c>
      <c r="I1270">
        <v>150.39999999999998</v>
      </c>
      <c r="J1270">
        <f t="shared" si="305"/>
        <v>3.8985831361235488</v>
      </c>
      <c r="N1270">
        <v>1.2099999999999999E-3</v>
      </c>
      <c r="S1270">
        <f t="shared" si="306"/>
        <v>1</v>
      </c>
      <c r="T1270">
        <f t="shared" si="307"/>
        <v>0</v>
      </c>
      <c r="U1270">
        <f t="shared" si="312"/>
        <v>1</v>
      </c>
      <c r="V1270">
        <f t="shared" si="313"/>
        <v>0</v>
      </c>
      <c r="W1270">
        <f t="shared" si="308"/>
        <v>0</v>
      </c>
      <c r="X1270">
        <f t="shared" si="309"/>
        <v>0</v>
      </c>
      <c r="Y1270">
        <f t="shared" si="310"/>
        <v>0</v>
      </c>
    </row>
    <row r="1271" spans="1:25" hidden="1">
      <c r="A1271" t="str">
        <f t="shared" si="311"/>
        <v>Sanchez-Vicente 2022</v>
      </c>
      <c r="H1271">
        <v>373.25</v>
      </c>
      <c r="I1271">
        <v>175.6</v>
      </c>
      <c r="J1271">
        <f t="shared" si="305"/>
        <v>3.8985831361235488</v>
      </c>
      <c r="N1271">
        <v>1.3699999999999999E-3</v>
      </c>
      <c r="S1271">
        <f t="shared" si="306"/>
        <v>1</v>
      </c>
      <c r="T1271">
        <f t="shared" si="307"/>
        <v>0</v>
      </c>
      <c r="U1271">
        <f t="shared" si="312"/>
        <v>1</v>
      </c>
      <c r="V1271">
        <f t="shared" si="313"/>
        <v>0</v>
      </c>
      <c r="W1271">
        <f t="shared" si="308"/>
        <v>0</v>
      </c>
      <c r="X1271">
        <f t="shared" si="309"/>
        <v>0</v>
      </c>
      <c r="Y1271">
        <f t="shared" si="310"/>
        <v>0</v>
      </c>
    </row>
    <row r="1272" spans="1:25" hidden="1">
      <c r="A1272" t="str">
        <f t="shared" si="311"/>
        <v>Sanchez-Vicente 2022</v>
      </c>
      <c r="H1272">
        <v>373.19</v>
      </c>
      <c r="I1272">
        <v>176.70000000000002</v>
      </c>
      <c r="J1272">
        <f t="shared" si="305"/>
        <v>3.8985831361235488</v>
      </c>
      <c r="N1272">
        <v>1.39E-3</v>
      </c>
      <c r="S1272">
        <f t="shared" si="306"/>
        <v>1</v>
      </c>
      <c r="T1272">
        <f t="shared" si="307"/>
        <v>0</v>
      </c>
      <c r="U1272">
        <f t="shared" si="312"/>
        <v>1</v>
      </c>
      <c r="V1272">
        <f t="shared" si="313"/>
        <v>0</v>
      </c>
      <c r="W1272">
        <f t="shared" si="308"/>
        <v>0</v>
      </c>
      <c r="X1272">
        <f t="shared" si="309"/>
        <v>0</v>
      </c>
      <c r="Y1272">
        <f t="shared" si="310"/>
        <v>0</v>
      </c>
    </row>
    <row r="1273" spans="1:25" hidden="1">
      <c r="A1273" t="str">
        <f t="shared" si="311"/>
        <v>Sanchez-Vicente 2022</v>
      </c>
      <c r="H1273">
        <v>373.19</v>
      </c>
      <c r="I1273">
        <v>204.8</v>
      </c>
      <c r="J1273">
        <f t="shared" si="305"/>
        <v>3.8985831361235488</v>
      </c>
      <c r="N1273">
        <v>1.5399999999999999E-3</v>
      </c>
      <c r="S1273">
        <f t="shared" si="306"/>
        <v>1</v>
      </c>
      <c r="T1273">
        <f t="shared" si="307"/>
        <v>0</v>
      </c>
      <c r="U1273">
        <f t="shared" si="312"/>
        <v>1</v>
      </c>
      <c r="V1273">
        <f t="shared" si="313"/>
        <v>0</v>
      </c>
      <c r="W1273">
        <f t="shared" si="308"/>
        <v>0</v>
      </c>
      <c r="X1273">
        <f t="shared" si="309"/>
        <v>0</v>
      </c>
      <c r="Y1273">
        <f t="shared" si="310"/>
        <v>0</v>
      </c>
    </row>
    <row r="1274" spans="1:25" hidden="1">
      <c r="A1274" t="str">
        <f t="shared" si="311"/>
        <v>Sanchez-Vicente 2022</v>
      </c>
      <c r="H1274">
        <v>423.01</v>
      </c>
      <c r="I1274">
        <v>15.5</v>
      </c>
      <c r="J1274">
        <f t="shared" si="305"/>
        <v>3.8985831361235488</v>
      </c>
      <c r="N1274">
        <v>9.0000000000000006E-5</v>
      </c>
      <c r="S1274">
        <f t="shared" si="306"/>
        <v>1</v>
      </c>
      <c r="T1274">
        <f t="shared" si="307"/>
        <v>0</v>
      </c>
      <c r="U1274">
        <f t="shared" si="312"/>
        <v>1</v>
      </c>
      <c r="V1274">
        <f t="shared" si="313"/>
        <v>0</v>
      </c>
      <c r="W1274">
        <f t="shared" si="308"/>
        <v>0</v>
      </c>
      <c r="X1274">
        <f t="shared" si="309"/>
        <v>0</v>
      </c>
      <c r="Y1274">
        <f t="shared" si="310"/>
        <v>0</v>
      </c>
    </row>
    <row r="1275" spans="1:25" hidden="1">
      <c r="A1275" t="str">
        <f t="shared" si="311"/>
        <v>Sanchez-Vicente 2022</v>
      </c>
      <c r="H1275">
        <v>423.31</v>
      </c>
      <c r="I1275">
        <v>17</v>
      </c>
      <c r="J1275">
        <f t="shared" si="305"/>
        <v>3.8985831361235488</v>
      </c>
      <c r="N1275">
        <v>1.2E-4</v>
      </c>
      <c r="S1275">
        <f t="shared" si="306"/>
        <v>1</v>
      </c>
      <c r="T1275">
        <f t="shared" si="307"/>
        <v>0</v>
      </c>
      <c r="U1275">
        <f t="shared" si="312"/>
        <v>1</v>
      </c>
      <c r="V1275">
        <f t="shared" si="313"/>
        <v>0</v>
      </c>
      <c r="W1275">
        <f t="shared" si="308"/>
        <v>0</v>
      </c>
      <c r="X1275">
        <f t="shared" si="309"/>
        <v>0</v>
      </c>
      <c r="Y1275">
        <f t="shared" si="310"/>
        <v>0</v>
      </c>
    </row>
    <row r="1276" spans="1:25" hidden="1">
      <c r="A1276" t="str">
        <f t="shared" si="311"/>
        <v>Sanchez-Vicente 2022</v>
      </c>
      <c r="H1276">
        <v>423.41</v>
      </c>
      <c r="I1276">
        <v>25.099999999999998</v>
      </c>
      <c r="J1276">
        <f t="shared" si="305"/>
        <v>3.8985831361235488</v>
      </c>
      <c r="N1276">
        <v>2.0000000000000001E-4</v>
      </c>
      <c r="S1276">
        <f t="shared" si="306"/>
        <v>1</v>
      </c>
      <c r="T1276">
        <f t="shared" si="307"/>
        <v>0</v>
      </c>
      <c r="U1276">
        <f t="shared" si="312"/>
        <v>1</v>
      </c>
      <c r="V1276">
        <f t="shared" si="313"/>
        <v>0</v>
      </c>
      <c r="W1276">
        <f t="shared" si="308"/>
        <v>0</v>
      </c>
      <c r="X1276">
        <f t="shared" si="309"/>
        <v>0</v>
      </c>
      <c r="Y1276">
        <f t="shared" si="310"/>
        <v>0</v>
      </c>
    </row>
    <row r="1277" spans="1:25" hidden="1">
      <c r="A1277" t="str">
        <f t="shared" si="311"/>
        <v>Sanchez-Vicente 2022</v>
      </c>
      <c r="H1277">
        <v>422.92</v>
      </c>
      <c r="I1277">
        <v>25.7</v>
      </c>
      <c r="J1277">
        <f t="shared" ref="J1277:J1313" si="314">J1276</f>
        <v>3.8985831361235488</v>
      </c>
      <c r="N1277">
        <v>2.2000000000000001E-4</v>
      </c>
      <c r="S1277">
        <f t="shared" si="306"/>
        <v>1</v>
      </c>
      <c r="T1277">
        <f t="shared" si="307"/>
        <v>0</v>
      </c>
      <c r="U1277">
        <f t="shared" si="312"/>
        <v>1</v>
      </c>
      <c r="V1277">
        <f t="shared" si="313"/>
        <v>0</v>
      </c>
      <c r="W1277">
        <f t="shared" si="308"/>
        <v>0</v>
      </c>
      <c r="X1277">
        <f t="shared" si="309"/>
        <v>0</v>
      </c>
      <c r="Y1277">
        <f t="shared" si="310"/>
        <v>0</v>
      </c>
    </row>
    <row r="1278" spans="1:25" hidden="1">
      <c r="A1278" t="str">
        <f t="shared" si="311"/>
        <v>Sanchez-Vicente 2022</v>
      </c>
      <c r="H1278">
        <v>423.22</v>
      </c>
      <c r="I1278">
        <v>54</v>
      </c>
      <c r="J1278">
        <f t="shared" si="314"/>
        <v>3.8985831361235488</v>
      </c>
      <c r="N1278">
        <v>5.0000000000000001E-4</v>
      </c>
      <c r="S1278">
        <f t="shared" si="306"/>
        <v>1</v>
      </c>
      <c r="T1278">
        <f t="shared" si="307"/>
        <v>0</v>
      </c>
      <c r="U1278">
        <f t="shared" si="312"/>
        <v>1</v>
      </c>
      <c r="V1278">
        <f t="shared" si="313"/>
        <v>0</v>
      </c>
      <c r="W1278">
        <f t="shared" si="308"/>
        <v>0</v>
      </c>
      <c r="X1278">
        <f t="shared" si="309"/>
        <v>0</v>
      </c>
      <c r="Y1278">
        <f t="shared" si="310"/>
        <v>0</v>
      </c>
    </row>
    <row r="1279" spans="1:25" hidden="1">
      <c r="A1279" t="str">
        <f t="shared" si="311"/>
        <v>Sanchez-Vicente 2022</v>
      </c>
      <c r="H1279">
        <v>423.22</v>
      </c>
      <c r="I1279">
        <v>75.900000000000006</v>
      </c>
      <c r="J1279">
        <f t="shared" si="314"/>
        <v>3.8985831361235488</v>
      </c>
      <c r="N1279">
        <v>6.6E-4</v>
      </c>
      <c r="S1279">
        <f t="shared" si="306"/>
        <v>1</v>
      </c>
      <c r="T1279">
        <f t="shared" si="307"/>
        <v>0</v>
      </c>
      <c r="U1279">
        <f t="shared" si="312"/>
        <v>1</v>
      </c>
      <c r="V1279">
        <f t="shared" si="313"/>
        <v>0</v>
      </c>
      <c r="W1279">
        <f t="shared" si="308"/>
        <v>0</v>
      </c>
      <c r="X1279">
        <f t="shared" si="309"/>
        <v>0</v>
      </c>
      <c r="Y1279">
        <f t="shared" si="310"/>
        <v>0</v>
      </c>
    </row>
    <row r="1280" spans="1:25" hidden="1">
      <c r="A1280" t="str">
        <f t="shared" si="311"/>
        <v>Sanchez-Vicente 2022</v>
      </c>
      <c r="H1280">
        <v>423.22</v>
      </c>
      <c r="I1280">
        <v>103.69999999999999</v>
      </c>
      <c r="J1280">
        <f t="shared" si="314"/>
        <v>3.8985831361235488</v>
      </c>
      <c r="N1280">
        <v>9.3999999999999997E-4</v>
      </c>
      <c r="S1280">
        <f t="shared" si="306"/>
        <v>1</v>
      </c>
      <c r="T1280">
        <f t="shared" si="307"/>
        <v>0</v>
      </c>
      <c r="U1280">
        <f t="shared" si="312"/>
        <v>1</v>
      </c>
      <c r="V1280">
        <f t="shared" si="313"/>
        <v>0</v>
      </c>
      <c r="W1280">
        <f t="shared" si="308"/>
        <v>0</v>
      </c>
      <c r="X1280">
        <f t="shared" si="309"/>
        <v>0</v>
      </c>
      <c r="Y1280">
        <f t="shared" si="310"/>
        <v>0</v>
      </c>
    </row>
    <row r="1281" spans="1:25" hidden="1">
      <c r="A1281" t="str">
        <f t="shared" si="311"/>
        <v>Sanchez-Vicente 2022</v>
      </c>
      <c r="H1281">
        <v>423.22</v>
      </c>
      <c r="I1281">
        <v>126.4</v>
      </c>
      <c r="J1281">
        <f t="shared" si="314"/>
        <v>3.8985831361235488</v>
      </c>
      <c r="N1281">
        <v>1.16E-3</v>
      </c>
      <c r="S1281">
        <f t="shared" si="306"/>
        <v>1</v>
      </c>
      <c r="T1281">
        <f t="shared" si="307"/>
        <v>0</v>
      </c>
      <c r="U1281">
        <f t="shared" si="312"/>
        <v>1</v>
      </c>
      <c r="V1281">
        <f t="shared" si="313"/>
        <v>0</v>
      </c>
      <c r="W1281">
        <f t="shared" si="308"/>
        <v>0</v>
      </c>
      <c r="X1281">
        <f t="shared" si="309"/>
        <v>0</v>
      </c>
      <c r="Y1281">
        <f t="shared" si="310"/>
        <v>0</v>
      </c>
    </row>
    <row r="1282" spans="1:25" hidden="1">
      <c r="A1282" t="str">
        <f t="shared" si="311"/>
        <v>Sanchez-Vicente 2022</v>
      </c>
      <c r="H1282">
        <v>423.21</v>
      </c>
      <c r="I1282">
        <v>153</v>
      </c>
      <c r="J1282">
        <f t="shared" si="314"/>
        <v>3.8985831361235488</v>
      </c>
      <c r="N1282">
        <v>1.39E-3</v>
      </c>
      <c r="S1282">
        <f t="shared" si="306"/>
        <v>1</v>
      </c>
      <c r="T1282">
        <f t="shared" si="307"/>
        <v>0</v>
      </c>
      <c r="U1282">
        <f t="shared" si="312"/>
        <v>1</v>
      </c>
      <c r="V1282">
        <f t="shared" si="313"/>
        <v>0</v>
      </c>
      <c r="W1282">
        <f t="shared" si="308"/>
        <v>0</v>
      </c>
      <c r="X1282">
        <f t="shared" si="309"/>
        <v>0</v>
      </c>
      <c r="Y1282">
        <f t="shared" si="310"/>
        <v>0</v>
      </c>
    </row>
    <row r="1283" spans="1:25" hidden="1">
      <c r="A1283" t="str">
        <f t="shared" si="311"/>
        <v>Sanchez-Vicente 2022</v>
      </c>
      <c r="H1283">
        <v>423.22</v>
      </c>
      <c r="I1283">
        <v>175.7</v>
      </c>
      <c r="J1283">
        <f t="shared" si="314"/>
        <v>3.8985831361235488</v>
      </c>
      <c r="N1283">
        <v>1.5299999999999999E-3</v>
      </c>
      <c r="S1283">
        <f t="shared" si="306"/>
        <v>1</v>
      </c>
      <c r="T1283">
        <f t="shared" si="307"/>
        <v>0</v>
      </c>
      <c r="U1283">
        <f t="shared" si="312"/>
        <v>1</v>
      </c>
      <c r="V1283">
        <f t="shared" si="313"/>
        <v>0</v>
      </c>
      <c r="W1283">
        <f t="shared" si="308"/>
        <v>0</v>
      </c>
      <c r="X1283">
        <f t="shared" si="309"/>
        <v>0</v>
      </c>
      <c r="Y1283">
        <f t="shared" si="310"/>
        <v>0</v>
      </c>
    </row>
    <row r="1284" spans="1:25" hidden="1">
      <c r="A1284" t="str">
        <f t="shared" si="311"/>
        <v>Sanchez-Vicente 2022</v>
      </c>
      <c r="H1284">
        <v>423.22</v>
      </c>
      <c r="I1284">
        <v>205.9</v>
      </c>
      <c r="J1284">
        <f t="shared" si="314"/>
        <v>3.8985831361235488</v>
      </c>
      <c r="N1284">
        <v>1.8500000000000001E-3</v>
      </c>
      <c r="S1284">
        <f t="shared" si="306"/>
        <v>1</v>
      </c>
      <c r="T1284">
        <f t="shared" si="307"/>
        <v>0</v>
      </c>
      <c r="U1284">
        <f t="shared" si="312"/>
        <v>1</v>
      </c>
      <c r="V1284">
        <f t="shared" si="313"/>
        <v>0</v>
      </c>
      <c r="W1284">
        <f t="shared" si="308"/>
        <v>0</v>
      </c>
      <c r="X1284">
        <f t="shared" si="309"/>
        <v>0</v>
      </c>
      <c r="Y1284">
        <f t="shared" si="310"/>
        <v>0</v>
      </c>
    </row>
    <row r="1285" spans="1:25" hidden="1">
      <c r="A1285" t="str">
        <f t="shared" si="311"/>
        <v>Sanchez-Vicente 2022</v>
      </c>
      <c r="H1285">
        <v>323.22000000000003</v>
      </c>
      <c r="I1285">
        <v>12.1</v>
      </c>
      <c r="J1285">
        <f t="shared" si="314"/>
        <v>3.8985831361235488</v>
      </c>
      <c r="K1285">
        <v>1.238E-2</v>
      </c>
      <c r="S1285">
        <f t="shared" si="306"/>
        <v>1</v>
      </c>
      <c r="T1285">
        <f t="shared" si="307"/>
        <v>0</v>
      </c>
      <c r="U1285">
        <f t="shared" si="312"/>
        <v>1</v>
      </c>
      <c r="V1285">
        <f t="shared" si="313"/>
        <v>0</v>
      </c>
      <c r="W1285">
        <f t="shared" si="308"/>
        <v>0</v>
      </c>
      <c r="X1285">
        <f t="shared" si="309"/>
        <v>0</v>
      </c>
      <c r="Y1285">
        <f t="shared" si="310"/>
        <v>0</v>
      </c>
    </row>
    <row r="1286" spans="1:25" hidden="1">
      <c r="A1286" t="str">
        <f t="shared" si="311"/>
        <v>Sanchez-Vicente 2022</v>
      </c>
      <c r="H1286">
        <v>323.2</v>
      </c>
      <c r="I1286">
        <v>20.299999999999997</v>
      </c>
      <c r="J1286">
        <f t="shared" si="314"/>
        <v>3.8985831361235488</v>
      </c>
      <c r="K1286">
        <v>7.4200000000000004E-3</v>
      </c>
      <c r="S1286">
        <f t="shared" si="306"/>
        <v>1</v>
      </c>
      <c r="T1286">
        <f t="shared" si="307"/>
        <v>0</v>
      </c>
      <c r="U1286">
        <f t="shared" si="312"/>
        <v>1</v>
      </c>
      <c r="V1286">
        <f t="shared" si="313"/>
        <v>0</v>
      </c>
      <c r="W1286">
        <f t="shared" si="308"/>
        <v>0</v>
      </c>
      <c r="X1286">
        <f t="shared" si="309"/>
        <v>0</v>
      </c>
      <c r="Y1286">
        <f t="shared" si="310"/>
        <v>0</v>
      </c>
    </row>
    <row r="1287" spans="1:25" hidden="1">
      <c r="A1287" t="str">
        <f t="shared" si="311"/>
        <v>Sanchez-Vicente 2022</v>
      </c>
      <c r="H1287">
        <v>323.20999999999998</v>
      </c>
      <c r="I1287">
        <v>50.4</v>
      </c>
      <c r="J1287">
        <f t="shared" si="314"/>
        <v>3.8985831361235488</v>
      </c>
      <c r="K1287">
        <v>2.9099999999999998E-3</v>
      </c>
      <c r="S1287">
        <f t="shared" si="306"/>
        <v>1</v>
      </c>
      <c r="T1287">
        <f t="shared" si="307"/>
        <v>0</v>
      </c>
      <c r="U1287">
        <f t="shared" si="312"/>
        <v>1</v>
      </c>
      <c r="V1287">
        <f t="shared" si="313"/>
        <v>0</v>
      </c>
      <c r="W1287">
        <f t="shared" si="308"/>
        <v>0</v>
      </c>
      <c r="X1287">
        <f t="shared" si="309"/>
        <v>0</v>
      </c>
      <c r="Y1287">
        <f t="shared" si="310"/>
        <v>0</v>
      </c>
    </row>
    <row r="1288" spans="1:25" hidden="1">
      <c r="A1288" t="str">
        <f t="shared" si="311"/>
        <v>Sanchez-Vicente 2022</v>
      </c>
      <c r="H1288">
        <v>323.20999999999998</v>
      </c>
      <c r="I1288">
        <v>62.199999999999996</v>
      </c>
      <c r="J1288">
        <f t="shared" si="314"/>
        <v>3.8985831361235488</v>
      </c>
      <c r="K1288">
        <v>2.4099999999999998E-3</v>
      </c>
      <c r="S1288">
        <f t="shared" si="306"/>
        <v>1</v>
      </c>
      <c r="T1288">
        <f t="shared" si="307"/>
        <v>0</v>
      </c>
      <c r="U1288">
        <f t="shared" si="312"/>
        <v>1</v>
      </c>
      <c r="V1288">
        <f t="shared" si="313"/>
        <v>0</v>
      </c>
      <c r="W1288">
        <f t="shared" si="308"/>
        <v>0</v>
      </c>
      <c r="X1288">
        <f t="shared" si="309"/>
        <v>0</v>
      </c>
      <c r="Y1288">
        <f t="shared" si="310"/>
        <v>0</v>
      </c>
    </row>
    <row r="1289" spans="1:25" hidden="1">
      <c r="A1289" t="str">
        <f t="shared" si="311"/>
        <v>Sanchez-Vicente 2022</v>
      </c>
      <c r="H1289">
        <v>323.20999999999998</v>
      </c>
      <c r="I1289">
        <v>79.400000000000006</v>
      </c>
      <c r="J1289">
        <f t="shared" si="314"/>
        <v>3.8985831361235488</v>
      </c>
      <c r="K1289">
        <v>1.83E-3</v>
      </c>
      <c r="S1289">
        <f t="shared" si="306"/>
        <v>1</v>
      </c>
      <c r="T1289">
        <f t="shared" si="307"/>
        <v>0</v>
      </c>
      <c r="U1289">
        <f t="shared" si="312"/>
        <v>1</v>
      </c>
      <c r="V1289">
        <f t="shared" si="313"/>
        <v>0</v>
      </c>
      <c r="W1289">
        <f t="shared" si="308"/>
        <v>0</v>
      </c>
      <c r="X1289">
        <f t="shared" si="309"/>
        <v>0</v>
      </c>
      <c r="Y1289">
        <f t="shared" si="310"/>
        <v>0</v>
      </c>
    </row>
    <row r="1290" spans="1:25" hidden="1">
      <c r="A1290" t="str">
        <f t="shared" si="311"/>
        <v>Sanchez-Vicente 2022</v>
      </c>
      <c r="H1290">
        <v>323.22000000000003</v>
      </c>
      <c r="I1290">
        <v>153.19999999999999</v>
      </c>
      <c r="J1290">
        <f t="shared" si="314"/>
        <v>3.8985831361235488</v>
      </c>
      <c r="K1290">
        <v>1.6100000000000001E-3</v>
      </c>
      <c r="S1290">
        <f t="shared" si="306"/>
        <v>1</v>
      </c>
      <c r="T1290">
        <f t="shared" si="307"/>
        <v>0</v>
      </c>
      <c r="U1290">
        <f t="shared" si="312"/>
        <v>1</v>
      </c>
      <c r="V1290">
        <f t="shared" si="313"/>
        <v>0</v>
      </c>
      <c r="W1290">
        <f t="shared" si="308"/>
        <v>0</v>
      </c>
      <c r="X1290">
        <f t="shared" si="309"/>
        <v>0</v>
      </c>
      <c r="Y1290">
        <f t="shared" si="310"/>
        <v>0</v>
      </c>
    </row>
    <row r="1291" spans="1:25" hidden="1">
      <c r="A1291" t="str">
        <f t="shared" si="311"/>
        <v>Sanchez-Vicente 2022</v>
      </c>
      <c r="H1291">
        <v>373.22</v>
      </c>
      <c r="I1291">
        <v>12.2</v>
      </c>
      <c r="J1291">
        <f t="shared" si="314"/>
        <v>3.8985831361235488</v>
      </c>
      <c r="K1291">
        <v>8.9560000000000001E-2</v>
      </c>
      <c r="S1291">
        <f t="shared" si="306"/>
        <v>1</v>
      </c>
      <c r="T1291">
        <f t="shared" si="307"/>
        <v>0</v>
      </c>
      <c r="U1291">
        <f t="shared" si="312"/>
        <v>1</v>
      </c>
      <c r="V1291">
        <f t="shared" si="313"/>
        <v>0</v>
      </c>
      <c r="W1291">
        <f t="shared" si="308"/>
        <v>0</v>
      </c>
      <c r="X1291">
        <f t="shared" si="309"/>
        <v>0</v>
      </c>
      <c r="Y1291">
        <f t="shared" si="310"/>
        <v>0</v>
      </c>
    </row>
    <row r="1292" spans="1:25" hidden="1">
      <c r="A1292" t="str">
        <f t="shared" si="311"/>
        <v>Sanchez-Vicente 2022</v>
      </c>
      <c r="H1292">
        <v>373.23</v>
      </c>
      <c r="I1292">
        <v>12.2</v>
      </c>
      <c r="J1292">
        <f t="shared" si="314"/>
        <v>3.8985831361235488</v>
      </c>
      <c r="K1292">
        <v>8.6790000000000006E-2</v>
      </c>
      <c r="S1292">
        <f t="shared" si="306"/>
        <v>1</v>
      </c>
      <c r="T1292">
        <f t="shared" si="307"/>
        <v>0</v>
      </c>
      <c r="U1292">
        <f t="shared" si="312"/>
        <v>1</v>
      </c>
      <c r="V1292">
        <f t="shared" si="313"/>
        <v>0</v>
      </c>
      <c r="W1292">
        <f t="shared" si="308"/>
        <v>0</v>
      </c>
      <c r="X1292">
        <f t="shared" si="309"/>
        <v>0</v>
      </c>
      <c r="Y1292">
        <f t="shared" si="310"/>
        <v>0</v>
      </c>
    </row>
    <row r="1293" spans="1:25" hidden="1">
      <c r="A1293" t="str">
        <f t="shared" si="311"/>
        <v>Sanchez-Vicente 2022</v>
      </c>
      <c r="H1293">
        <v>373.23</v>
      </c>
      <c r="I1293">
        <v>12.2</v>
      </c>
      <c r="J1293">
        <f t="shared" si="314"/>
        <v>3.8985831361235488</v>
      </c>
      <c r="K1293">
        <v>8.2030000000000006E-2</v>
      </c>
      <c r="S1293">
        <f t="shared" si="306"/>
        <v>1</v>
      </c>
      <c r="T1293">
        <f t="shared" si="307"/>
        <v>0</v>
      </c>
      <c r="U1293">
        <f t="shared" si="312"/>
        <v>1</v>
      </c>
      <c r="V1293">
        <f t="shared" si="313"/>
        <v>0</v>
      </c>
      <c r="W1293">
        <f t="shared" si="308"/>
        <v>0</v>
      </c>
      <c r="X1293">
        <f t="shared" si="309"/>
        <v>0</v>
      </c>
      <c r="Y1293">
        <f t="shared" si="310"/>
        <v>0</v>
      </c>
    </row>
    <row r="1294" spans="1:25" hidden="1">
      <c r="A1294" t="str">
        <f t="shared" si="311"/>
        <v>Sanchez-Vicente 2022</v>
      </c>
      <c r="H1294">
        <v>373.26</v>
      </c>
      <c r="I1294">
        <v>25.9</v>
      </c>
      <c r="J1294">
        <f t="shared" si="314"/>
        <v>3.8985831361235488</v>
      </c>
      <c r="K1294">
        <v>4.2470000000000001E-2</v>
      </c>
      <c r="S1294">
        <f t="shared" si="306"/>
        <v>1</v>
      </c>
      <c r="T1294">
        <f t="shared" si="307"/>
        <v>0</v>
      </c>
      <c r="U1294">
        <f t="shared" si="312"/>
        <v>1</v>
      </c>
      <c r="V1294">
        <f t="shared" si="313"/>
        <v>0</v>
      </c>
      <c r="W1294">
        <f t="shared" si="308"/>
        <v>0</v>
      </c>
      <c r="X1294">
        <f t="shared" si="309"/>
        <v>0</v>
      </c>
      <c r="Y1294">
        <f t="shared" si="310"/>
        <v>0</v>
      </c>
    </row>
    <row r="1295" spans="1:25" hidden="1">
      <c r="A1295" t="str">
        <f t="shared" si="311"/>
        <v>Sanchez-Vicente 2022</v>
      </c>
      <c r="H1295">
        <v>373.27</v>
      </c>
      <c r="I1295">
        <v>50</v>
      </c>
      <c r="J1295">
        <f t="shared" si="314"/>
        <v>3.8985831361235488</v>
      </c>
      <c r="K1295">
        <v>2.1870000000000001E-2</v>
      </c>
      <c r="S1295">
        <f t="shared" si="306"/>
        <v>1</v>
      </c>
      <c r="T1295">
        <f t="shared" si="307"/>
        <v>0</v>
      </c>
      <c r="U1295">
        <f t="shared" si="312"/>
        <v>1</v>
      </c>
      <c r="V1295">
        <f t="shared" si="313"/>
        <v>0</v>
      </c>
      <c r="W1295">
        <f t="shared" si="308"/>
        <v>0</v>
      </c>
      <c r="X1295">
        <f t="shared" si="309"/>
        <v>0</v>
      </c>
      <c r="Y1295">
        <f t="shared" si="310"/>
        <v>0</v>
      </c>
    </row>
    <row r="1296" spans="1:25" hidden="1">
      <c r="A1296" t="str">
        <f t="shared" si="311"/>
        <v>Sanchez-Vicente 2022</v>
      </c>
      <c r="H1296">
        <v>373.31</v>
      </c>
      <c r="I1296">
        <v>72.2</v>
      </c>
      <c r="J1296">
        <f t="shared" si="314"/>
        <v>3.8985831361235488</v>
      </c>
      <c r="K1296">
        <v>1.451E-2</v>
      </c>
      <c r="S1296">
        <f t="shared" si="306"/>
        <v>1</v>
      </c>
      <c r="T1296">
        <f t="shared" si="307"/>
        <v>0</v>
      </c>
      <c r="U1296">
        <f t="shared" si="312"/>
        <v>1</v>
      </c>
      <c r="V1296">
        <f t="shared" si="313"/>
        <v>0</v>
      </c>
      <c r="W1296">
        <f t="shared" si="308"/>
        <v>0</v>
      </c>
      <c r="X1296">
        <f t="shared" si="309"/>
        <v>0</v>
      </c>
      <c r="Y1296">
        <f t="shared" si="310"/>
        <v>0</v>
      </c>
    </row>
    <row r="1297" spans="1:25" hidden="1">
      <c r="A1297" t="str">
        <f t="shared" si="311"/>
        <v>Sanchez-Vicente 2022</v>
      </c>
      <c r="H1297">
        <v>373.27</v>
      </c>
      <c r="I1297">
        <v>76.900000000000006</v>
      </c>
      <c r="J1297">
        <f t="shared" si="314"/>
        <v>3.8985831361235488</v>
      </c>
      <c r="K1297">
        <v>1.35E-2</v>
      </c>
      <c r="S1297">
        <f t="shared" ref="S1297:S1313" si="315">S1296</f>
        <v>1</v>
      </c>
      <c r="T1297">
        <f t="shared" ref="T1297:T1313" si="316">T1296</f>
        <v>0</v>
      </c>
      <c r="U1297">
        <f t="shared" si="312"/>
        <v>1</v>
      </c>
      <c r="V1297">
        <f t="shared" si="313"/>
        <v>0</v>
      </c>
      <c r="W1297">
        <f t="shared" ref="W1297:W1313" si="317">W1296</f>
        <v>0</v>
      </c>
      <c r="X1297">
        <f t="shared" ref="X1297:X1313" si="318">X1296</f>
        <v>0</v>
      </c>
      <c r="Y1297">
        <f t="shared" ref="Y1297:Y1313" si="319">Y1296</f>
        <v>0</v>
      </c>
    </row>
    <row r="1298" spans="1:25" hidden="1">
      <c r="A1298" t="str">
        <f t="shared" ref="A1298:A1313" si="320">A1297</f>
        <v>Sanchez-Vicente 2022</v>
      </c>
      <c r="H1298">
        <v>373.26</v>
      </c>
      <c r="I1298">
        <v>104.7</v>
      </c>
      <c r="J1298">
        <f t="shared" si="314"/>
        <v>3.8985831361235488</v>
      </c>
      <c r="K1298">
        <v>1.2840000000000001E-2</v>
      </c>
      <c r="S1298">
        <f t="shared" si="315"/>
        <v>1</v>
      </c>
      <c r="T1298">
        <f t="shared" si="316"/>
        <v>0</v>
      </c>
      <c r="U1298">
        <f t="shared" ref="U1298:U1313" si="321">U1297</f>
        <v>1</v>
      </c>
      <c r="V1298">
        <f t="shared" ref="V1298:V1313" si="322">V1297</f>
        <v>0</v>
      </c>
      <c r="W1298">
        <f t="shared" si="317"/>
        <v>0</v>
      </c>
      <c r="X1298">
        <f t="shared" si="318"/>
        <v>0</v>
      </c>
      <c r="Y1298">
        <f t="shared" si="319"/>
        <v>0</v>
      </c>
    </row>
    <row r="1299" spans="1:25" hidden="1">
      <c r="A1299" t="str">
        <f t="shared" si="320"/>
        <v>Sanchez-Vicente 2022</v>
      </c>
      <c r="H1299">
        <v>373.26</v>
      </c>
      <c r="I1299">
        <v>134.60000000000002</v>
      </c>
      <c r="J1299">
        <f t="shared" si="314"/>
        <v>3.8985831361235488</v>
      </c>
      <c r="K1299">
        <v>8.6099999999999996E-3</v>
      </c>
      <c r="S1299">
        <f t="shared" si="315"/>
        <v>1</v>
      </c>
      <c r="T1299">
        <f t="shared" si="316"/>
        <v>0</v>
      </c>
      <c r="U1299">
        <f t="shared" si="321"/>
        <v>1</v>
      </c>
      <c r="V1299">
        <f t="shared" si="322"/>
        <v>0</v>
      </c>
      <c r="W1299">
        <f t="shared" si="317"/>
        <v>0</v>
      </c>
      <c r="X1299">
        <f t="shared" si="318"/>
        <v>0</v>
      </c>
      <c r="Y1299">
        <f t="shared" si="319"/>
        <v>0</v>
      </c>
    </row>
    <row r="1300" spans="1:25" hidden="1">
      <c r="A1300" t="str">
        <f t="shared" si="320"/>
        <v>Sanchez-Vicente 2022</v>
      </c>
      <c r="H1300">
        <v>373.27</v>
      </c>
      <c r="I1300">
        <v>135.19999999999999</v>
      </c>
      <c r="J1300">
        <f t="shared" si="314"/>
        <v>3.8985831361235488</v>
      </c>
      <c r="K1300">
        <v>8.5500000000000003E-3</v>
      </c>
      <c r="S1300">
        <f t="shared" si="315"/>
        <v>1</v>
      </c>
      <c r="T1300">
        <f t="shared" si="316"/>
        <v>0</v>
      </c>
      <c r="U1300">
        <f t="shared" si="321"/>
        <v>1</v>
      </c>
      <c r="V1300">
        <f t="shared" si="322"/>
        <v>0</v>
      </c>
      <c r="W1300">
        <f t="shared" si="317"/>
        <v>0</v>
      </c>
      <c r="X1300">
        <f t="shared" si="318"/>
        <v>0</v>
      </c>
      <c r="Y1300">
        <f t="shared" si="319"/>
        <v>0</v>
      </c>
    </row>
    <row r="1301" spans="1:25" hidden="1">
      <c r="A1301" t="str">
        <f t="shared" si="320"/>
        <v>Sanchez-Vicente 2022</v>
      </c>
      <c r="H1301">
        <v>373.26</v>
      </c>
      <c r="I1301">
        <v>150.5</v>
      </c>
      <c r="J1301">
        <f t="shared" si="314"/>
        <v>3.8985831361235488</v>
      </c>
      <c r="K1301">
        <v>8.6400000000000001E-3</v>
      </c>
      <c r="S1301">
        <f t="shared" si="315"/>
        <v>1</v>
      </c>
      <c r="T1301">
        <f t="shared" si="316"/>
        <v>0</v>
      </c>
      <c r="U1301">
        <f t="shared" si="321"/>
        <v>1</v>
      </c>
      <c r="V1301">
        <f t="shared" si="322"/>
        <v>0</v>
      </c>
      <c r="W1301">
        <f t="shared" si="317"/>
        <v>0</v>
      </c>
      <c r="X1301">
        <f t="shared" si="318"/>
        <v>0</v>
      </c>
      <c r="Y1301">
        <f t="shared" si="319"/>
        <v>0</v>
      </c>
    </row>
    <row r="1302" spans="1:25" hidden="1">
      <c r="A1302" t="str">
        <f t="shared" si="320"/>
        <v>Sanchez-Vicente 2022</v>
      </c>
      <c r="H1302">
        <v>373.25</v>
      </c>
      <c r="I1302">
        <v>175.6</v>
      </c>
      <c r="J1302">
        <f t="shared" si="314"/>
        <v>3.8985831361235488</v>
      </c>
      <c r="K1302">
        <v>7.62E-3</v>
      </c>
      <c r="S1302">
        <f t="shared" si="315"/>
        <v>1</v>
      </c>
      <c r="T1302">
        <f t="shared" si="316"/>
        <v>0</v>
      </c>
      <c r="U1302">
        <f t="shared" si="321"/>
        <v>1</v>
      </c>
      <c r="V1302">
        <f t="shared" si="322"/>
        <v>0</v>
      </c>
      <c r="W1302">
        <f t="shared" si="317"/>
        <v>0</v>
      </c>
      <c r="X1302">
        <f t="shared" si="318"/>
        <v>0</v>
      </c>
      <c r="Y1302">
        <f t="shared" si="319"/>
        <v>0</v>
      </c>
    </row>
    <row r="1303" spans="1:25" hidden="1">
      <c r="A1303" t="str">
        <f t="shared" si="320"/>
        <v>Sanchez-Vicente 2022</v>
      </c>
      <c r="H1303">
        <v>373.27</v>
      </c>
      <c r="I1303">
        <v>202.89999999999998</v>
      </c>
      <c r="J1303">
        <f t="shared" si="314"/>
        <v>3.8985831361235488</v>
      </c>
      <c r="K1303">
        <v>6.7799999999999996E-3</v>
      </c>
      <c r="S1303">
        <f t="shared" si="315"/>
        <v>1</v>
      </c>
      <c r="T1303">
        <f t="shared" si="316"/>
        <v>0</v>
      </c>
      <c r="U1303">
        <f t="shared" si="321"/>
        <v>1</v>
      </c>
      <c r="V1303">
        <f t="shared" si="322"/>
        <v>0</v>
      </c>
      <c r="W1303">
        <f t="shared" si="317"/>
        <v>0</v>
      </c>
      <c r="X1303">
        <f t="shared" si="318"/>
        <v>0</v>
      </c>
      <c r="Y1303">
        <f t="shared" si="319"/>
        <v>0</v>
      </c>
    </row>
    <row r="1304" spans="1:25" hidden="1">
      <c r="A1304" t="str">
        <f t="shared" si="320"/>
        <v>Sanchez-Vicente 2022</v>
      </c>
      <c r="H1304">
        <v>423.01</v>
      </c>
      <c r="I1304">
        <v>15.5</v>
      </c>
      <c r="J1304">
        <f t="shared" si="314"/>
        <v>3.8985831361235488</v>
      </c>
      <c r="K1304">
        <v>0.27128999999999998</v>
      </c>
      <c r="S1304">
        <f t="shared" si="315"/>
        <v>1</v>
      </c>
      <c r="T1304">
        <f t="shared" si="316"/>
        <v>0</v>
      </c>
      <c r="U1304">
        <f t="shared" si="321"/>
        <v>1</v>
      </c>
      <c r="V1304">
        <f t="shared" si="322"/>
        <v>0</v>
      </c>
      <c r="W1304">
        <f t="shared" si="317"/>
        <v>0</v>
      </c>
      <c r="X1304">
        <f t="shared" si="318"/>
        <v>0</v>
      </c>
      <c r="Y1304">
        <f t="shared" si="319"/>
        <v>0</v>
      </c>
    </row>
    <row r="1305" spans="1:25" hidden="1">
      <c r="A1305" t="str">
        <f t="shared" si="320"/>
        <v>Sanchez-Vicente 2022</v>
      </c>
      <c r="H1305">
        <v>423.01</v>
      </c>
      <c r="I1305">
        <v>15.5</v>
      </c>
      <c r="J1305">
        <f t="shared" si="314"/>
        <v>3.8985831361235488</v>
      </c>
      <c r="K1305">
        <v>0.24612999999999999</v>
      </c>
      <c r="S1305">
        <f t="shared" si="315"/>
        <v>1</v>
      </c>
      <c r="T1305">
        <f t="shared" si="316"/>
        <v>0</v>
      </c>
      <c r="U1305">
        <f t="shared" si="321"/>
        <v>1</v>
      </c>
      <c r="V1305">
        <f t="shared" si="322"/>
        <v>0</v>
      </c>
      <c r="W1305">
        <f t="shared" si="317"/>
        <v>0</v>
      </c>
      <c r="X1305">
        <f t="shared" si="318"/>
        <v>0</v>
      </c>
      <c r="Y1305">
        <f t="shared" si="319"/>
        <v>0</v>
      </c>
    </row>
    <row r="1306" spans="1:25" hidden="1">
      <c r="A1306" t="str">
        <f t="shared" si="320"/>
        <v>Sanchez-Vicente 2022</v>
      </c>
      <c r="H1306">
        <v>423.39</v>
      </c>
      <c r="I1306">
        <v>25.099999999999998</v>
      </c>
      <c r="J1306">
        <f t="shared" si="314"/>
        <v>3.8985831361235488</v>
      </c>
      <c r="K1306">
        <v>0.15648000000000001</v>
      </c>
      <c r="S1306">
        <f t="shared" si="315"/>
        <v>1</v>
      </c>
      <c r="T1306">
        <f t="shared" si="316"/>
        <v>0</v>
      </c>
      <c r="U1306">
        <f t="shared" si="321"/>
        <v>1</v>
      </c>
      <c r="V1306">
        <f t="shared" si="322"/>
        <v>0</v>
      </c>
      <c r="W1306">
        <f t="shared" si="317"/>
        <v>0</v>
      </c>
      <c r="X1306">
        <f t="shared" si="318"/>
        <v>0</v>
      </c>
      <c r="Y1306">
        <f t="shared" si="319"/>
        <v>0</v>
      </c>
    </row>
    <row r="1307" spans="1:25" hidden="1">
      <c r="A1307" t="str">
        <f t="shared" si="320"/>
        <v>Sanchez-Vicente 2022</v>
      </c>
      <c r="H1307">
        <v>423.23</v>
      </c>
      <c r="I1307">
        <v>51.900000000000006</v>
      </c>
      <c r="J1307">
        <f t="shared" si="314"/>
        <v>3.8985831361235488</v>
      </c>
      <c r="K1307">
        <v>8.9069999999999996E-2</v>
      </c>
      <c r="S1307">
        <f t="shared" si="315"/>
        <v>1</v>
      </c>
      <c r="T1307">
        <f t="shared" si="316"/>
        <v>0</v>
      </c>
      <c r="U1307">
        <f t="shared" si="321"/>
        <v>1</v>
      </c>
      <c r="V1307">
        <f t="shared" si="322"/>
        <v>0</v>
      </c>
      <c r="W1307">
        <f t="shared" si="317"/>
        <v>0</v>
      </c>
      <c r="X1307">
        <f t="shared" si="318"/>
        <v>0</v>
      </c>
      <c r="Y1307">
        <f t="shared" si="319"/>
        <v>0</v>
      </c>
    </row>
    <row r="1308" spans="1:25" hidden="1">
      <c r="A1308" t="str">
        <f t="shared" si="320"/>
        <v>Sanchez-Vicente 2022</v>
      </c>
      <c r="H1308">
        <v>423.23</v>
      </c>
      <c r="I1308">
        <v>76.399999999999991</v>
      </c>
      <c r="J1308">
        <f t="shared" si="314"/>
        <v>3.8985831361235488</v>
      </c>
      <c r="K1308">
        <v>6.089E-2</v>
      </c>
      <c r="S1308">
        <f t="shared" si="315"/>
        <v>1</v>
      </c>
      <c r="T1308">
        <f t="shared" si="316"/>
        <v>0</v>
      </c>
      <c r="U1308">
        <f t="shared" si="321"/>
        <v>1</v>
      </c>
      <c r="V1308">
        <f t="shared" si="322"/>
        <v>0</v>
      </c>
      <c r="W1308">
        <f t="shared" si="317"/>
        <v>0</v>
      </c>
      <c r="X1308">
        <f t="shared" si="318"/>
        <v>0</v>
      </c>
      <c r="Y1308">
        <f t="shared" si="319"/>
        <v>0</v>
      </c>
    </row>
    <row r="1309" spans="1:25" hidden="1">
      <c r="A1309" t="str">
        <f t="shared" si="320"/>
        <v>Sanchez-Vicente 2022</v>
      </c>
      <c r="H1309">
        <v>423.25</v>
      </c>
      <c r="I1309">
        <v>99.7</v>
      </c>
      <c r="J1309">
        <f t="shared" si="314"/>
        <v>3.8985831361235488</v>
      </c>
      <c r="K1309">
        <v>5.7840000000000003E-2</v>
      </c>
      <c r="S1309">
        <f t="shared" si="315"/>
        <v>1</v>
      </c>
      <c r="T1309">
        <f t="shared" si="316"/>
        <v>0</v>
      </c>
      <c r="U1309">
        <f t="shared" si="321"/>
        <v>1</v>
      </c>
      <c r="V1309">
        <f t="shared" si="322"/>
        <v>0</v>
      </c>
      <c r="W1309">
        <f t="shared" si="317"/>
        <v>0</v>
      </c>
      <c r="X1309">
        <f t="shared" si="318"/>
        <v>0</v>
      </c>
      <c r="Y1309">
        <f t="shared" si="319"/>
        <v>0</v>
      </c>
    </row>
    <row r="1310" spans="1:25" hidden="1">
      <c r="A1310" t="str">
        <f t="shared" si="320"/>
        <v>Sanchez-Vicente 2022</v>
      </c>
      <c r="H1310">
        <v>423.26</v>
      </c>
      <c r="I1310">
        <v>127</v>
      </c>
      <c r="J1310">
        <f t="shared" si="314"/>
        <v>3.8985831361235488</v>
      </c>
      <c r="K1310">
        <v>4.4260000000000001E-2</v>
      </c>
      <c r="S1310">
        <f t="shared" si="315"/>
        <v>1</v>
      </c>
      <c r="T1310">
        <f t="shared" si="316"/>
        <v>0</v>
      </c>
      <c r="U1310">
        <f t="shared" si="321"/>
        <v>1</v>
      </c>
      <c r="V1310">
        <f t="shared" si="322"/>
        <v>0</v>
      </c>
      <c r="W1310">
        <f t="shared" si="317"/>
        <v>0</v>
      </c>
      <c r="X1310">
        <f t="shared" si="318"/>
        <v>0</v>
      </c>
      <c r="Y1310">
        <f t="shared" si="319"/>
        <v>0</v>
      </c>
    </row>
    <row r="1311" spans="1:25" hidden="1">
      <c r="A1311" t="str">
        <f t="shared" si="320"/>
        <v>Sanchez-Vicente 2022</v>
      </c>
      <c r="H1311">
        <v>423.26</v>
      </c>
      <c r="I1311">
        <v>151.80000000000001</v>
      </c>
      <c r="J1311">
        <f t="shared" si="314"/>
        <v>3.8985831361235488</v>
      </c>
      <c r="K1311">
        <v>3.5580000000000001E-2</v>
      </c>
      <c r="S1311">
        <f t="shared" si="315"/>
        <v>1</v>
      </c>
      <c r="T1311">
        <f t="shared" si="316"/>
        <v>0</v>
      </c>
      <c r="U1311">
        <f t="shared" si="321"/>
        <v>1</v>
      </c>
      <c r="V1311">
        <f t="shared" si="322"/>
        <v>0</v>
      </c>
      <c r="W1311">
        <f t="shared" si="317"/>
        <v>0</v>
      </c>
      <c r="X1311">
        <f t="shared" si="318"/>
        <v>0</v>
      </c>
      <c r="Y1311">
        <f t="shared" si="319"/>
        <v>0</v>
      </c>
    </row>
    <row r="1312" spans="1:25" hidden="1">
      <c r="A1312" t="str">
        <f t="shared" si="320"/>
        <v>Sanchez-Vicente 2022</v>
      </c>
      <c r="H1312">
        <v>423.26</v>
      </c>
      <c r="I1312">
        <v>175.6</v>
      </c>
      <c r="J1312">
        <f t="shared" si="314"/>
        <v>3.8985831361235488</v>
      </c>
      <c r="K1312">
        <v>2.8680000000000001E-2</v>
      </c>
      <c r="S1312">
        <f t="shared" si="315"/>
        <v>1</v>
      </c>
      <c r="T1312">
        <f t="shared" si="316"/>
        <v>0</v>
      </c>
      <c r="U1312">
        <f t="shared" si="321"/>
        <v>1</v>
      </c>
      <c r="V1312">
        <f t="shared" si="322"/>
        <v>0</v>
      </c>
      <c r="W1312">
        <f t="shared" si="317"/>
        <v>0</v>
      </c>
      <c r="X1312">
        <f t="shared" si="318"/>
        <v>0</v>
      </c>
      <c r="Y1312">
        <f t="shared" si="319"/>
        <v>0</v>
      </c>
    </row>
    <row r="1313" spans="1:25" hidden="1">
      <c r="A1313" t="str">
        <f t="shared" si="320"/>
        <v>Sanchez-Vicente 2022</v>
      </c>
      <c r="H1313">
        <v>423.26</v>
      </c>
      <c r="I1313">
        <v>203.5</v>
      </c>
      <c r="J1313">
        <f t="shared" si="314"/>
        <v>3.8985831361235488</v>
      </c>
      <c r="K1313">
        <v>2.606E-2</v>
      </c>
      <c r="S1313">
        <f t="shared" si="315"/>
        <v>1</v>
      </c>
      <c r="T1313">
        <f t="shared" si="316"/>
        <v>0</v>
      </c>
      <c r="U1313">
        <f t="shared" si="321"/>
        <v>1</v>
      </c>
      <c r="V1313">
        <f t="shared" si="322"/>
        <v>0</v>
      </c>
      <c r="W1313">
        <f t="shared" si="317"/>
        <v>0</v>
      </c>
      <c r="X1313">
        <f t="shared" si="318"/>
        <v>0</v>
      </c>
      <c r="Y1313">
        <f t="shared" si="319"/>
        <v>0</v>
      </c>
    </row>
    <row r="1314" spans="1:25" hidden="1">
      <c r="A1314" t="s">
        <v>34</v>
      </c>
      <c r="H1314">
        <v>293.14999999999998</v>
      </c>
      <c r="I1314">
        <v>24.5</v>
      </c>
      <c r="J1314">
        <v>0</v>
      </c>
      <c r="L1314" s="3">
        <v>5.47E-3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 hidden="1">
      <c r="A1315" t="str">
        <f t="shared" ref="A1315:A1346" si="323">A1314</f>
        <v>Sander 1911</v>
      </c>
      <c r="H1315">
        <v>293.14999999999998</v>
      </c>
      <c r="I1315">
        <v>29.4</v>
      </c>
      <c r="J1315">
        <v>0</v>
      </c>
      <c r="L1315" s="3">
        <v>6.0800000000000003E-3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 hidden="1">
      <c r="A1316" t="str">
        <f t="shared" si="323"/>
        <v>Sander 1911</v>
      </c>
      <c r="H1316">
        <v>293.14999999999998</v>
      </c>
      <c r="I1316">
        <v>39.200000000000003</v>
      </c>
      <c r="J1316">
        <v>0</v>
      </c>
      <c r="L1316" s="3">
        <v>6.4900000000000001E-3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hidden="1">
      <c r="A1317" t="str">
        <f t="shared" si="323"/>
        <v>Sander 1911</v>
      </c>
      <c r="H1317">
        <v>293.14999999999998</v>
      </c>
      <c r="I1317">
        <v>49</v>
      </c>
      <c r="J1317">
        <v>0</v>
      </c>
      <c r="L1317" s="3">
        <v>8.6999999999999994E-3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 hidden="1">
      <c r="A1318" t="str">
        <f t="shared" si="323"/>
        <v>Sander 1911</v>
      </c>
      <c r="H1318">
        <v>293.14999999999998</v>
      </c>
      <c r="I1318">
        <v>53.9</v>
      </c>
      <c r="J1318">
        <v>0</v>
      </c>
      <c r="L1318" s="3">
        <v>9.6200000000000001E-3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 hidden="1">
      <c r="A1319" t="str">
        <f t="shared" si="323"/>
        <v>Sander 1911</v>
      </c>
      <c r="H1319">
        <v>308.14999999999998</v>
      </c>
      <c r="I1319">
        <v>29.4</v>
      </c>
      <c r="J1319">
        <v>0</v>
      </c>
      <c r="L1319" s="3">
        <v>8.2699999999999996E-3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hidden="1">
      <c r="A1320" t="str">
        <f t="shared" si="323"/>
        <v>Sander 1911</v>
      </c>
      <c r="H1320">
        <f t="shared" ref="H1320:H1329" si="324">H1319</f>
        <v>308.14999999999998</v>
      </c>
      <c r="I1320">
        <v>39.200000000000003</v>
      </c>
      <c r="J1320">
        <v>0</v>
      </c>
      <c r="L1320" s="3">
        <v>1.306E-2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hidden="1">
      <c r="A1321" t="str">
        <f t="shared" si="323"/>
        <v>Sander 1911</v>
      </c>
      <c r="H1321">
        <f t="shared" si="324"/>
        <v>308.14999999999998</v>
      </c>
      <c r="I1321">
        <v>49</v>
      </c>
      <c r="J1321">
        <v>0</v>
      </c>
      <c r="L1321" s="3">
        <v>1.6039999999999999E-2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hidden="1">
      <c r="A1322" t="str">
        <f t="shared" si="323"/>
        <v>Sander 1911</v>
      </c>
      <c r="H1322">
        <f t="shared" si="324"/>
        <v>308.14999999999998</v>
      </c>
      <c r="I1322">
        <v>58.8</v>
      </c>
      <c r="J1322">
        <v>0</v>
      </c>
      <c r="L1322" s="3">
        <v>1.43E-2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 hidden="1">
      <c r="A1323" t="str">
        <f t="shared" si="323"/>
        <v>Sander 1911</v>
      </c>
      <c r="H1323">
        <f t="shared" si="324"/>
        <v>308.14999999999998</v>
      </c>
      <c r="I1323">
        <v>68.599999999999994</v>
      </c>
      <c r="J1323">
        <v>0</v>
      </c>
      <c r="L1323" s="3">
        <v>1.8239999999999999E-2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hidden="1">
      <c r="A1324" t="str">
        <f t="shared" si="323"/>
        <v>Sander 1911</v>
      </c>
      <c r="H1324">
        <f t="shared" si="324"/>
        <v>308.14999999999998</v>
      </c>
      <c r="I1324">
        <v>78.5</v>
      </c>
      <c r="J1324">
        <v>0</v>
      </c>
      <c r="L1324" s="3">
        <v>2.1270000000000001E-2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 hidden="1">
      <c r="A1325" t="str">
        <f t="shared" si="323"/>
        <v>Sander 1911</v>
      </c>
      <c r="H1325">
        <f t="shared" si="324"/>
        <v>308.14999999999998</v>
      </c>
      <c r="I1325">
        <f>I1319</f>
        <v>29.4</v>
      </c>
      <c r="J1325">
        <v>0</v>
      </c>
      <c r="L1325" s="3">
        <v>8.6199999999999992E-3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 hidden="1">
      <c r="A1326" t="str">
        <f t="shared" si="323"/>
        <v>Sander 1911</v>
      </c>
      <c r="H1326">
        <f t="shared" si="324"/>
        <v>308.14999999999998</v>
      </c>
      <c r="I1326">
        <f>I1320</f>
        <v>39.200000000000003</v>
      </c>
      <c r="J1326">
        <v>0</v>
      </c>
      <c r="L1326" s="3">
        <v>1.0829999999999999E-2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 hidden="1">
      <c r="A1327" t="str">
        <f t="shared" si="323"/>
        <v>Sander 1911</v>
      </c>
      <c r="H1327">
        <f t="shared" si="324"/>
        <v>308.14999999999998</v>
      </c>
      <c r="I1327">
        <f>I1321</f>
        <v>49</v>
      </c>
      <c r="J1327">
        <v>0</v>
      </c>
      <c r="L1327" s="3">
        <v>1.3809999999999999E-2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 hidden="1">
      <c r="A1328" t="str">
        <f t="shared" si="323"/>
        <v>Sander 1911</v>
      </c>
      <c r="H1328">
        <f t="shared" si="324"/>
        <v>308.14999999999998</v>
      </c>
      <c r="I1328">
        <f>I1322</f>
        <v>58.8</v>
      </c>
      <c r="J1328">
        <v>0</v>
      </c>
      <c r="L1328" s="3">
        <v>1.6629999999999999E-2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 hidden="1">
      <c r="A1329" t="str">
        <f t="shared" si="323"/>
        <v>Sander 1911</v>
      </c>
      <c r="H1329">
        <f t="shared" si="324"/>
        <v>308.14999999999998</v>
      </c>
      <c r="I1329">
        <f>I1323</f>
        <v>68.599999999999994</v>
      </c>
      <c r="J1329">
        <v>0</v>
      </c>
      <c r="L1329" s="3">
        <v>1.968E-2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 hidden="1">
      <c r="A1330" t="str">
        <f t="shared" si="323"/>
        <v>Sander 1911</v>
      </c>
      <c r="H1330">
        <v>333.15</v>
      </c>
      <c r="I1330">
        <v>39.200000000000003</v>
      </c>
      <c r="J1330">
        <v>0</v>
      </c>
      <c r="L1330" s="3">
        <v>7.4000000000000003E-3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 hidden="1">
      <c r="A1331" t="str">
        <f t="shared" si="323"/>
        <v>Sander 1911</v>
      </c>
      <c r="H1331">
        <f t="shared" ref="H1331:H1347" si="325">H1330</f>
        <v>333.15</v>
      </c>
      <c r="I1331">
        <v>49</v>
      </c>
      <c r="J1331">
        <v>0</v>
      </c>
      <c r="L1331" s="3">
        <v>8.3099999999999997E-3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hidden="1">
      <c r="A1332" t="str">
        <f t="shared" si="323"/>
        <v>Sander 1911</v>
      </c>
      <c r="H1332">
        <f t="shared" si="325"/>
        <v>333.15</v>
      </c>
      <c r="I1332">
        <v>58.8</v>
      </c>
      <c r="J1332">
        <v>0</v>
      </c>
      <c r="L1332" s="3">
        <v>9.8099999999999993E-3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hidden="1">
      <c r="A1333" t="str">
        <f t="shared" si="323"/>
        <v>Sander 1911</v>
      </c>
      <c r="H1333">
        <f t="shared" si="325"/>
        <v>333.15</v>
      </c>
      <c r="I1333">
        <v>68.599999999999994</v>
      </c>
      <c r="J1333">
        <v>0</v>
      </c>
      <c r="L1333" s="3">
        <v>1.1379999999999999E-2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 hidden="1">
      <c r="A1334" t="str">
        <f t="shared" si="323"/>
        <v>Sander 1911</v>
      </c>
      <c r="H1334">
        <f t="shared" si="325"/>
        <v>333.15</v>
      </c>
      <c r="I1334">
        <v>78.5</v>
      </c>
      <c r="J1334">
        <v>0</v>
      </c>
      <c r="L1334" s="3">
        <v>1.357E-2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 hidden="1">
      <c r="A1335" t="str">
        <f t="shared" si="323"/>
        <v>Sander 1911</v>
      </c>
      <c r="H1335">
        <f t="shared" si="325"/>
        <v>333.15</v>
      </c>
      <c r="I1335">
        <v>88.3</v>
      </c>
      <c r="J1335">
        <v>0</v>
      </c>
      <c r="L1335" s="3">
        <v>1.5350000000000001E-2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 hidden="1">
      <c r="A1336" t="str">
        <f t="shared" si="323"/>
        <v>Sander 1911</v>
      </c>
      <c r="H1336">
        <f t="shared" si="325"/>
        <v>333.15</v>
      </c>
      <c r="I1336">
        <v>98.1</v>
      </c>
      <c r="J1336">
        <v>0</v>
      </c>
      <c r="L1336" s="3">
        <v>1.7639999999999999E-2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1:25" hidden="1">
      <c r="A1337" t="str">
        <f t="shared" si="323"/>
        <v>Sander 1911</v>
      </c>
      <c r="H1337">
        <f t="shared" si="325"/>
        <v>333.15</v>
      </c>
      <c r="I1337">
        <v>107.9</v>
      </c>
      <c r="J1337">
        <v>0</v>
      </c>
      <c r="L1337" s="3">
        <v>1.9429999999999999E-2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 hidden="1">
      <c r="A1338" t="str">
        <f t="shared" si="323"/>
        <v>Sander 1911</v>
      </c>
      <c r="H1338">
        <f t="shared" si="325"/>
        <v>333.15</v>
      </c>
      <c r="I1338">
        <v>117.7</v>
      </c>
      <c r="J1338">
        <v>0</v>
      </c>
      <c r="L1338" s="3">
        <v>2.027E-2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 hidden="1">
      <c r="A1339" t="str">
        <f t="shared" si="323"/>
        <v>Sander 1911</v>
      </c>
      <c r="H1339">
        <f t="shared" si="325"/>
        <v>333.15</v>
      </c>
      <c r="I1339">
        <f t="shared" ref="I1339:I1347" si="326">I1330</f>
        <v>39.200000000000003</v>
      </c>
      <c r="J1339">
        <v>0</v>
      </c>
      <c r="L1339" s="3">
        <v>5.9100000000000003E-3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 hidden="1">
      <c r="A1340" t="str">
        <f t="shared" si="323"/>
        <v>Sander 1911</v>
      </c>
      <c r="H1340">
        <f t="shared" si="325"/>
        <v>333.15</v>
      </c>
      <c r="I1340">
        <f t="shared" si="326"/>
        <v>49</v>
      </c>
      <c r="J1340">
        <v>0</v>
      </c>
      <c r="L1340" s="3">
        <v>8.2500000000000004E-3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hidden="1">
      <c r="A1341" t="str">
        <f t="shared" si="323"/>
        <v>Sander 1911</v>
      </c>
      <c r="H1341">
        <f t="shared" si="325"/>
        <v>333.15</v>
      </c>
      <c r="I1341">
        <f t="shared" si="326"/>
        <v>58.8</v>
      </c>
      <c r="J1341">
        <v>0</v>
      </c>
      <c r="L1341" s="3">
        <v>9.2999999999999992E-3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 hidden="1">
      <c r="A1342" t="str">
        <f t="shared" si="323"/>
        <v>Sander 1911</v>
      </c>
      <c r="H1342">
        <f t="shared" si="325"/>
        <v>333.15</v>
      </c>
      <c r="I1342">
        <f t="shared" si="326"/>
        <v>68.599999999999994</v>
      </c>
      <c r="J1342">
        <v>0</v>
      </c>
      <c r="L1342" s="3">
        <v>1.0749999999999999E-2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 hidden="1">
      <c r="A1343" t="str">
        <f t="shared" si="323"/>
        <v>Sander 1911</v>
      </c>
      <c r="H1343">
        <f t="shared" si="325"/>
        <v>333.15</v>
      </c>
      <c r="I1343">
        <f t="shared" si="326"/>
        <v>78.5</v>
      </c>
      <c r="J1343">
        <v>0</v>
      </c>
      <c r="L1343" s="3">
        <v>1.391E-2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 hidden="1">
      <c r="A1344" t="str">
        <f t="shared" si="323"/>
        <v>Sander 1911</v>
      </c>
      <c r="H1344">
        <f t="shared" si="325"/>
        <v>333.15</v>
      </c>
      <c r="I1344">
        <f t="shared" si="326"/>
        <v>88.3</v>
      </c>
      <c r="J1344">
        <v>0</v>
      </c>
      <c r="L1344" s="3">
        <v>1.321E-2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 hidden="1">
      <c r="A1345" t="str">
        <f t="shared" si="323"/>
        <v>Sander 1911</v>
      </c>
      <c r="H1345">
        <f t="shared" si="325"/>
        <v>333.15</v>
      </c>
      <c r="I1345">
        <f t="shared" si="326"/>
        <v>98.1</v>
      </c>
      <c r="J1345">
        <v>0</v>
      </c>
      <c r="L1345" s="3">
        <v>1.704E-2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 hidden="1">
      <c r="A1346" t="str">
        <f t="shared" si="323"/>
        <v>Sander 1911</v>
      </c>
      <c r="H1346">
        <f t="shared" si="325"/>
        <v>333.15</v>
      </c>
      <c r="I1346">
        <f t="shared" si="326"/>
        <v>107.9</v>
      </c>
      <c r="J1346">
        <v>0</v>
      </c>
      <c r="L1346" s="3">
        <v>1.7170000000000001E-2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 hidden="1">
      <c r="A1347" t="str">
        <f t="shared" ref="A1347:A1368" si="327">A1346</f>
        <v>Sander 1911</v>
      </c>
      <c r="H1347">
        <f t="shared" si="325"/>
        <v>333.15</v>
      </c>
      <c r="I1347">
        <f t="shared" si="326"/>
        <v>117.7</v>
      </c>
      <c r="J1347">
        <v>0</v>
      </c>
      <c r="L1347" s="3">
        <v>2.0899999999999998E-2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 hidden="1">
      <c r="A1348" t="str">
        <f t="shared" si="327"/>
        <v>Sander 1911</v>
      </c>
      <c r="H1348">
        <v>375.15</v>
      </c>
      <c r="I1348">
        <v>58.8</v>
      </c>
      <c r="J1348">
        <v>0</v>
      </c>
      <c r="L1348" s="3">
        <v>5.5100000000000001E-3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 hidden="1">
      <c r="A1349" t="str">
        <f t="shared" si="327"/>
        <v>Sander 1911</v>
      </c>
      <c r="H1349">
        <f t="shared" ref="H1349:H1368" si="328">H1348</f>
        <v>375.15</v>
      </c>
      <c r="I1349">
        <v>68.599999999999994</v>
      </c>
      <c r="J1349">
        <v>0</v>
      </c>
      <c r="L1349" s="3">
        <v>6.2599999999999999E-3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hidden="1">
      <c r="A1350" t="str">
        <f t="shared" si="327"/>
        <v>Sander 1911</v>
      </c>
      <c r="H1350">
        <f t="shared" si="328"/>
        <v>375.15</v>
      </c>
      <c r="I1350">
        <v>78.5</v>
      </c>
      <c r="J1350">
        <v>0</v>
      </c>
      <c r="L1350" s="3">
        <v>6.9499999999999996E-3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 hidden="1">
      <c r="A1351" t="str">
        <f t="shared" si="327"/>
        <v>Sander 1911</v>
      </c>
      <c r="H1351">
        <f t="shared" si="328"/>
        <v>375.15</v>
      </c>
      <c r="I1351">
        <v>88.3</v>
      </c>
      <c r="J1351">
        <v>0</v>
      </c>
      <c r="L1351" s="3">
        <v>7.9399999999999991E-3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hidden="1">
      <c r="A1352" t="str">
        <f t="shared" si="327"/>
        <v>Sander 1911</v>
      </c>
      <c r="H1352">
        <f t="shared" si="328"/>
        <v>375.15</v>
      </c>
      <c r="I1352">
        <v>98.1</v>
      </c>
      <c r="J1352">
        <v>0</v>
      </c>
      <c r="L1352" s="3">
        <v>8.6099999999999996E-3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hidden="1">
      <c r="A1353" t="str">
        <f t="shared" si="327"/>
        <v>Sander 1911</v>
      </c>
      <c r="H1353">
        <f t="shared" si="328"/>
        <v>375.15</v>
      </c>
      <c r="I1353">
        <v>107.9</v>
      </c>
      <c r="J1353">
        <v>0</v>
      </c>
      <c r="L1353" s="3">
        <v>9.3799999999999994E-3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 hidden="1">
      <c r="A1354" t="str">
        <f t="shared" si="327"/>
        <v>Sander 1911</v>
      </c>
      <c r="H1354">
        <f t="shared" si="328"/>
        <v>375.15</v>
      </c>
      <c r="I1354">
        <v>117.7</v>
      </c>
      <c r="J1354">
        <v>0</v>
      </c>
      <c r="L1354" s="3">
        <v>1.0330000000000001E-2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 hidden="1">
      <c r="A1355" t="str">
        <f t="shared" si="327"/>
        <v>Sander 1911</v>
      </c>
      <c r="H1355">
        <f t="shared" si="328"/>
        <v>375.15</v>
      </c>
      <c r="I1355">
        <v>127.5</v>
      </c>
      <c r="J1355">
        <v>0</v>
      </c>
      <c r="L1355" s="3">
        <v>1.128E-2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hidden="1">
      <c r="A1356" t="str">
        <f t="shared" si="327"/>
        <v>Sander 1911</v>
      </c>
      <c r="H1356">
        <f t="shared" si="328"/>
        <v>375.15</v>
      </c>
      <c r="I1356">
        <v>137.30000000000001</v>
      </c>
      <c r="J1356">
        <v>0</v>
      </c>
      <c r="L1356" s="3">
        <v>1.2290000000000001E-2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 hidden="1">
      <c r="A1357" t="str">
        <f t="shared" si="327"/>
        <v>Sander 1911</v>
      </c>
      <c r="H1357">
        <f t="shared" si="328"/>
        <v>375.15</v>
      </c>
      <c r="I1357">
        <v>147.1</v>
      </c>
      <c r="J1357">
        <v>0</v>
      </c>
      <c r="L1357" s="3">
        <v>1.2919999999999999E-2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 hidden="1">
      <c r="A1358" t="str">
        <f t="shared" si="327"/>
        <v>Sander 1911</v>
      </c>
      <c r="H1358">
        <f t="shared" si="328"/>
        <v>375.15</v>
      </c>
      <c r="I1358">
        <v>156.9</v>
      </c>
      <c r="J1358">
        <v>0</v>
      </c>
      <c r="L1358" s="3">
        <v>1.3849999999999999E-2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 hidden="1">
      <c r="A1359" t="str">
        <f t="shared" si="327"/>
        <v>Sander 1911</v>
      </c>
      <c r="H1359">
        <f t="shared" si="328"/>
        <v>375.15</v>
      </c>
      <c r="I1359">
        <v>166.7</v>
      </c>
      <c r="J1359">
        <v>0</v>
      </c>
      <c r="L1359" s="3">
        <v>1.4290000000000001E-2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hidden="1">
      <c r="A1360" t="str">
        <f t="shared" si="327"/>
        <v>Sander 1911</v>
      </c>
      <c r="H1360">
        <f t="shared" si="328"/>
        <v>375.15</v>
      </c>
      <c r="I1360">
        <f t="shared" ref="I1360:I1368" si="329">I1349</f>
        <v>68.599999999999994</v>
      </c>
      <c r="J1360">
        <v>0</v>
      </c>
      <c r="L1360" s="3">
        <v>3.6700000000000001E-3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hidden="1">
      <c r="A1361" t="str">
        <f t="shared" si="327"/>
        <v>Sander 1911</v>
      </c>
      <c r="H1361">
        <f t="shared" si="328"/>
        <v>375.15</v>
      </c>
      <c r="I1361">
        <f t="shared" si="329"/>
        <v>78.5</v>
      </c>
      <c r="J1361">
        <v>0</v>
      </c>
      <c r="L1361" s="3">
        <v>5.3699999999999998E-3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 hidden="1">
      <c r="A1362" t="str">
        <f t="shared" si="327"/>
        <v>Sander 1911</v>
      </c>
      <c r="H1362">
        <f t="shared" si="328"/>
        <v>375.15</v>
      </c>
      <c r="I1362">
        <f t="shared" si="329"/>
        <v>88.3</v>
      </c>
      <c r="J1362">
        <v>0</v>
      </c>
      <c r="L1362" s="3">
        <v>6.2100000000000002E-3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hidden="1">
      <c r="A1363" t="str">
        <f t="shared" si="327"/>
        <v>Sander 1911</v>
      </c>
      <c r="H1363">
        <f t="shared" si="328"/>
        <v>375.15</v>
      </c>
      <c r="I1363">
        <f t="shared" si="329"/>
        <v>98.1</v>
      </c>
      <c r="J1363">
        <v>0</v>
      </c>
      <c r="L1363" s="3">
        <v>7.1000000000000004E-3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hidden="1">
      <c r="A1364" t="str">
        <f t="shared" si="327"/>
        <v>Sander 1911</v>
      </c>
      <c r="H1364">
        <f t="shared" si="328"/>
        <v>375.15</v>
      </c>
      <c r="I1364">
        <f t="shared" si="329"/>
        <v>107.9</v>
      </c>
      <c r="J1364">
        <v>0</v>
      </c>
      <c r="L1364" s="3">
        <v>9.3100000000000006E-3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hidden="1">
      <c r="A1365" t="str">
        <f t="shared" si="327"/>
        <v>Sander 1911</v>
      </c>
      <c r="H1365">
        <f t="shared" si="328"/>
        <v>375.15</v>
      </c>
      <c r="I1365">
        <f t="shared" si="329"/>
        <v>117.7</v>
      </c>
      <c r="J1365">
        <v>0</v>
      </c>
      <c r="L1365" s="3">
        <v>9.0100000000000006E-3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hidden="1">
      <c r="A1366" t="str">
        <f t="shared" si="327"/>
        <v>Sander 1911</v>
      </c>
      <c r="H1366">
        <f t="shared" si="328"/>
        <v>375.15</v>
      </c>
      <c r="I1366">
        <f t="shared" si="329"/>
        <v>127.5</v>
      </c>
      <c r="J1366">
        <v>0</v>
      </c>
      <c r="L1366" s="3">
        <v>9.6399999999999993E-3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 hidden="1">
      <c r="A1367" t="str">
        <f t="shared" si="327"/>
        <v>Sander 1911</v>
      </c>
      <c r="H1367">
        <f t="shared" si="328"/>
        <v>375.15</v>
      </c>
      <c r="I1367">
        <f t="shared" si="329"/>
        <v>137.30000000000001</v>
      </c>
      <c r="J1367">
        <v>0</v>
      </c>
      <c r="L1367" s="3">
        <v>9.7400000000000004E-3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 hidden="1">
      <c r="A1368" t="str">
        <f t="shared" si="327"/>
        <v>Sander 1911</v>
      </c>
      <c r="H1368">
        <f t="shared" si="328"/>
        <v>375.15</v>
      </c>
      <c r="I1368">
        <f t="shared" si="329"/>
        <v>147.1</v>
      </c>
      <c r="J1368">
        <v>0</v>
      </c>
      <c r="L1368" s="3">
        <v>9.6600000000000002E-3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hidden="1">
      <c r="A1369" t="s">
        <v>20</v>
      </c>
      <c r="B1369">
        <v>100</v>
      </c>
      <c r="C1369">
        <v>100</v>
      </c>
      <c r="D1369">
        <v>0.98939999999999995</v>
      </c>
      <c r="E1369">
        <v>8.2000000000000007E-3</v>
      </c>
      <c r="F1369">
        <f t="shared" ref="F1369:F1400" si="330">1-D1369</f>
        <v>1.0600000000000054E-2</v>
      </c>
      <c r="H1369" s="2">
        <f t="shared" ref="H1369:H1400" si="331">ROUND((B1369- 32) * 5/9 + 273.15,2)</f>
        <v>310.93</v>
      </c>
      <c r="I1369" s="2">
        <f t="shared" ref="I1369:I1400" si="332">ROUND(C1369/14.504,2)</f>
        <v>6.89</v>
      </c>
      <c r="J1369">
        <v>0</v>
      </c>
      <c r="K1369" s="2">
        <f t="shared" ref="K1369:K1400" si="333">F1369</f>
        <v>1.0600000000000054E-2</v>
      </c>
      <c r="M1369" s="2">
        <f t="shared" ref="M1369:M1397" si="334">E1369</f>
        <v>8.2000000000000007E-3</v>
      </c>
      <c r="S1369">
        <v>0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hidden="1">
      <c r="A1370" t="str">
        <f t="shared" ref="A1370:B1374" si="335">A1369</f>
        <v>Selleck 1952</v>
      </c>
      <c r="B1370">
        <f t="shared" si="335"/>
        <v>100</v>
      </c>
      <c r="C1370">
        <v>150</v>
      </c>
      <c r="D1370">
        <v>0.99250000000000005</v>
      </c>
      <c r="E1370">
        <v>1.23E-2</v>
      </c>
      <c r="F1370">
        <f t="shared" si="330"/>
        <v>7.4999999999999512E-3</v>
      </c>
      <c r="H1370" s="2">
        <f t="shared" si="331"/>
        <v>310.93</v>
      </c>
      <c r="I1370" s="2">
        <f t="shared" si="332"/>
        <v>10.34</v>
      </c>
      <c r="J1370">
        <v>0</v>
      </c>
      <c r="K1370" s="2">
        <f t="shared" si="333"/>
        <v>7.4999999999999512E-3</v>
      </c>
      <c r="M1370" s="2">
        <f t="shared" si="334"/>
        <v>1.23E-2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hidden="1">
      <c r="A1371" t="str">
        <f t="shared" si="335"/>
        <v>Selleck 1952</v>
      </c>
      <c r="B1371">
        <f t="shared" si="335"/>
        <v>100</v>
      </c>
      <c r="C1371">
        <v>200</v>
      </c>
      <c r="D1371">
        <v>0.99399999999999999</v>
      </c>
      <c r="E1371">
        <v>1.6500000000000001E-2</v>
      </c>
      <c r="F1371">
        <f t="shared" si="330"/>
        <v>6.0000000000000053E-3</v>
      </c>
      <c r="H1371" s="2">
        <f t="shared" si="331"/>
        <v>310.93</v>
      </c>
      <c r="I1371" s="2">
        <f t="shared" si="332"/>
        <v>13.79</v>
      </c>
      <c r="J1371">
        <v>0</v>
      </c>
      <c r="K1371" s="2">
        <f t="shared" si="333"/>
        <v>6.0000000000000053E-3</v>
      </c>
      <c r="M1371" s="2">
        <f t="shared" si="334"/>
        <v>1.6500000000000001E-2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hidden="1">
      <c r="A1372" t="str">
        <f t="shared" si="335"/>
        <v>Selleck 1952</v>
      </c>
      <c r="B1372">
        <f t="shared" si="335"/>
        <v>100</v>
      </c>
      <c r="C1372">
        <v>250</v>
      </c>
      <c r="D1372">
        <v>0.99490000000000001</v>
      </c>
      <c r="E1372">
        <v>2.07E-2</v>
      </c>
      <c r="F1372">
        <f t="shared" si="330"/>
        <v>5.0999999999999934E-3</v>
      </c>
      <c r="H1372" s="2">
        <f t="shared" si="331"/>
        <v>310.93</v>
      </c>
      <c r="I1372" s="2">
        <f t="shared" si="332"/>
        <v>17.239999999999998</v>
      </c>
      <c r="J1372">
        <v>0</v>
      </c>
      <c r="K1372" s="2">
        <f t="shared" si="333"/>
        <v>5.0999999999999934E-3</v>
      </c>
      <c r="M1372" s="2">
        <f t="shared" si="334"/>
        <v>2.07E-2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 hidden="1">
      <c r="A1373" t="str">
        <f t="shared" si="335"/>
        <v>Selleck 1952</v>
      </c>
      <c r="B1373">
        <f t="shared" si="335"/>
        <v>100</v>
      </c>
      <c r="C1373">
        <v>300</v>
      </c>
      <c r="D1373">
        <v>0.99539999999999995</v>
      </c>
      <c r="E1373">
        <v>2.5000000000000001E-2</v>
      </c>
      <c r="F1373">
        <f t="shared" si="330"/>
        <v>4.6000000000000485E-3</v>
      </c>
      <c r="H1373" s="2">
        <f t="shared" si="331"/>
        <v>310.93</v>
      </c>
      <c r="I1373" s="2">
        <f t="shared" si="332"/>
        <v>20.68</v>
      </c>
      <c r="J1373">
        <v>0</v>
      </c>
      <c r="K1373" s="2">
        <f t="shared" si="333"/>
        <v>4.6000000000000485E-3</v>
      </c>
      <c r="M1373" s="2">
        <f t="shared" si="334"/>
        <v>2.5000000000000001E-2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hidden="1">
      <c r="A1374" t="str">
        <f t="shared" si="335"/>
        <v>Selleck 1952</v>
      </c>
      <c r="B1374">
        <f t="shared" si="335"/>
        <v>100</v>
      </c>
      <c r="C1374">
        <v>390.1</v>
      </c>
      <c r="D1374">
        <v>0.996</v>
      </c>
      <c r="E1374">
        <v>3.3300000000000003E-2</v>
      </c>
      <c r="F1374">
        <f t="shared" si="330"/>
        <v>4.0000000000000036E-3</v>
      </c>
      <c r="H1374" s="2">
        <f t="shared" si="331"/>
        <v>310.93</v>
      </c>
      <c r="I1374" s="2">
        <f t="shared" si="332"/>
        <v>26.9</v>
      </c>
      <c r="J1374">
        <v>0</v>
      </c>
      <c r="K1374" s="2">
        <f t="shared" si="333"/>
        <v>4.0000000000000036E-3</v>
      </c>
      <c r="M1374" s="2">
        <f t="shared" si="334"/>
        <v>3.3300000000000003E-2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hidden="1">
      <c r="A1375" t="str">
        <f t="shared" ref="A1375:A1406" si="336">A1374</f>
        <v>Selleck 1952</v>
      </c>
      <c r="B1375">
        <v>160</v>
      </c>
      <c r="C1375">
        <v>100</v>
      </c>
      <c r="D1375" s="1">
        <v>0.94930000000000003</v>
      </c>
      <c r="E1375" s="1">
        <v>5.0000000000000001E-3</v>
      </c>
      <c r="F1375">
        <f t="shared" si="330"/>
        <v>5.0699999999999967E-2</v>
      </c>
      <c r="H1375" s="2">
        <f t="shared" si="331"/>
        <v>344.26</v>
      </c>
      <c r="I1375" s="2">
        <f t="shared" si="332"/>
        <v>6.89</v>
      </c>
      <c r="J1375">
        <v>0</v>
      </c>
      <c r="K1375" s="2">
        <f t="shared" si="333"/>
        <v>5.0699999999999967E-2</v>
      </c>
      <c r="M1375" s="2">
        <f t="shared" si="334"/>
        <v>5.0000000000000001E-3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 hidden="1">
      <c r="A1376" t="str">
        <f t="shared" si="336"/>
        <v>Selleck 1952</v>
      </c>
      <c r="B1376">
        <f t="shared" ref="B1376:B1384" si="337">B1375</f>
        <v>160</v>
      </c>
      <c r="C1376">
        <v>150</v>
      </c>
      <c r="D1376" s="1">
        <v>0.96430000000000005</v>
      </c>
      <c r="E1376" s="1">
        <v>7.6E-3</v>
      </c>
      <c r="F1376">
        <f t="shared" si="330"/>
        <v>3.5699999999999954E-2</v>
      </c>
      <c r="H1376" s="2">
        <f t="shared" si="331"/>
        <v>344.26</v>
      </c>
      <c r="I1376" s="2">
        <f t="shared" si="332"/>
        <v>10.34</v>
      </c>
      <c r="J1376">
        <v>0</v>
      </c>
      <c r="K1376" s="2">
        <f t="shared" si="333"/>
        <v>3.5699999999999954E-2</v>
      </c>
      <c r="M1376" s="2">
        <f t="shared" si="334"/>
        <v>7.6E-3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 hidden="1">
      <c r="A1377" t="str">
        <f t="shared" si="336"/>
        <v>Selleck 1952</v>
      </c>
      <c r="B1377">
        <f t="shared" si="337"/>
        <v>160</v>
      </c>
      <c r="C1377">
        <v>200</v>
      </c>
      <c r="D1377" s="1">
        <v>0.97260000000000002</v>
      </c>
      <c r="E1377" s="1">
        <v>1.0200000000000001E-2</v>
      </c>
      <c r="F1377">
        <f t="shared" si="330"/>
        <v>2.739999999999998E-2</v>
      </c>
      <c r="H1377" s="2">
        <f t="shared" si="331"/>
        <v>344.26</v>
      </c>
      <c r="I1377" s="2">
        <f t="shared" si="332"/>
        <v>13.79</v>
      </c>
      <c r="J1377">
        <v>0</v>
      </c>
      <c r="K1377" s="2">
        <f t="shared" si="333"/>
        <v>2.739999999999998E-2</v>
      </c>
      <c r="M1377" s="2">
        <f t="shared" si="334"/>
        <v>1.0200000000000001E-2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 hidden="1">
      <c r="A1378" t="str">
        <f t="shared" si="336"/>
        <v>Selleck 1952</v>
      </c>
      <c r="B1378">
        <f t="shared" si="337"/>
        <v>160</v>
      </c>
      <c r="C1378">
        <v>250</v>
      </c>
      <c r="D1378" s="1">
        <v>0.97709999999999997</v>
      </c>
      <c r="E1378" s="1">
        <v>1.2800000000000001E-2</v>
      </c>
      <c r="F1378">
        <f t="shared" si="330"/>
        <v>2.2900000000000031E-2</v>
      </c>
      <c r="H1378" s="2">
        <f t="shared" si="331"/>
        <v>344.26</v>
      </c>
      <c r="I1378" s="2">
        <f t="shared" si="332"/>
        <v>17.239999999999998</v>
      </c>
      <c r="J1378">
        <f t="shared" ref="J1378:J1409" si="338">J1377</f>
        <v>0</v>
      </c>
      <c r="K1378" s="2">
        <f t="shared" si="333"/>
        <v>2.2900000000000031E-2</v>
      </c>
      <c r="M1378" s="2">
        <f t="shared" si="334"/>
        <v>1.2800000000000001E-2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 hidden="1">
      <c r="A1379" t="str">
        <f t="shared" si="336"/>
        <v>Selleck 1952</v>
      </c>
      <c r="B1379">
        <f t="shared" si="337"/>
        <v>160</v>
      </c>
      <c r="C1379">
        <v>300</v>
      </c>
      <c r="D1379" s="1">
        <v>0.98009999999999997</v>
      </c>
      <c r="E1379" s="1">
        <v>1.54E-2</v>
      </c>
      <c r="F1379">
        <f t="shared" si="330"/>
        <v>1.9900000000000029E-2</v>
      </c>
      <c r="H1379" s="2">
        <f t="shared" si="331"/>
        <v>344.26</v>
      </c>
      <c r="I1379" s="2">
        <f t="shared" si="332"/>
        <v>20.68</v>
      </c>
      <c r="J1379">
        <f t="shared" si="338"/>
        <v>0</v>
      </c>
      <c r="K1379" s="2">
        <f t="shared" si="333"/>
        <v>1.9900000000000029E-2</v>
      </c>
      <c r="M1379" s="2">
        <f t="shared" si="334"/>
        <v>1.54E-2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 hidden="1">
      <c r="A1380" t="str">
        <f t="shared" si="336"/>
        <v>Selleck 1952</v>
      </c>
      <c r="B1380">
        <f t="shared" si="337"/>
        <v>160</v>
      </c>
      <c r="C1380">
        <v>400</v>
      </c>
      <c r="D1380" s="1">
        <v>0.98370000000000002</v>
      </c>
      <c r="E1380" s="1">
        <v>2.06E-2</v>
      </c>
      <c r="F1380">
        <f t="shared" si="330"/>
        <v>1.6299999999999981E-2</v>
      </c>
      <c r="H1380" s="2">
        <f t="shared" si="331"/>
        <v>344.26</v>
      </c>
      <c r="I1380" s="2">
        <f t="shared" si="332"/>
        <v>27.58</v>
      </c>
      <c r="J1380">
        <f t="shared" si="338"/>
        <v>0</v>
      </c>
      <c r="K1380" s="2">
        <f t="shared" si="333"/>
        <v>1.6299999999999981E-2</v>
      </c>
      <c r="M1380" s="2">
        <f t="shared" si="334"/>
        <v>2.06E-2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1:25" hidden="1">
      <c r="A1381" t="str">
        <f t="shared" si="336"/>
        <v>Selleck 1952</v>
      </c>
      <c r="B1381">
        <f t="shared" si="337"/>
        <v>160</v>
      </c>
      <c r="C1381">
        <v>500</v>
      </c>
      <c r="D1381" s="1">
        <v>0.98560000000000003</v>
      </c>
      <c r="E1381" s="1">
        <v>2.58E-2</v>
      </c>
      <c r="F1381">
        <f t="shared" si="330"/>
        <v>1.4399999999999968E-2</v>
      </c>
      <c r="H1381" s="2">
        <f t="shared" si="331"/>
        <v>344.26</v>
      </c>
      <c r="I1381" s="2">
        <f t="shared" si="332"/>
        <v>34.47</v>
      </c>
      <c r="J1381">
        <f t="shared" si="338"/>
        <v>0</v>
      </c>
      <c r="K1381" s="2">
        <f t="shared" si="333"/>
        <v>1.4399999999999968E-2</v>
      </c>
      <c r="M1381" s="2">
        <f t="shared" si="334"/>
        <v>2.58E-2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 hidden="1">
      <c r="A1382" t="str">
        <f t="shared" si="336"/>
        <v>Selleck 1952</v>
      </c>
      <c r="B1382">
        <f t="shared" si="337"/>
        <v>160</v>
      </c>
      <c r="C1382">
        <v>600</v>
      </c>
      <c r="D1382" s="1">
        <v>0.98650000000000004</v>
      </c>
      <c r="E1382" s="1">
        <v>3.1E-2</v>
      </c>
      <c r="F1382">
        <f t="shared" si="330"/>
        <v>1.3499999999999956E-2</v>
      </c>
      <c r="H1382" s="2">
        <f t="shared" si="331"/>
        <v>344.26</v>
      </c>
      <c r="I1382" s="2">
        <f t="shared" si="332"/>
        <v>41.37</v>
      </c>
      <c r="J1382">
        <f t="shared" si="338"/>
        <v>0</v>
      </c>
      <c r="K1382" s="2">
        <f t="shared" si="333"/>
        <v>1.3499999999999956E-2</v>
      </c>
      <c r="M1382" s="2">
        <f t="shared" si="334"/>
        <v>3.1E-2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 hidden="1">
      <c r="A1383" t="str">
        <f t="shared" si="336"/>
        <v>Selleck 1952</v>
      </c>
      <c r="B1383">
        <f t="shared" si="337"/>
        <v>160</v>
      </c>
      <c r="C1383">
        <v>700</v>
      </c>
      <c r="D1383" s="1">
        <v>0.98680000000000001</v>
      </c>
      <c r="E1383" s="1">
        <v>3.6400000000000002E-2</v>
      </c>
      <c r="F1383">
        <f t="shared" si="330"/>
        <v>1.319999999999999E-2</v>
      </c>
      <c r="H1383" s="2">
        <f t="shared" si="331"/>
        <v>344.26</v>
      </c>
      <c r="I1383" s="2">
        <f t="shared" si="332"/>
        <v>48.26</v>
      </c>
      <c r="J1383">
        <f t="shared" si="338"/>
        <v>0</v>
      </c>
      <c r="K1383" s="2">
        <f t="shared" si="333"/>
        <v>1.319999999999999E-2</v>
      </c>
      <c r="M1383" s="2">
        <f t="shared" si="334"/>
        <v>3.6400000000000002E-2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 hidden="1">
      <c r="A1384" t="str">
        <f t="shared" si="336"/>
        <v>Selleck 1952</v>
      </c>
      <c r="B1384">
        <f t="shared" si="337"/>
        <v>160</v>
      </c>
      <c r="C1384">
        <v>759.4</v>
      </c>
      <c r="D1384" s="1">
        <v>0.9869</v>
      </c>
      <c r="E1384" s="1">
        <v>3.95E-2</v>
      </c>
      <c r="F1384">
        <f t="shared" si="330"/>
        <v>1.3100000000000001E-2</v>
      </c>
      <c r="H1384" s="2">
        <f t="shared" si="331"/>
        <v>344.26</v>
      </c>
      <c r="I1384" s="2">
        <f t="shared" si="332"/>
        <v>52.36</v>
      </c>
      <c r="J1384">
        <f t="shared" si="338"/>
        <v>0</v>
      </c>
      <c r="K1384" s="2">
        <f t="shared" si="333"/>
        <v>1.3100000000000001E-2</v>
      </c>
      <c r="M1384" s="2">
        <f t="shared" si="334"/>
        <v>3.95E-2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 hidden="1">
      <c r="A1385" t="str">
        <f t="shared" si="336"/>
        <v>Selleck 1952</v>
      </c>
      <c r="B1385">
        <v>220</v>
      </c>
      <c r="C1385">
        <v>200</v>
      </c>
      <c r="D1385">
        <v>0.90459999999999996</v>
      </c>
      <c r="E1385">
        <v>7.7000000000000002E-3</v>
      </c>
      <c r="F1385">
        <f t="shared" si="330"/>
        <v>9.540000000000004E-2</v>
      </c>
      <c r="H1385" s="2">
        <f t="shared" si="331"/>
        <v>377.59</v>
      </c>
      <c r="I1385" s="2">
        <f t="shared" si="332"/>
        <v>13.79</v>
      </c>
      <c r="J1385">
        <f t="shared" si="338"/>
        <v>0</v>
      </c>
      <c r="K1385" s="2">
        <f t="shared" si="333"/>
        <v>9.540000000000004E-2</v>
      </c>
      <c r="M1385" s="2">
        <f t="shared" si="334"/>
        <v>7.7000000000000002E-3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hidden="1">
      <c r="A1386" t="str">
        <f t="shared" si="336"/>
        <v>Selleck 1952</v>
      </c>
      <c r="B1386">
        <f t="shared" ref="B1386:B1401" si="339">B1385</f>
        <v>220</v>
      </c>
      <c r="C1386">
        <v>400</v>
      </c>
      <c r="D1386">
        <v>0.94769999999999999</v>
      </c>
      <c r="E1386">
        <v>1.5599999999999999E-2</v>
      </c>
      <c r="F1386">
        <f t="shared" si="330"/>
        <v>5.2300000000000013E-2</v>
      </c>
      <c r="H1386" s="2">
        <f t="shared" si="331"/>
        <v>377.59</v>
      </c>
      <c r="I1386" s="2">
        <f t="shared" si="332"/>
        <v>27.58</v>
      </c>
      <c r="J1386">
        <f t="shared" si="338"/>
        <v>0</v>
      </c>
      <c r="K1386" s="2">
        <f t="shared" si="333"/>
        <v>5.2300000000000013E-2</v>
      </c>
      <c r="M1386" s="2">
        <f t="shared" si="334"/>
        <v>1.5599999999999999E-2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 hidden="1">
      <c r="A1387" t="str">
        <f t="shared" si="336"/>
        <v>Selleck 1952</v>
      </c>
      <c r="B1387">
        <f t="shared" si="339"/>
        <v>220</v>
      </c>
      <c r="C1387">
        <v>600</v>
      </c>
      <c r="D1387">
        <v>0.9597</v>
      </c>
      <c r="E1387">
        <v>2.3E-2</v>
      </c>
      <c r="F1387">
        <f t="shared" si="330"/>
        <v>4.0300000000000002E-2</v>
      </c>
      <c r="H1387" s="2">
        <f t="shared" si="331"/>
        <v>377.59</v>
      </c>
      <c r="I1387" s="2">
        <f t="shared" si="332"/>
        <v>41.37</v>
      </c>
      <c r="J1387">
        <f t="shared" si="338"/>
        <v>0</v>
      </c>
      <c r="K1387" s="2">
        <f t="shared" si="333"/>
        <v>4.0300000000000002E-2</v>
      </c>
      <c r="M1387" s="2">
        <f t="shared" si="334"/>
        <v>2.3E-2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 hidden="1">
      <c r="A1388" t="str">
        <f t="shared" si="336"/>
        <v>Selleck 1952</v>
      </c>
      <c r="B1388">
        <f t="shared" si="339"/>
        <v>220</v>
      </c>
      <c r="C1388">
        <v>800</v>
      </c>
      <c r="D1388">
        <v>0.9647</v>
      </c>
      <c r="E1388">
        <v>3.0099999999999998E-2</v>
      </c>
      <c r="F1388">
        <f t="shared" si="330"/>
        <v>3.5299999999999998E-2</v>
      </c>
      <c r="H1388" s="2">
        <f t="shared" si="331"/>
        <v>377.59</v>
      </c>
      <c r="I1388" s="2">
        <f t="shared" si="332"/>
        <v>55.16</v>
      </c>
      <c r="J1388">
        <f t="shared" si="338"/>
        <v>0</v>
      </c>
      <c r="K1388" s="2">
        <f t="shared" si="333"/>
        <v>3.5299999999999998E-2</v>
      </c>
      <c r="M1388" s="2">
        <f t="shared" si="334"/>
        <v>3.0099999999999998E-2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 hidden="1">
      <c r="A1389" t="str">
        <f t="shared" si="336"/>
        <v>Selleck 1952</v>
      </c>
      <c r="B1389">
        <f t="shared" si="339"/>
        <v>220</v>
      </c>
      <c r="C1389">
        <v>1000</v>
      </c>
      <c r="D1389">
        <v>0.96640000000000004</v>
      </c>
      <c r="E1389">
        <v>3.7100000000000001E-2</v>
      </c>
      <c r="F1389">
        <f t="shared" si="330"/>
        <v>3.3599999999999963E-2</v>
      </c>
      <c r="H1389" s="2">
        <f t="shared" si="331"/>
        <v>377.59</v>
      </c>
      <c r="I1389" s="2">
        <f t="shared" si="332"/>
        <v>68.95</v>
      </c>
      <c r="J1389">
        <f t="shared" si="338"/>
        <v>0</v>
      </c>
      <c r="K1389" s="2">
        <f t="shared" si="333"/>
        <v>3.3599999999999963E-2</v>
      </c>
      <c r="M1389" s="2">
        <f t="shared" si="334"/>
        <v>3.7100000000000001E-2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 hidden="1">
      <c r="A1390" t="str">
        <f t="shared" si="336"/>
        <v>Selleck 1952</v>
      </c>
      <c r="B1390">
        <f t="shared" si="339"/>
        <v>220</v>
      </c>
      <c r="C1390">
        <v>1250</v>
      </c>
      <c r="D1390">
        <v>0.96650000000000003</v>
      </c>
      <c r="E1390">
        <v>4.6300000000000001E-2</v>
      </c>
      <c r="F1390">
        <f t="shared" si="330"/>
        <v>3.3499999999999974E-2</v>
      </c>
      <c r="H1390" s="2">
        <f t="shared" si="331"/>
        <v>377.59</v>
      </c>
      <c r="I1390" s="2">
        <f t="shared" si="332"/>
        <v>86.18</v>
      </c>
      <c r="J1390">
        <f t="shared" si="338"/>
        <v>0</v>
      </c>
      <c r="K1390" s="2">
        <f t="shared" si="333"/>
        <v>3.3499999999999974E-2</v>
      </c>
      <c r="M1390" s="2">
        <f t="shared" si="334"/>
        <v>4.6300000000000001E-2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hidden="1">
      <c r="A1391" t="str">
        <f t="shared" si="336"/>
        <v>Selleck 1952</v>
      </c>
      <c r="B1391">
        <f t="shared" si="339"/>
        <v>220</v>
      </c>
      <c r="C1391">
        <v>1500</v>
      </c>
      <c r="D1391">
        <v>0.96509999999999996</v>
      </c>
      <c r="E1391">
        <v>5.7700000000000001E-2</v>
      </c>
      <c r="F1391">
        <f t="shared" si="330"/>
        <v>3.4900000000000042E-2</v>
      </c>
      <c r="H1391" s="2">
        <f t="shared" si="331"/>
        <v>377.59</v>
      </c>
      <c r="I1391" s="2">
        <f t="shared" si="332"/>
        <v>103.42</v>
      </c>
      <c r="J1391">
        <f t="shared" si="338"/>
        <v>0</v>
      </c>
      <c r="K1391" s="2">
        <f t="shared" si="333"/>
        <v>3.4900000000000042E-2</v>
      </c>
      <c r="M1391" s="2">
        <f t="shared" si="334"/>
        <v>5.7700000000000001E-2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hidden="1">
      <c r="A1392" t="str">
        <f t="shared" si="336"/>
        <v>Selleck 1952</v>
      </c>
      <c r="B1392">
        <f t="shared" si="339"/>
        <v>220</v>
      </c>
      <c r="C1392">
        <v>1750</v>
      </c>
      <c r="D1392">
        <v>0.96299999999999997</v>
      </c>
      <c r="E1392">
        <v>6.9000000000000006E-2</v>
      </c>
      <c r="F1392">
        <f t="shared" si="330"/>
        <v>3.7000000000000033E-2</v>
      </c>
      <c r="H1392" s="2">
        <f t="shared" si="331"/>
        <v>377.59</v>
      </c>
      <c r="I1392" s="2">
        <f t="shared" si="332"/>
        <v>120.66</v>
      </c>
      <c r="J1392">
        <f t="shared" si="338"/>
        <v>0</v>
      </c>
      <c r="K1392" s="2">
        <f t="shared" si="333"/>
        <v>3.7000000000000033E-2</v>
      </c>
      <c r="M1392" s="2">
        <f t="shared" si="334"/>
        <v>6.9000000000000006E-2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hidden="1">
      <c r="A1393" t="str">
        <f t="shared" si="336"/>
        <v>Selleck 1952</v>
      </c>
      <c r="B1393">
        <f t="shared" si="339"/>
        <v>220</v>
      </c>
      <c r="C1393">
        <v>2000</v>
      </c>
      <c r="D1393">
        <v>0.96020000000000005</v>
      </c>
      <c r="E1393">
        <v>8.2299999999999998E-2</v>
      </c>
      <c r="F1393">
        <f t="shared" si="330"/>
        <v>3.9799999999999947E-2</v>
      </c>
      <c r="H1393" s="2">
        <f t="shared" si="331"/>
        <v>377.59</v>
      </c>
      <c r="I1393" s="2">
        <f t="shared" si="332"/>
        <v>137.88999999999999</v>
      </c>
      <c r="J1393">
        <f t="shared" si="338"/>
        <v>0</v>
      </c>
      <c r="K1393" s="2">
        <f t="shared" si="333"/>
        <v>3.9799999999999947E-2</v>
      </c>
      <c r="M1393" s="2">
        <f t="shared" si="334"/>
        <v>8.2299999999999998E-2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 hidden="1">
      <c r="A1394" t="str">
        <f t="shared" si="336"/>
        <v>Selleck 1952</v>
      </c>
      <c r="B1394">
        <f t="shared" si="339"/>
        <v>220</v>
      </c>
      <c r="C1394">
        <v>2250</v>
      </c>
      <c r="D1394">
        <v>0.95679999999999998</v>
      </c>
      <c r="E1394">
        <v>9.7299999999999998E-2</v>
      </c>
      <c r="F1394">
        <f t="shared" si="330"/>
        <v>4.3200000000000016E-2</v>
      </c>
      <c r="H1394" s="2">
        <f t="shared" si="331"/>
        <v>377.59</v>
      </c>
      <c r="I1394" s="2">
        <f t="shared" si="332"/>
        <v>155.13</v>
      </c>
      <c r="J1394">
        <f t="shared" si="338"/>
        <v>0</v>
      </c>
      <c r="K1394" s="2">
        <f t="shared" si="333"/>
        <v>4.3200000000000016E-2</v>
      </c>
      <c r="M1394" s="2">
        <f t="shared" si="334"/>
        <v>9.7299999999999998E-2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hidden="1">
      <c r="A1395" t="str">
        <f t="shared" si="336"/>
        <v>Selleck 1952</v>
      </c>
      <c r="B1395">
        <f t="shared" si="339"/>
        <v>220</v>
      </c>
      <c r="C1395">
        <v>2500</v>
      </c>
      <c r="D1395">
        <v>0.95309999999999995</v>
      </c>
      <c r="E1395">
        <v>0.1145</v>
      </c>
      <c r="F1395">
        <f t="shared" si="330"/>
        <v>4.6900000000000053E-2</v>
      </c>
      <c r="H1395" s="2">
        <f t="shared" si="331"/>
        <v>377.59</v>
      </c>
      <c r="I1395" s="2">
        <f t="shared" si="332"/>
        <v>172.37</v>
      </c>
      <c r="J1395">
        <f t="shared" si="338"/>
        <v>0</v>
      </c>
      <c r="K1395" s="2">
        <f t="shared" si="333"/>
        <v>4.6900000000000053E-2</v>
      </c>
      <c r="M1395" s="2">
        <f t="shared" si="334"/>
        <v>0.1145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 hidden="1">
      <c r="A1396" t="str">
        <f t="shared" si="336"/>
        <v>Selleck 1952</v>
      </c>
      <c r="B1396">
        <f t="shared" si="339"/>
        <v>220</v>
      </c>
      <c r="C1396">
        <v>2750</v>
      </c>
      <c r="D1396">
        <v>0.94910000000000005</v>
      </c>
      <c r="E1396">
        <v>0.1346</v>
      </c>
      <c r="F1396">
        <f t="shared" si="330"/>
        <v>5.0899999999999945E-2</v>
      </c>
      <c r="H1396" s="2">
        <f t="shared" si="331"/>
        <v>377.59</v>
      </c>
      <c r="I1396" s="2">
        <f t="shared" si="332"/>
        <v>189.6</v>
      </c>
      <c r="J1396">
        <f t="shared" si="338"/>
        <v>0</v>
      </c>
      <c r="K1396" s="2">
        <f t="shared" si="333"/>
        <v>5.0899999999999945E-2</v>
      </c>
      <c r="M1396" s="2">
        <f t="shared" si="334"/>
        <v>0.1346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hidden="1">
      <c r="A1397" t="str">
        <f t="shared" si="336"/>
        <v>Selleck 1952</v>
      </c>
      <c r="B1397">
        <f t="shared" si="339"/>
        <v>220</v>
      </c>
      <c r="C1397">
        <v>3000</v>
      </c>
      <c r="D1397">
        <v>0.94510000000000005</v>
      </c>
      <c r="E1397">
        <v>0.15859999999999999</v>
      </c>
      <c r="F1397">
        <f t="shared" si="330"/>
        <v>5.4899999999999949E-2</v>
      </c>
      <c r="H1397" s="2">
        <f t="shared" si="331"/>
        <v>377.59</v>
      </c>
      <c r="I1397" s="2">
        <f t="shared" si="332"/>
        <v>206.84</v>
      </c>
      <c r="J1397">
        <f t="shared" si="338"/>
        <v>0</v>
      </c>
      <c r="K1397" s="2">
        <f t="shared" si="333"/>
        <v>5.4899999999999949E-2</v>
      </c>
      <c r="M1397" s="2">
        <f t="shared" si="334"/>
        <v>0.15859999999999999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 hidden="1">
      <c r="A1398" t="str">
        <f t="shared" si="336"/>
        <v>Selleck 1952</v>
      </c>
      <c r="B1398">
        <f t="shared" si="339"/>
        <v>220</v>
      </c>
      <c r="C1398">
        <v>3500</v>
      </c>
      <c r="D1398">
        <v>0.93710000000000004</v>
      </c>
      <c r="F1398">
        <f t="shared" si="330"/>
        <v>6.2899999999999956E-2</v>
      </c>
      <c r="H1398" s="2">
        <f t="shared" si="331"/>
        <v>377.59</v>
      </c>
      <c r="I1398" s="2">
        <f t="shared" si="332"/>
        <v>241.31</v>
      </c>
      <c r="J1398">
        <f t="shared" si="338"/>
        <v>0</v>
      </c>
      <c r="K1398" s="2">
        <f t="shared" si="333"/>
        <v>6.2899999999999956E-2</v>
      </c>
      <c r="M1398" s="2"/>
      <c r="S1398">
        <v>0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 hidden="1">
      <c r="A1399" t="str">
        <f t="shared" si="336"/>
        <v>Selleck 1952</v>
      </c>
      <c r="B1399">
        <f t="shared" si="339"/>
        <v>220</v>
      </c>
      <c r="C1399">
        <v>4000</v>
      </c>
      <c r="D1399">
        <v>0.92879999999999996</v>
      </c>
      <c r="F1399">
        <f t="shared" si="330"/>
        <v>7.1200000000000041E-2</v>
      </c>
      <c r="H1399" s="2">
        <f t="shared" si="331"/>
        <v>377.59</v>
      </c>
      <c r="I1399" s="2">
        <f t="shared" si="332"/>
        <v>275.79000000000002</v>
      </c>
      <c r="J1399">
        <f t="shared" si="338"/>
        <v>0</v>
      </c>
      <c r="K1399" s="2">
        <f t="shared" si="333"/>
        <v>7.1200000000000041E-2</v>
      </c>
      <c r="M1399" s="2"/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5" hidden="1">
      <c r="A1400" t="str">
        <f t="shared" si="336"/>
        <v>Selleck 1952</v>
      </c>
      <c r="B1400">
        <f t="shared" si="339"/>
        <v>220</v>
      </c>
      <c r="C1400">
        <v>4500</v>
      </c>
      <c r="D1400">
        <v>0.92030000000000001</v>
      </c>
      <c r="F1400">
        <f t="shared" si="330"/>
        <v>7.9699999999999993E-2</v>
      </c>
      <c r="H1400" s="2">
        <f t="shared" si="331"/>
        <v>377.59</v>
      </c>
      <c r="I1400" s="2">
        <f t="shared" si="332"/>
        <v>310.26</v>
      </c>
      <c r="J1400">
        <f t="shared" si="338"/>
        <v>0</v>
      </c>
      <c r="K1400" s="2">
        <f t="shared" si="333"/>
        <v>7.9699999999999993E-2</v>
      </c>
      <c r="M1400" s="2"/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 hidden="1">
      <c r="A1401" t="str">
        <f t="shared" si="336"/>
        <v>Selleck 1952</v>
      </c>
      <c r="B1401">
        <f t="shared" si="339"/>
        <v>220</v>
      </c>
      <c r="C1401">
        <v>5000</v>
      </c>
      <c r="D1401">
        <v>0.91149999999999998</v>
      </c>
      <c r="F1401">
        <f t="shared" ref="F1401:F1435" si="340">1-D1401</f>
        <v>8.8500000000000023E-2</v>
      </c>
      <c r="H1401" s="2">
        <f t="shared" ref="H1401:H1435" si="341">ROUND((B1401- 32) * 5/9 + 273.15,2)</f>
        <v>377.59</v>
      </c>
      <c r="I1401" s="2">
        <f t="shared" ref="I1401:I1435" si="342">ROUND(C1401/14.504,2)</f>
        <v>344.73</v>
      </c>
      <c r="J1401">
        <f t="shared" si="338"/>
        <v>0</v>
      </c>
      <c r="K1401" s="2">
        <f t="shared" ref="K1401:K1435" si="343">F1401</f>
        <v>8.8500000000000023E-2</v>
      </c>
      <c r="M1401" s="2"/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 hidden="1">
      <c r="A1402" t="str">
        <f t="shared" si="336"/>
        <v>Selleck 1952</v>
      </c>
      <c r="B1402">
        <v>280</v>
      </c>
      <c r="C1402">
        <v>200</v>
      </c>
      <c r="D1402">
        <v>0.73750000000000004</v>
      </c>
      <c r="E1402">
        <v>5.7000000000000002E-3</v>
      </c>
      <c r="F1402">
        <f t="shared" si="340"/>
        <v>0.26249999999999996</v>
      </c>
      <c r="H1402" s="2">
        <f t="shared" si="341"/>
        <v>410.93</v>
      </c>
      <c r="I1402" s="2">
        <f t="shared" si="342"/>
        <v>13.79</v>
      </c>
      <c r="J1402">
        <f t="shared" si="338"/>
        <v>0</v>
      </c>
      <c r="K1402" s="2">
        <f t="shared" si="343"/>
        <v>0.26249999999999996</v>
      </c>
      <c r="M1402" s="2">
        <f t="shared" ref="M1402:M1414" si="344">E1402</f>
        <v>5.7000000000000002E-3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 hidden="1">
      <c r="A1403" t="str">
        <f t="shared" si="336"/>
        <v>Selleck 1952</v>
      </c>
      <c r="B1403">
        <f t="shared" ref="B1403:B1418" si="345">B1402</f>
        <v>280</v>
      </c>
      <c r="C1403">
        <v>400</v>
      </c>
      <c r="D1403">
        <v>0.8589</v>
      </c>
      <c r="E1403">
        <v>1.2699999999999999E-2</v>
      </c>
      <c r="F1403">
        <f t="shared" si="340"/>
        <v>0.1411</v>
      </c>
      <c r="H1403" s="2">
        <f t="shared" si="341"/>
        <v>410.93</v>
      </c>
      <c r="I1403" s="2">
        <f t="shared" si="342"/>
        <v>27.58</v>
      </c>
      <c r="J1403">
        <f t="shared" si="338"/>
        <v>0</v>
      </c>
      <c r="K1403" s="2">
        <f t="shared" si="343"/>
        <v>0.1411</v>
      </c>
      <c r="M1403" s="2">
        <f t="shared" si="344"/>
        <v>1.2699999999999999E-2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 hidden="1">
      <c r="A1404" t="str">
        <f t="shared" si="336"/>
        <v>Selleck 1952</v>
      </c>
      <c r="B1404">
        <f t="shared" si="345"/>
        <v>280</v>
      </c>
      <c r="C1404">
        <v>600</v>
      </c>
      <c r="D1404">
        <v>0.89839999999999998</v>
      </c>
      <c r="E1404">
        <v>1.9099999999999999E-2</v>
      </c>
      <c r="F1404">
        <f t="shared" si="340"/>
        <v>0.10160000000000002</v>
      </c>
      <c r="H1404" s="2">
        <f t="shared" si="341"/>
        <v>410.93</v>
      </c>
      <c r="I1404" s="2">
        <f t="shared" si="342"/>
        <v>41.37</v>
      </c>
      <c r="J1404">
        <f t="shared" si="338"/>
        <v>0</v>
      </c>
      <c r="K1404" s="2">
        <f t="shared" si="343"/>
        <v>0.10160000000000002</v>
      </c>
      <c r="M1404" s="2">
        <f t="shared" si="344"/>
        <v>1.9099999999999999E-2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 hidden="1">
      <c r="A1405" t="str">
        <f t="shared" si="336"/>
        <v>Selleck 1952</v>
      </c>
      <c r="B1405">
        <f t="shared" si="345"/>
        <v>280</v>
      </c>
      <c r="C1405">
        <v>800</v>
      </c>
      <c r="D1405">
        <v>0.91549999999999998</v>
      </c>
      <c r="E1405">
        <v>2.5000000000000001E-2</v>
      </c>
      <c r="F1405">
        <f t="shared" si="340"/>
        <v>8.450000000000002E-2</v>
      </c>
      <c r="H1405" s="2">
        <f t="shared" si="341"/>
        <v>410.93</v>
      </c>
      <c r="I1405" s="2">
        <f t="shared" si="342"/>
        <v>55.16</v>
      </c>
      <c r="J1405">
        <f t="shared" si="338"/>
        <v>0</v>
      </c>
      <c r="K1405" s="2">
        <f t="shared" si="343"/>
        <v>8.450000000000002E-2</v>
      </c>
      <c r="M1405" s="2">
        <f t="shared" si="344"/>
        <v>2.5000000000000001E-2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1:25" hidden="1">
      <c r="A1406" t="str">
        <f t="shared" si="336"/>
        <v>Selleck 1952</v>
      </c>
      <c r="B1406">
        <f t="shared" si="345"/>
        <v>280</v>
      </c>
      <c r="C1406">
        <v>1000</v>
      </c>
      <c r="D1406">
        <v>0.92479999999999996</v>
      </c>
      <c r="E1406">
        <v>3.0800000000000001E-2</v>
      </c>
      <c r="F1406">
        <f t="shared" si="340"/>
        <v>7.5200000000000045E-2</v>
      </c>
      <c r="H1406" s="2">
        <f t="shared" si="341"/>
        <v>410.93</v>
      </c>
      <c r="I1406" s="2">
        <f t="shared" si="342"/>
        <v>68.95</v>
      </c>
      <c r="J1406">
        <f t="shared" si="338"/>
        <v>0</v>
      </c>
      <c r="K1406" s="2">
        <f t="shared" si="343"/>
        <v>7.5200000000000045E-2</v>
      </c>
      <c r="M1406" s="2">
        <f t="shared" si="344"/>
        <v>3.0800000000000001E-2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 hidden="1">
      <c r="A1407" t="str">
        <f t="shared" ref="A1407:A1435" si="346">A1406</f>
        <v>Selleck 1952</v>
      </c>
      <c r="B1407">
        <f t="shared" si="345"/>
        <v>280</v>
      </c>
      <c r="C1407">
        <v>1250</v>
      </c>
      <c r="D1407">
        <v>0.93069999999999997</v>
      </c>
      <c r="E1407">
        <v>3.8199999999999998E-2</v>
      </c>
      <c r="F1407">
        <f t="shared" si="340"/>
        <v>6.9300000000000028E-2</v>
      </c>
      <c r="H1407" s="2">
        <f t="shared" si="341"/>
        <v>410.93</v>
      </c>
      <c r="I1407" s="2">
        <f t="shared" si="342"/>
        <v>86.18</v>
      </c>
      <c r="J1407">
        <f t="shared" si="338"/>
        <v>0</v>
      </c>
      <c r="K1407" s="2">
        <f t="shared" si="343"/>
        <v>6.9300000000000028E-2</v>
      </c>
      <c r="M1407" s="2">
        <f t="shared" si="344"/>
        <v>3.8199999999999998E-2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 hidden="1">
      <c r="A1408" t="str">
        <f t="shared" si="346"/>
        <v>Selleck 1952</v>
      </c>
      <c r="B1408">
        <f t="shared" si="345"/>
        <v>280</v>
      </c>
      <c r="C1408">
        <v>1500</v>
      </c>
      <c r="D1408">
        <v>0.93300000000000005</v>
      </c>
      <c r="E1408">
        <v>4.6300000000000001E-2</v>
      </c>
      <c r="F1408">
        <f t="shared" si="340"/>
        <v>6.6999999999999948E-2</v>
      </c>
      <c r="H1408" s="2">
        <f t="shared" si="341"/>
        <v>410.93</v>
      </c>
      <c r="I1408" s="2">
        <f t="shared" si="342"/>
        <v>103.42</v>
      </c>
      <c r="J1408">
        <f t="shared" si="338"/>
        <v>0</v>
      </c>
      <c r="K1408" s="2">
        <f t="shared" si="343"/>
        <v>6.6999999999999948E-2</v>
      </c>
      <c r="M1408" s="2">
        <f t="shared" si="344"/>
        <v>4.6300000000000001E-2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 hidden="1">
      <c r="A1409" t="str">
        <f t="shared" si="346"/>
        <v>Selleck 1952</v>
      </c>
      <c r="B1409">
        <f t="shared" si="345"/>
        <v>280</v>
      </c>
      <c r="C1409">
        <v>1750</v>
      </c>
      <c r="D1409">
        <v>0.93269999999999997</v>
      </c>
      <c r="E1409">
        <v>5.5E-2</v>
      </c>
      <c r="F1409">
        <f t="shared" si="340"/>
        <v>6.7300000000000026E-2</v>
      </c>
      <c r="H1409" s="2">
        <f t="shared" si="341"/>
        <v>410.93</v>
      </c>
      <c r="I1409" s="2">
        <f t="shared" si="342"/>
        <v>120.66</v>
      </c>
      <c r="J1409">
        <f t="shared" si="338"/>
        <v>0</v>
      </c>
      <c r="K1409" s="2">
        <f t="shared" si="343"/>
        <v>6.7300000000000026E-2</v>
      </c>
      <c r="M1409" s="2">
        <f t="shared" si="344"/>
        <v>5.5E-2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 hidden="1">
      <c r="A1410" t="str">
        <f t="shared" si="346"/>
        <v>Selleck 1952</v>
      </c>
      <c r="B1410">
        <f t="shared" si="345"/>
        <v>280</v>
      </c>
      <c r="C1410">
        <v>2000</v>
      </c>
      <c r="D1410">
        <v>0.93030000000000002</v>
      </c>
      <c r="E1410">
        <v>6.4699999999999994E-2</v>
      </c>
      <c r="F1410">
        <f t="shared" si="340"/>
        <v>6.9699999999999984E-2</v>
      </c>
      <c r="H1410" s="2">
        <f t="shared" si="341"/>
        <v>410.93</v>
      </c>
      <c r="I1410" s="2">
        <f t="shared" si="342"/>
        <v>137.88999999999999</v>
      </c>
      <c r="J1410">
        <f t="shared" ref="J1410:J1435" si="347">J1409</f>
        <v>0</v>
      </c>
      <c r="K1410" s="2">
        <f t="shared" si="343"/>
        <v>6.9699999999999984E-2</v>
      </c>
      <c r="M1410" s="2">
        <f t="shared" si="344"/>
        <v>6.4699999999999994E-2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 hidden="1">
      <c r="A1411" t="str">
        <f t="shared" si="346"/>
        <v>Selleck 1952</v>
      </c>
      <c r="B1411">
        <f t="shared" si="345"/>
        <v>280</v>
      </c>
      <c r="C1411">
        <v>2250</v>
      </c>
      <c r="D1411">
        <v>0.92630000000000001</v>
      </c>
      <c r="E1411">
        <v>7.4999999999999997E-2</v>
      </c>
      <c r="F1411">
        <f t="shared" si="340"/>
        <v>7.3699999999999988E-2</v>
      </c>
      <c r="H1411" s="2">
        <f t="shared" si="341"/>
        <v>410.93</v>
      </c>
      <c r="I1411" s="2">
        <f t="shared" si="342"/>
        <v>155.13</v>
      </c>
      <c r="J1411">
        <f t="shared" si="347"/>
        <v>0</v>
      </c>
      <c r="K1411" s="2">
        <f t="shared" si="343"/>
        <v>7.3699999999999988E-2</v>
      </c>
      <c r="M1411" s="2">
        <f t="shared" si="344"/>
        <v>7.4999999999999997E-2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 hidden="1">
      <c r="A1412" t="str">
        <f t="shared" si="346"/>
        <v>Selleck 1952</v>
      </c>
      <c r="B1412">
        <f t="shared" si="345"/>
        <v>280</v>
      </c>
      <c r="C1412">
        <v>2500</v>
      </c>
      <c r="D1412">
        <v>0.92130000000000001</v>
      </c>
      <c r="E1412">
        <v>8.5999999999999993E-2</v>
      </c>
      <c r="F1412">
        <f t="shared" si="340"/>
        <v>7.8699999999999992E-2</v>
      </c>
      <c r="H1412" s="2">
        <f t="shared" si="341"/>
        <v>410.93</v>
      </c>
      <c r="I1412" s="2">
        <f t="shared" si="342"/>
        <v>172.37</v>
      </c>
      <c r="J1412">
        <f t="shared" si="347"/>
        <v>0</v>
      </c>
      <c r="K1412" s="2">
        <f t="shared" si="343"/>
        <v>7.8699999999999992E-2</v>
      </c>
      <c r="M1412" s="2">
        <f t="shared" si="344"/>
        <v>8.5999999999999993E-2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 hidden="1">
      <c r="A1413" t="str">
        <f t="shared" si="346"/>
        <v>Selleck 1952</v>
      </c>
      <c r="B1413">
        <f t="shared" si="345"/>
        <v>280</v>
      </c>
      <c r="C1413">
        <v>2750</v>
      </c>
      <c r="D1413">
        <v>0.91590000000000005</v>
      </c>
      <c r="E1413">
        <v>9.7799999999999998E-2</v>
      </c>
      <c r="F1413">
        <f t="shared" si="340"/>
        <v>8.4099999999999953E-2</v>
      </c>
      <c r="H1413" s="2">
        <f t="shared" si="341"/>
        <v>410.93</v>
      </c>
      <c r="I1413" s="2">
        <f t="shared" si="342"/>
        <v>189.6</v>
      </c>
      <c r="J1413">
        <f t="shared" si="347"/>
        <v>0</v>
      </c>
      <c r="K1413" s="2">
        <f t="shared" si="343"/>
        <v>8.4099999999999953E-2</v>
      </c>
      <c r="M1413" s="2">
        <f t="shared" si="344"/>
        <v>9.7799999999999998E-2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 hidden="1">
      <c r="A1414" t="str">
        <f t="shared" si="346"/>
        <v>Selleck 1952</v>
      </c>
      <c r="B1414">
        <f t="shared" si="345"/>
        <v>280</v>
      </c>
      <c r="C1414">
        <v>3000</v>
      </c>
      <c r="D1414">
        <v>0.91039999999999999</v>
      </c>
      <c r="E1414">
        <v>0.1106</v>
      </c>
      <c r="F1414">
        <f t="shared" si="340"/>
        <v>8.9600000000000013E-2</v>
      </c>
      <c r="H1414" s="2">
        <f t="shared" si="341"/>
        <v>410.93</v>
      </c>
      <c r="I1414" s="2">
        <f t="shared" si="342"/>
        <v>206.84</v>
      </c>
      <c r="J1414">
        <f t="shared" si="347"/>
        <v>0</v>
      </c>
      <c r="K1414" s="2">
        <f t="shared" si="343"/>
        <v>8.9600000000000013E-2</v>
      </c>
      <c r="M1414" s="2">
        <f t="shared" si="344"/>
        <v>0.1106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hidden="1">
      <c r="A1415" t="str">
        <f t="shared" si="346"/>
        <v>Selleck 1952</v>
      </c>
      <c r="B1415">
        <f t="shared" si="345"/>
        <v>280</v>
      </c>
      <c r="C1415">
        <v>3500</v>
      </c>
      <c r="D1415">
        <v>0.89859999999999995</v>
      </c>
      <c r="F1415">
        <f t="shared" si="340"/>
        <v>0.10140000000000005</v>
      </c>
      <c r="H1415" s="2">
        <f t="shared" si="341"/>
        <v>410.93</v>
      </c>
      <c r="I1415" s="2">
        <f t="shared" si="342"/>
        <v>241.31</v>
      </c>
      <c r="J1415">
        <f t="shared" si="347"/>
        <v>0</v>
      </c>
      <c r="K1415" s="2">
        <f t="shared" si="343"/>
        <v>0.10140000000000005</v>
      </c>
      <c r="M1415" s="2"/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5" hidden="1">
      <c r="A1416" t="str">
        <f t="shared" si="346"/>
        <v>Selleck 1952</v>
      </c>
      <c r="B1416">
        <f t="shared" si="345"/>
        <v>280</v>
      </c>
      <c r="C1416">
        <v>4000</v>
      </c>
      <c r="D1416">
        <v>0.88700000000000001</v>
      </c>
      <c r="F1416">
        <f t="shared" si="340"/>
        <v>0.11299999999999999</v>
      </c>
      <c r="H1416" s="2">
        <f t="shared" si="341"/>
        <v>410.93</v>
      </c>
      <c r="I1416" s="2">
        <f t="shared" si="342"/>
        <v>275.79000000000002</v>
      </c>
      <c r="J1416">
        <f t="shared" si="347"/>
        <v>0</v>
      </c>
      <c r="K1416" s="2">
        <f t="shared" si="343"/>
        <v>0.11299999999999999</v>
      </c>
      <c r="M1416" s="2"/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 hidden="1">
      <c r="A1417" t="str">
        <f t="shared" si="346"/>
        <v>Selleck 1952</v>
      </c>
      <c r="B1417">
        <f t="shared" si="345"/>
        <v>280</v>
      </c>
      <c r="C1417">
        <v>4500</v>
      </c>
      <c r="D1417">
        <v>0.875</v>
      </c>
      <c r="F1417">
        <f t="shared" si="340"/>
        <v>0.125</v>
      </c>
      <c r="H1417" s="2">
        <f t="shared" si="341"/>
        <v>410.93</v>
      </c>
      <c r="I1417" s="2">
        <f t="shared" si="342"/>
        <v>310.26</v>
      </c>
      <c r="J1417">
        <f t="shared" si="347"/>
        <v>0</v>
      </c>
      <c r="K1417" s="2">
        <f t="shared" si="343"/>
        <v>0.125</v>
      </c>
      <c r="M1417" s="2"/>
      <c r="S1417">
        <v>0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 hidden="1">
      <c r="A1418" t="str">
        <f t="shared" si="346"/>
        <v>Selleck 1952</v>
      </c>
      <c r="B1418">
        <f t="shared" si="345"/>
        <v>280</v>
      </c>
      <c r="C1418">
        <v>5000</v>
      </c>
      <c r="D1418">
        <v>0.86299999999999999</v>
      </c>
      <c r="F1418">
        <f t="shared" si="340"/>
        <v>0.13700000000000001</v>
      </c>
      <c r="H1418" s="2">
        <f t="shared" si="341"/>
        <v>410.93</v>
      </c>
      <c r="I1418" s="2">
        <f t="shared" si="342"/>
        <v>344.73</v>
      </c>
      <c r="J1418">
        <f t="shared" si="347"/>
        <v>0</v>
      </c>
      <c r="K1418" s="2">
        <f t="shared" si="343"/>
        <v>0.13700000000000001</v>
      </c>
      <c r="M1418" s="2"/>
      <c r="S1418">
        <v>0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 hidden="1">
      <c r="A1419" t="str">
        <f t="shared" si="346"/>
        <v>Selleck 1952</v>
      </c>
      <c r="B1419">
        <v>340</v>
      </c>
      <c r="C1419">
        <v>200</v>
      </c>
      <c r="D1419">
        <v>0.39810000000000001</v>
      </c>
      <c r="E1419">
        <v>2.8999999999999998E-3</v>
      </c>
      <c r="F1419">
        <f t="shared" si="340"/>
        <v>0.60189999999999999</v>
      </c>
      <c r="H1419" s="2">
        <f t="shared" si="341"/>
        <v>444.26</v>
      </c>
      <c r="I1419" s="2">
        <f t="shared" si="342"/>
        <v>13.79</v>
      </c>
      <c r="J1419">
        <f t="shared" si="347"/>
        <v>0</v>
      </c>
      <c r="K1419" s="2">
        <f t="shared" si="343"/>
        <v>0.60189999999999999</v>
      </c>
      <c r="M1419" s="2">
        <f t="shared" ref="M1419:M1431" si="348">E1419</f>
        <v>2.8999999999999998E-3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 hidden="1">
      <c r="A1420" t="str">
        <f t="shared" si="346"/>
        <v>Selleck 1952</v>
      </c>
      <c r="B1420">
        <f t="shared" ref="B1420:B1435" si="349">B1419</f>
        <v>340</v>
      </c>
      <c r="C1420">
        <v>400</v>
      </c>
      <c r="D1420">
        <v>0.68279999999999996</v>
      </c>
      <c r="E1420">
        <v>9.4000000000000004E-3</v>
      </c>
      <c r="F1420">
        <f t="shared" si="340"/>
        <v>0.31720000000000004</v>
      </c>
      <c r="H1420" s="2">
        <f t="shared" si="341"/>
        <v>444.26</v>
      </c>
      <c r="I1420" s="2">
        <f t="shared" si="342"/>
        <v>27.58</v>
      </c>
      <c r="J1420">
        <f t="shared" si="347"/>
        <v>0</v>
      </c>
      <c r="K1420" s="2">
        <f t="shared" si="343"/>
        <v>0.31720000000000004</v>
      </c>
      <c r="M1420" s="2">
        <f t="shared" si="348"/>
        <v>9.4000000000000004E-3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1:25" hidden="1">
      <c r="A1421" t="str">
        <f t="shared" si="346"/>
        <v>Selleck 1952</v>
      </c>
      <c r="B1421">
        <f t="shared" si="349"/>
        <v>340</v>
      </c>
      <c r="C1421">
        <v>600</v>
      </c>
      <c r="D1421">
        <v>0.7772</v>
      </c>
      <c r="E1421">
        <v>1.55E-2</v>
      </c>
      <c r="F1421">
        <f t="shared" si="340"/>
        <v>0.2228</v>
      </c>
      <c r="H1421" s="2">
        <f t="shared" si="341"/>
        <v>444.26</v>
      </c>
      <c r="I1421" s="2">
        <f t="shared" si="342"/>
        <v>41.37</v>
      </c>
      <c r="J1421">
        <f t="shared" si="347"/>
        <v>0</v>
      </c>
      <c r="K1421" s="2">
        <f t="shared" si="343"/>
        <v>0.2228</v>
      </c>
      <c r="M1421" s="2">
        <f t="shared" si="348"/>
        <v>1.55E-2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 hidden="1">
      <c r="A1422" t="str">
        <f t="shared" si="346"/>
        <v>Selleck 1952</v>
      </c>
      <c r="B1422">
        <f t="shared" si="349"/>
        <v>340</v>
      </c>
      <c r="C1422">
        <v>800</v>
      </c>
      <c r="D1422">
        <v>0.82240000000000002</v>
      </c>
      <c r="E1422">
        <v>2.1399999999999999E-2</v>
      </c>
      <c r="F1422">
        <f t="shared" si="340"/>
        <v>0.17759999999999998</v>
      </c>
      <c r="H1422" s="2">
        <f t="shared" si="341"/>
        <v>444.26</v>
      </c>
      <c r="I1422" s="2">
        <f t="shared" si="342"/>
        <v>55.16</v>
      </c>
      <c r="J1422">
        <f t="shared" si="347"/>
        <v>0</v>
      </c>
      <c r="K1422" s="2">
        <f t="shared" si="343"/>
        <v>0.17759999999999998</v>
      </c>
      <c r="M1422" s="2">
        <f t="shared" si="348"/>
        <v>2.1399999999999999E-2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 hidden="1">
      <c r="A1423" t="str">
        <f t="shared" si="346"/>
        <v>Selleck 1952</v>
      </c>
      <c r="B1423">
        <f t="shared" si="349"/>
        <v>340</v>
      </c>
      <c r="C1423">
        <v>1000</v>
      </c>
      <c r="D1423">
        <v>0.84660000000000002</v>
      </c>
      <c r="E1423">
        <v>2.7300000000000001E-2</v>
      </c>
      <c r="F1423">
        <f t="shared" si="340"/>
        <v>0.15339999999999998</v>
      </c>
      <c r="H1423" s="2">
        <f t="shared" si="341"/>
        <v>444.26</v>
      </c>
      <c r="I1423" s="2">
        <f t="shared" si="342"/>
        <v>68.95</v>
      </c>
      <c r="J1423">
        <f t="shared" si="347"/>
        <v>0</v>
      </c>
      <c r="K1423" s="2">
        <f t="shared" si="343"/>
        <v>0.15339999999999998</v>
      </c>
      <c r="M1423" s="2">
        <f t="shared" si="348"/>
        <v>2.7300000000000001E-2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 hidden="1">
      <c r="A1424" t="str">
        <f t="shared" si="346"/>
        <v>Selleck 1952</v>
      </c>
      <c r="B1424">
        <f t="shared" si="349"/>
        <v>340</v>
      </c>
      <c r="C1424">
        <v>1250</v>
      </c>
      <c r="D1424">
        <v>0.86460000000000004</v>
      </c>
      <c r="E1424">
        <v>3.5099999999999999E-2</v>
      </c>
      <c r="F1424">
        <f t="shared" si="340"/>
        <v>0.13539999999999996</v>
      </c>
      <c r="H1424" s="2">
        <f t="shared" si="341"/>
        <v>444.26</v>
      </c>
      <c r="I1424" s="2">
        <f t="shared" si="342"/>
        <v>86.18</v>
      </c>
      <c r="J1424">
        <f t="shared" si="347"/>
        <v>0</v>
      </c>
      <c r="K1424" s="2">
        <f t="shared" si="343"/>
        <v>0.13539999999999996</v>
      </c>
      <c r="M1424" s="2">
        <f t="shared" si="348"/>
        <v>3.5099999999999999E-2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 hidden="1">
      <c r="A1425" t="str">
        <f t="shared" si="346"/>
        <v>Selleck 1952</v>
      </c>
      <c r="B1425">
        <f t="shared" si="349"/>
        <v>340</v>
      </c>
      <c r="C1425">
        <v>1500</v>
      </c>
      <c r="D1425">
        <v>0.87419999999999998</v>
      </c>
      <c r="E1425">
        <v>4.3499999999999997E-2</v>
      </c>
      <c r="F1425">
        <f t="shared" si="340"/>
        <v>0.12580000000000002</v>
      </c>
      <c r="H1425" s="2">
        <f t="shared" si="341"/>
        <v>444.26</v>
      </c>
      <c r="I1425" s="2">
        <f t="shared" si="342"/>
        <v>103.42</v>
      </c>
      <c r="J1425">
        <f t="shared" si="347"/>
        <v>0</v>
      </c>
      <c r="K1425" s="2">
        <f t="shared" si="343"/>
        <v>0.12580000000000002</v>
      </c>
      <c r="M1425" s="2">
        <f t="shared" si="348"/>
        <v>4.3499999999999997E-2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hidden="1">
      <c r="A1426" t="str">
        <f t="shared" si="346"/>
        <v>Selleck 1952</v>
      </c>
      <c r="B1426">
        <f t="shared" si="349"/>
        <v>340</v>
      </c>
      <c r="C1426">
        <v>1750</v>
      </c>
      <c r="D1426">
        <v>0.87880000000000003</v>
      </c>
      <c r="E1426">
        <v>5.1999999999999998E-2</v>
      </c>
      <c r="F1426">
        <f t="shared" si="340"/>
        <v>0.12119999999999997</v>
      </c>
      <c r="H1426" s="2">
        <f t="shared" si="341"/>
        <v>444.26</v>
      </c>
      <c r="I1426" s="2">
        <f t="shared" si="342"/>
        <v>120.66</v>
      </c>
      <c r="J1426">
        <f t="shared" si="347"/>
        <v>0</v>
      </c>
      <c r="K1426" s="2">
        <f t="shared" si="343"/>
        <v>0.12119999999999997</v>
      </c>
      <c r="M1426" s="2">
        <f t="shared" si="348"/>
        <v>5.1999999999999998E-2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1:25" hidden="1">
      <c r="A1427" t="str">
        <f t="shared" si="346"/>
        <v>Selleck 1952</v>
      </c>
      <c r="B1427">
        <f t="shared" si="349"/>
        <v>340</v>
      </c>
      <c r="C1427">
        <v>2000</v>
      </c>
      <c r="D1427">
        <v>0.87970000000000004</v>
      </c>
      <c r="E1427">
        <v>6.0999999999999999E-2</v>
      </c>
      <c r="F1427">
        <f t="shared" si="340"/>
        <v>0.12029999999999996</v>
      </c>
      <c r="H1427" s="2">
        <f t="shared" si="341"/>
        <v>444.26</v>
      </c>
      <c r="I1427" s="2">
        <f t="shared" si="342"/>
        <v>137.88999999999999</v>
      </c>
      <c r="J1427">
        <f t="shared" si="347"/>
        <v>0</v>
      </c>
      <c r="K1427" s="2">
        <f t="shared" si="343"/>
        <v>0.12029999999999996</v>
      </c>
      <c r="M1427" s="2">
        <f t="shared" si="348"/>
        <v>6.0999999999999999E-2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 hidden="1">
      <c r="A1428" t="str">
        <f t="shared" si="346"/>
        <v>Selleck 1952</v>
      </c>
      <c r="B1428">
        <f t="shared" si="349"/>
        <v>340</v>
      </c>
      <c r="C1428">
        <v>2250</v>
      </c>
      <c r="D1428">
        <v>0.87790000000000001</v>
      </c>
      <c r="E1428">
        <v>7.0499999999999993E-2</v>
      </c>
      <c r="F1428">
        <f t="shared" si="340"/>
        <v>0.12209999999999999</v>
      </c>
      <c r="H1428" s="2">
        <f t="shared" si="341"/>
        <v>444.26</v>
      </c>
      <c r="I1428" s="2">
        <f t="shared" si="342"/>
        <v>155.13</v>
      </c>
      <c r="J1428">
        <f t="shared" si="347"/>
        <v>0</v>
      </c>
      <c r="K1428" s="2">
        <f t="shared" si="343"/>
        <v>0.12209999999999999</v>
      </c>
      <c r="M1428" s="2">
        <f t="shared" si="348"/>
        <v>7.0499999999999993E-2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 hidden="1">
      <c r="A1429" t="str">
        <f t="shared" si="346"/>
        <v>Selleck 1952</v>
      </c>
      <c r="B1429">
        <f t="shared" si="349"/>
        <v>340</v>
      </c>
      <c r="C1429">
        <v>2500</v>
      </c>
      <c r="D1429">
        <v>0.874</v>
      </c>
      <c r="E1429">
        <v>8.0500000000000002E-2</v>
      </c>
      <c r="F1429">
        <f t="shared" si="340"/>
        <v>0.126</v>
      </c>
      <c r="H1429" s="2">
        <f t="shared" si="341"/>
        <v>444.26</v>
      </c>
      <c r="I1429" s="2">
        <f t="shared" si="342"/>
        <v>172.37</v>
      </c>
      <c r="J1429">
        <f t="shared" si="347"/>
        <v>0</v>
      </c>
      <c r="K1429" s="2">
        <f t="shared" si="343"/>
        <v>0.126</v>
      </c>
      <c r="M1429" s="2">
        <f t="shared" si="348"/>
        <v>8.0500000000000002E-2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 hidden="1">
      <c r="A1430" t="str">
        <f t="shared" si="346"/>
        <v>Selleck 1952</v>
      </c>
      <c r="B1430">
        <f t="shared" si="349"/>
        <v>340</v>
      </c>
      <c r="C1430">
        <v>2750</v>
      </c>
      <c r="D1430">
        <v>0.86809999999999998</v>
      </c>
      <c r="E1430">
        <v>9.0999999999999998E-2</v>
      </c>
      <c r="F1430">
        <f t="shared" si="340"/>
        <v>0.13190000000000002</v>
      </c>
      <c r="H1430" s="2">
        <f t="shared" si="341"/>
        <v>444.26</v>
      </c>
      <c r="I1430" s="2">
        <f t="shared" si="342"/>
        <v>189.6</v>
      </c>
      <c r="J1430">
        <f t="shared" si="347"/>
        <v>0</v>
      </c>
      <c r="K1430" s="2">
        <f t="shared" si="343"/>
        <v>0.13190000000000002</v>
      </c>
      <c r="M1430" s="2">
        <f t="shared" si="348"/>
        <v>9.0999999999999998E-2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 hidden="1">
      <c r="A1431" t="str">
        <f t="shared" si="346"/>
        <v>Selleck 1952</v>
      </c>
      <c r="B1431">
        <f t="shared" si="349"/>
        <v>340</v>
      </c>
      <c r="C1431">
        <v>4000</v>
      </c>
      <c r="D1431">
        <v>0.86060000000000003</v>
      </c>
      <c r="E1431">
        <v>0.1024</v>
      </c>
      <c r="F1431">
        <f t="shared" si="340"/>
        <v>0.13939999999999997</v>
      </c>
      <c r="H1431" s="2">
        <f t="shared" si="341"/>
        <v>444.26</v>
      </c>
      <c r="I1431" s="2">
        <f t="shared" si="342"/>
        <v>275.79000000000002</v>
      </c>
      <c r="J1431">
        <f t="shared" si="347"/>
        <v>0</v>
      </c>
      <c r="K1431" s="2">
        <f t="shared" si="343"/>
        <v>0.13939999999999997</v>
      </c>
      <c r="M1431" s="2">
        <f t="shared" si="348"/>
        <v>0.1024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5" hidden="1">
      <c r="A1432" t="str">
        <f t="shared" si="346"/>
        <v>Selleck 1952</v>
      </c>
      <c r="B1432">
        <f t="shared" si="349"/>
        <v>340</v>
      </c>
      <c r="C1432">
        <v>3500</v>
      </c>
      <c r="D1432">
        <v>0.84360000000000002</v>
      </c>
      <c r="F1432">
        <f t="shared" si="340"/>
        <v>0.15639999999999998</v>
      </c>
      <c r="H1432" s="2">
        <f t="shared" si="341"/>
        <v>444.26</v>
      </c>
      <c r="I1432" s="2">
        <f t="shared" si="342"/>
        <v>241.31</v>
      </c>
      <c r="J1432">
        <f t="shared" si="347"/>
        <v>0</v>
      </c>
      <c r="K1432" s="2">
        <f t="shared" si="343"/>
        <v>0.15639999999999998</v>
      </c>
      <c r="M1432" s="2"/>
      <c r="S1432">
        <v>0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1:25" hidden="1">
      <c r="A1433" t="str">
        <f t="shared" si="346"/>
        <v>Selleck 1952</v>
      </c>
      <c r="B1433">
        <f t="shared" si="349"/>
        <v>340</v>
      </c>
      <c r="C1433">
        <v>4000</v>
      </c>
      <c r="D1433">
        <v>0.82479999999999998</v>
      </c>
      <c r="F1433">
        <f t="shared" si="340"/>
        <v>0.17520000000000002</v>
      </c>
      <c r="H1433" s="2">
        <f t="shared" si="341"/>
        <v>444.26</v>
      </c>
      <c r="I1433" s="2">
        <f t="shared" si="342"/>
        <v>275.79000000000002</v>
      </c>
      <c r="J1433">
        <f t="shared" si="347"/>
        <v>0</v>
      </c>
      <c r="K1433" s="2">
        <f t="shared" si="343"/>
        <v>0.17520000000000002</v>
      </c>
      <c r="M1433" s="2"/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 hidden="1">
      <c r="A1434" t="str">
        <f t="shared" si="346"/>
        <v>Selleck 1952</v>
      </c>
      <c r="B1434">
        <f t="shared" si="349"/>
        <v>340</v>
      </c>
      <c r="C1434">
        <v>4500</v>
      </c>
      <c r="D1434">
        <v>0.80610000000000004</v>
      </c>
      <c r="F1434">
        <f t="shared" si="340"/>
        <v>0.19389999999999996</v>
      </c>
      <c r="H1434" s="2">
        <f t="shared" si="341"/>
        <v>444.26</v>
      </c>
      <c r="I1434" s="2">
        <f t="shared" si="342"/>
        <v>310.26</v>
      </c>
      <c r="J1434">
        <f t="shared" si="347"/>
        <v>0</v>
      </c>
      <c r="K1434" s="2">
        <f t="shared" si="343"/>
        <v>0.19389999999999996</v>
      </c>
      <c r="M1434" s="2"/>
      <c r="S1434">
        <v>0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 hidden="1">
      <c r="A1435" t="str">
        <f t="shared" si="346"/>
        <v>Selleck 1952</v>
      </c>
      <c r="B1435">
        <f t="shared" si="349"/>
        <v>340</v>
      </c>
      <c r="C1435">
        <v>5000</v>
      </c>
      <c r="D1435">
        <v>0.78639999999999999</v>
      </c>
      <c r="F1435">
        <f t="shared" si="340"/>
        <v>0.21360000000000001</v>
      </c>
      <c r="H1435" s="2">
        <f t="shared" si="341"/>
        <v>444.26</v>
      </c>
      <c r="I1435" s="2">
        <f t="shared" si="342"/>
        <v>344.73</v>
      </c>
      <c r="J1435">
        <f t="shared" si="347"/>
        <v>0</v>
      </c>
      <c r="K1435" s="2">
        <f t="shared" si="343"/>
        <v>0.21360000000000001</v>
      </c>
      <c r="M1435" s="2"/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hidden="1">
      <c r="A1436" t="s">
        <v>20</v>
      </c>
      <c r="E1436">
        <v>8.2000000000000007E-3</v>
      </c>
      <c r="F1436">
        <v>0.98939999999999995</v>
      </c>
      <c r="H1436">
        <v>310.93</v>
      </c>
      <c r="I1436">
        <v>6.89</v>
      </c>
      <c r="J1436">
        <v>0</v>
      </c>
      <c r="K1436">
        <f t="shared" ref="K1436:K1467" si="350">1-F1436</f>
        <v>1.0600000000000054E-2</v>
      </c>
      <c r="M1436">
        <v>3.7469999999999999E-3</v>
      </c>
      <c r="S1436">
        <f t="shared" ref="S1436:S1467" si="351">S1435</f>
        <v>0</v>
      </c>
      <c r="T1436">
        <v>1</v>
      </c>
      <c r="U1436">
        <f t="shared" ref="U1436:U1467" si="352">U1435</f>
        <v>0</v>
      </c>
      <c r="V1436">
        <f t="shared" ref="V1436:V1467" si="353">V1435</f>
        <v>0</v>
      </c>
      <c r="W1436">
        <v>0</v>
      </c>
      <c r="X1436">
        <f t="shared" ref="X1436:X1467" si="354">X1435</f>
        <v>0</v>
      </c>
      <c r="Y1436">
        <f t="shared" ref="Y1436:Y1467" si="355">Y1435</f>
        <v>0</v>
      </c>
    </row>
    <row r="1437" spans="1:25" hidden="1">
      <c r="A1437" t="str">
        <f t="shared" ref="A1437:A1468" si="356">A1436</f>
        <v>Selleck 1952</v>
      </c>
      <c r="E1437">
        <v>1.23E-2</v>
      </c>
      <c r="F1437">
        <v>0.99250000000000005</v>
      </c>
      <c r="H1437">
        <f>H1436</f>
        <v>310.93</v>
      </c>
      <c r="I1437">
        <v>10.34</v>
      </c>
      <c r="J1437">
        <v>0</v>
      </c>
      <c r="K1437">
        <f t="shared" si="350"/>
        <v>7.4999999999999512E-3</v>
      </c>
      <c r="M1437">
        <v>2.7290000000000001E-3</v>
      </c>
      <c r="S1437">
        <f t="shared" si="351"/>
        <v>0</v>
      </c>
      <c r="T1437">
        <f t="shared" ref="T1437:T1468" si="357">T1436</f>
        <v>1</v>
      </c>
      <c r="U1437">
        <f t="shared" si="352"/>
        <v>0</v>
      </c>
      <c r="V1437">
        <f t="shared" si="353"/>
        <v>0</v>
      </c>
      <c r="W1437">
        <f t="shared" ref="W1437:W1468" si="358">W1436</f>
        <v>0</v>
      </c>
      <c r="X1437">
        <f t="shared" si="354"/>
        <v>0</v>
      </c>
      <c r="Y1437">
        <f t="shared" si="355"/>
        <v>0</v>
      </c>
    </row>
    <row r="1438" spans="1:25" hidden="1">
      <c r="A1438" t="str">
        <f t="shared" si="356"/>
        <v>Selleck 1952</v>
      </c>
      <c r="E1438">
        <v>1.6500000000000001E-2</v>
      </c>
      <c r="F1438">
        <v>0.99399999999999999</v>
      </c>
      <c r="H1438">
        <f>H1437</f>
        <v>310.93</v>
      </c>
      <c r="I1438">
        <v>13.79</v>
      </c>
      <c r="J1438">
        <v>0</v>
      </c>
      <c r="K1438">
        <f t="shared" si="350"/>
        <v>6.0000000000000053E-3</v>
      </c>
      <c r="M1438">
        <v>2.078E-3</v>
      </c>
      <c r="S1438">
        <f t="shared" si="351"/>
        <v>0</v>
      </c>
      <c r="T1438">
        <f t="shared" si="357"/>
        <v>1</v>
      </c>
      <c r="U1438">
        <f t="shared" si="352"/>
        <v>0</v>
      </c>
      <c r="V1438">
        <f t="shared" si="353"/>
        <v>0</v>
      </c>
      <c r="W1438">
        <f t="shared" si="358"/>
        <v>0</v>
      </c>
      <c r="X1438">
        <f t="shared" si="354"/>
        <v>0</v>
      </c>
      <c r="Y1438">
        <f t="shared" si="355"/>
        <v>0</v>
      </c>
    </row>
    <row r="1439" spans="1:25" hidden="1">
      <c r="A1439" t="str">
        <f t="shared" si="356"/>
        <v>Selleck 1952</v>
      </c>
      <c r="E1439">
        <v>2.07E-2</v>
      </c>
      <c r="F1439">
        <v>0.99490000000000001</v>
      </c>
      <c r="H1439">
        <f>H1438</f>
        <v>310.93</v>
      </c>
      <c r="I1439">
        <v>17.239999999999998</v>
      </c>
      <c r="J1439">
        <v>0</v>
      </c>
      <c r="K1439">
        <f t="shared" si="350"/>
        <v>5.0999999999999934E-3</v>
      </c>
      <c r="M1439">
        <v>1.6429999999999999E-3</v>
      </c>
      <c r="S1439">
        <f t="shared" si="351"/>
        <v>0</v>
      </c>
      <c r="T1439">
        <f t="shared" si="357"/>
        <v>1</v>
      </c>
      <c r="U1439">
        <f t="shared" si="352"/>
        <v>0</v>
      </c>
      <c r="V1439">
        <f t="shared" si="353"/>
        <v>0</v>
      </c>
      <c r="W1439">
        <f t="shared" si="358"/>
        <v>0</v>
      </c>
      <c r="X1439">
        <f t="shared" si="354"/>
        <v>0</v>
      </c>
      <c r="Y1439">
        <f t="shared" si="355"/>
        <v>0</v>
      </c>
    </row>
    <row r="1440" spans="1:25" hidden="1">
      <c r="A1440" t="str">
        <f t="shared" si="356"/>
        <v>Selleck 1952</v>
      </c>
      <c r="E1440">
        <v>2.5000000000000001E-2</v>
      </c>
      <c r="F1440">
        <v>0.99539999999999995</v>
      </c>
      <c r="H1440">
        <f>H1439</f>
        <v>310.93</v>
      </c>
      <c r="I1440">
        <v>20.68</v>
      </c>
      <c r="J1440">
        <v>0</v>
      </c>
      <c r="K1440">
        <f t="shared" si="350"/>
        <v>4.6000000000000485E-3</v>
      </c>
      <c r="M1440">
        <v>1.3450000000000001E-3</v>
      </c>
      <c r="S1440">
        <f t="shared" si="351"/>
        <v>0</v>
      </c>
      <c r="T1440">
        <f t="shared" si="357"/>
        <v>1</v>
      </c>
      <c r="U1440">
        <f t="shared" si="352"/>
        <v>0</v>
      </c>
      <c r="V1440">
        <f t="shared" si="353"/>
        <v>0</v>
      </c>
      <c r="W1440">
        <f t="shared" si="358"/>
        <v>0</v>
      </c>
      <c r="X1440">
        <f t="shared" si="354"/>
        <v>0</v>
      </c>
      <c r="Y1440">
        <f t="shared" si="355"/>
        <v>0</v>
      </c>
    </row>
    <row r="1441" spans="1:25" hidden="1">
      <c r="A1441" t="str">
        <f t="shared" si="356"/>
        <v>Selleck 1952</v>
      </c>
      <c r="E1441">
        <v>3.3300000000000003E-2</v>
      </c>
      <c r="F1441">
        <v>0.996</v>
      </c>
      <c r="H1441">
        <f>H1440</f>
        <v>310.93</v>
      </c>
      <c r="I1441">
        <v>26.9</v>
      </c>
      <c r="J1441">
        <v>0</v>
      </c>
      <c r="K1441">
        <f t="shared" si="350"/>
        <v>4.0000000000000036E-3</v>
      </c>
      <c r="M1441">
        <v>1.132E-3</v>
      </c>
      <c r="S1441">
        <f t="shared" si="351"/>
        <v>0</v>
      </c>
      <c r="T1441">
        <f t="shared" si="357"/>
        <v>1</v>
      </c>
      <c r="U1441">
        <f t="shared" si="352"/>
        <v>0</v>
      </c>
      <c r="V1441">
        <f t="shared" si="353"/>
        <v>0</v>
      </c>
      <c r="W1441">
        <f t="shared" si="358"/>
        <v>0</v>
      </c>
      <c r="X1441">
        <f t="shared" si="354"/>
        <v>0</v>
      </c>
      <c r="Y1441">
        <f t="shared" si="355"/>
        <v>0</v>
      </c>
    </row>
    <row r="1442" spans="1:25" hidden="1">
      <c r="A1442" t="str">
        <f t="shared" si="356"/>
        <v>Selleck 1952</v>
      </c>
      <c r="E1442">
        <v>5.0000000000000001E-3</v>
      </c>
      <c r="F1442">
        <v>0.94930000000000003</v>
      </c>
      <c r="H1442">
        <v>344.26</v>
      </c>
      <c r="I1442">
        <v>6.89</v>
      </c>
      <c r="J1442">
        <v>0</v>
      </c>
      <c r="K1442">
        <f t="shared" si="350"/>
        <v>5.0699999999999967E-2</v>
      </c>
      <c r="M1442">
        <v>9.7199999999999999E-4</v>
      </c>
      <c r="S1442">
        <f t="shared" si="351"/>
        <v>0</v>
      </c>
      <c r="T1442">
        <f t="shared" si="357"/>
        <v>1</v>
      </c>
      <c r="U1442">
        <f t="shared" si="352"/>
        <v>0</v>
      </c>
      <c r="V1442">
        <f t="shared" si="353"/>
        <v>0</v>
      </c>
      <c r="W1442">
        <f t="shared" si="358"/>
        <v>0</v>
      </c>
      <c r="X1442">
        <f t="shared" si="354"/>
        <v>0</v>
      </c>
      <c r="Y1442">
        <f t="shared" si="355"/>
        <v>0</v>
      </c>
    </row>
    <row r="1443" spans="1:25" hidden="1">
      <c r="A1443" t="str">
        <f t="shared" si="356"/>
        <v>Selleck 1952</v>
      </c>
      <c r="E1443">
        <v>7.6E-3</v>
      </c>
      <c r="F1443">
        <v>0.96430000000000005</v>
      </c>
      <c r="H1443">
        <f t="shared" ref="H1443:H1451" si="359">H1442</f>
        <v>344.26</v>
      </c>
      <c r="I1443">
        <v>10.34</v>
      </c>
      <c r="J1443">
        <v>0</v>
      </c>
      <c r="K1443">
        <f t="shared" si="350"/>
        <v>3.5699999999999954E-2</v>
      </c>
      <c r="M1443">
        <f t="shared" ref="M1443:M1490" si="360">E1443</f>
        <v>7.6E-3</v>
      </c>
      <c r="S1443">
        <f t="shared" si="351"/>
        <v>0</v>
      </c>
      <c r="T1443">
        <f t="shared" si="357"/>
        <v>1</v>
      </c>
      <c r="U1443">
        <f t="shared" si="352"/>
        <v>0</v>
      </c>
      <c r="V1443">
        <f t="shared" si="353"/>
        <v>0</v>
      </c>
      <c r="W1443">
        <f t="shared" si="358"/>
        <v>0</v>
      </c>
      <c r="X1443">
        <f t="shared" si="354"/>
        <v>0</v>
      </c>
      <c r="Y1443">
        <f t="shared" si="355"/>
        <v>0</v>
      </c>
    </row>
    <row r="1444" spans="1:25" hidden="1">
      <c r="A1444" t="str">
        <f t="shared" si="356"/>
        <v>Selleck 1952</v>
      </c>
      <c r="E1444">
        <v>1.0200000000000001E-2</v>
      </c>
      <c r="F1444">
        <v>0.97260000000000002</v>
      </c>
      <c r="H1444">
        <f t="shared" si="359"/>
        <v>344.26</v>
      </c>
      <c r="I1444">
        <v>13.79</v>
      </c>
      <c r="J1444">
        <v>0</v>
      </c>
      <c r="K1444">
        <f t="shared" si="350"/>
        <v>2.739999999999998E-2</v>
      </c>
      <c r="M1444">
        <f t="shared" si="360"/>
        <v>1.0200000000000001E-2</v>
      </c>
      <c r="S1444">
        <f t="shared" si="351"/>
        <v>0</v>
      </c>
      <c r="T1444">
        <f t="shared" si="357"/>
        <v>1</v>
      </c>
      <c r="U1444">
        <f t="shared" si="352"/>
        <v>0</v>
      </c>
      <c r="V1444">
        <f t="shared" si="353"/>
        <v>0</v>
      </c>
      <c r="W1444">
        <f t="shared" si="358"/>
        <v>0</v>
      </c>
      <c r="X1444">
        <f t="shared" si="354"/>
        <v>0</v>
      </c>
      <c r="Y1444">
        <f t="shared" si="355"/>
        <v>0</v>
      </c>
    </row>
    <row r="1445" spans="1:25" hidden="1">
      <c r="A1445" t="str">
        <f t="shared" si="356"/>
        <v>Selleck 1952</v>
      </c>
      <c r="E1445">
        <v>1.2800000000000001E-2</v>
      </c>
      <c r="F1445">
        <v>0.97709999999999997</v>
      </c>
      <c r="H1445">
        <f t="shared" si="359"/>
        <v>344.26</v>
      </c>
      <c r="I1445">
        <v>17.239999999999998</v>
      </c>
      <c r="J1445">
        <v>0</v>
      </c>
      <c r="K1445">
        <f t="shared" si="350"/>
        <v>2.2900000000000031E-2</v>
      </c>
      <c r="M1445">
        <f t="shared" si="360"/>
        <v>1.2800000000000001E-2</v>
      </c>
      <c r="S1445">
        <f t="shared" si="351"/>
        <v>0</v>
      </c>
      <c r="T1445">
        <f t="shared" si="357"/>
        <v>1</v>
      </c>
      <c r="U1445">
        <f t="shared" si="352"/>
        <v>0</v>
      </c>
      <c r="V1445">
        <f t="shared" si="353"/>
        <v>0</v>
      </c>
      <c r="W1445">
        <f t="shared" si="358"/>
        <v>0</v>
      </c>
      <c r="X1445">
        <f t="shared" si="354"/>
        <v>0</v>
      </c>
      <c r="Y1445">
        <f t="shared" si="355"/>
        <v>0</v>
      </c>
    </row>
    <row r="1446" spans="1:25" hidden="1">
      <c r="A1446" t="str">
        <f t="shared" si="356"/>
        <v>Selleck 1952</v>
      </c>
      <c r="E1446">
        <v>1.54E-2</v>
      </c>
      <c r="F1446">
        <v>0.98009999999999997</v>
      </c>
      <c r="H1446">
        <f t="shared" si="359"/>
        <v>344.26</v>
      </c>
      <c r="I1446">
        <v>20.68</v>
      </c>
      <c r="J1446">
        <v>0</v>
      </c>
      <c r="K1446">
        <f t="shared" si="350"/>
        <v>1.9900000000000029E-2</v>
      </c>
      <c r="M1446">
        <f t="shared" si="360"/>
        <v>1.54E-2</v>
      </c>
      <c r="S1446">
        <f t="shared" si="351"/>
        <v>0</v>
      </c>
      <c r="T1446">
        <f t="shared" si="357"/>
        <v>1</v>
      </c>
      <c r="U1446">
        <f t="shared" si="352"/>
        <v>0</v>
      </c>
      <c r="V1446">
        <f t="shared" si="353"/>
        <v>0</v>
      </c>
      <c r="W1446">
        <f t="shared" si="358"/>
        <v>0</v>
      </c>
      <c r="X1446">
        <f t="shared" si="354"/>
        <v>0</v>
      </c>
      <c r="Y1446">
        <f t="shared" si="355"/>
        <v>0</v>
      </c>
    </row>
    <row r="1447" spans="1:25" hidden="1">
      <c r="A1447" t="str">
        <f t="shared" si="356"/>
        <v>Selleck 1952</v>
      </c>
      <c r="E1447">
        <v>2.06E-2</v>
      </c>
      <c r="F1447">
        <v>0.98370000000000002</v>
      </c>
      <c r="H1447">
        <f t="shared" si="359"/>
        <v>344.26</v>
      </c>
      <c r="I1447">
        <v>27.58</v>
      </c>
      <c r="J1447">
        <v>0</v>
      </c>
      <c r="K1447">
        <f t="shared" si="350"/>
        <v>1.6299999999999981E-2</v>
      </c>
      <c r="M1447">
        <f t="shared" si="360"/>
        <v>2.06E-2</v>
      </c>
      <c r="S1447">
        <f t="shared" si="351"/>
        <v>0</v>
      </c>
      <c r="T1447">
        <f t="shared" si="357"/>
        <v>1</v>
      </c>
      <c r="U1447">
        <f t="shared" si="352"/>
        <v>0</v>
      </c>
      <c r="V1447">
        <f t="shared" si="353"/>
        <v>0</v>
      </c>
      <c r="W1447">
        <f t="shared" si="358"/>
        <v>0</v>
      </c>
      <c r="X1447">
        <f t="shared" si="354"/>
        <v>0</v>
      </c>
      <c r="Y1447">
        <f t="shared" si="355"/>
        <v>0</v>
      </c>
    </row>
    <row r="1448" spans="1:25" hidden="1">
      <c r="A1448" t="str">
        <f t="shared" si="356"/>
        <v>Selleck 1952</v>
      </c>
      <c r="E1448">
        <v>2.58E-2</v>
      </c>
      <c r="F1448">
        <v>0.98560000000000003</v>
      </c>
      <c r="H1448">
        <f t="shared" si="359"/>
        <v>344.26</v>
      </c>
      <c r="I1448">
        <v>34.47</v>
      </c>
      <c r="J1448">
        <v>0</v>
      </c>
      <c r="K1448">
        <f t="shared" si="350"/>
        <v>1.4399999999999968E-2</v>
      </c>
      <c r="M1448">
        <f t="shared" si="360"/>
        <v>2.58E-2</v>
      </c>
      <c r="S1448">
        <f t="shared" si="351"/>
        <v>0</v>
      </c>
      <c r="T1448">
        <f t="shared" si="357"/>
        <v>1</v>
      </c>
      <c r="U1448">
        <f t="shared" si="352"/>
        <v>0</v>
      </c>
      <c r="V1448">
        <f t="shared" si="353"/>
        <v>0</v>
      </c>
      <c r="W1448">
        <f t="shared" si="358"/>
        <v>0</v>
      </c>
      <c r="X1448">
        <f t="shared" si="354"/>
        <v>0</v>
      </c>
      <c r="Y1448">
        <f t="shared" si="355"/>
        <v>0</v>
      </c>
    </row>
    <row r="1449" spans="1:25" hidden="1">
      <c r="A1449" t="str">
        <f t="shared" si="356"/>
        <v>Selleck 1952</v>
      </c>
      <c r="E1449">
        <v>3.1E-2</v>
      </c>
      <c r="F1449">
        <v>0.98680000000000001</v>
      </c>
      <c r="H1449">
        <f t="shared" si="359"/>
        <v>344.26</v>
      </c>
      <c r="I1449">
        <v>41.37</v>
      </c>
      <c r="J1449">
        <v>0</v>
      </c>
      <c r="K1449">
        <f t="shared" si="350"/>
        <v>1.319999999999999E-2</v>
      </c>
      <c r="M1449">
        <f t="shared" si="360"/>
        <v>3.1E-2</v>
      </c>
      <c r="S1449">
        <f t="shared" si="351"/>
        <v>0</v>
      </c>
      <c r="T1449">
        <f t="shared" si="357"/>
        <v>1</v>
      </c>
      <c r="U1449">
        <f t="shared" si="352"/>
        <v>0</v>
      </c>
      <c r="V1449">
        <f t="shared" si="353"/>
        <v>0</v>
      </c>
      <c r="W1449">
        <f t="shared" si="358"/>
        <v>0</v>
      </c>
      <c r="X1449">
        <f t="shared" si="354"/>
        <v>0</v>
      </c>
      <c r="Y1449">
        <f t="shared" si="355"/>
        <v>0</v>
      </c>
    </row>
    <row r="1450" spans="1:25" hidden="1">
      <c r="A1450" t="str">
        <f t="shared" si="356"/>
        <v>Selleck 1952</v>
      </c>
      <c r="E1450">
        <v>3.6400000000000002E-2</v>
      </c>
      <c r="F1450">
        <v>0.98680000000000001</v>
      </c>
      <c r="H1450">
        <f t="shared" si="359"/>
        <v>344.26</v>
      </c>
      <c r="I1450">
        <v>48.26</v>
      </c>
      <c r="J1450">
        <v>0</v>
      </c>
      <c r="K1450">
        <f t="shared" si="350"/>
        <v>1.319999999999999E-2</v>
      </c>
      <c r="M1450">
        <f t="shared" si="360"/>
        <v>3.6400000000000002E-2</v>
      </c>
      <c r="S1450">
        <f t="shared" si="351"/>
        <v>0</v>
      </c>
      <c r="T1450">
        <f t="shared" si="357"/>
        <v>1</v>
      </c>
      <c r="U1450">
        <f t="shared" si="352"/>
        <v>0</v>
      </c>
      <c r="V1450">
        <f t="shared" si="353"/>
        <v>0</v>
      </c>
      <c r="W1450">
        <f t="shared" si="358"/>
        <v>0</v>
      </c>
      <c r="X1450">
        <f t="shared" si="354"/>
        <v>0</v>
      </c>
      <c r="Y1450">
        <f t="shared" si="355"/>
        <v>0</v>
      </c>
    </row>
    <row r="1451" spans="1:25" hidden="1">
      <c r="A1451" t="str">
        <f t="shared" si="356"/>
        <v>Selleck 1952</v>
      </c>
      <c r="E1451">
        <v>3.95E-2</v>
      </c>
      <c r="F1451">
        <v>0.9869</v>
      </c>
      <c r="H1451">
        <f t="shared" si="359"/>
        <v>344.26</v>
      </c>
      <c r="I1451">
        <v>52.36</v>
      </c>
      <c r="J1451">
        <v>0</v>
      </c>
      <c r="K1451">
        <f t="shared" si="350"/>
        <v>1.3100000000000001E-2</v>
      </c>
      <c r="M1451">
        <f t="shared" si="360"/>
        <v>3.95E-2</v>
      </c>
      <c r="S1451">
        <f t="shared" si="351"/>
        <v>0</v>
      </c>
      <c r="T1451">
        <f t="shared" si="357"/>
        <v>1</v>
      </c>
      <c r="U1451">
        <f t="shared" si="352"/>
        <v>0</v>
      </c>
      <c r="V1451">
        <f t="shared" si="353"/>
        <v>0</v>
      </c>
      <c r="W1451">
        <f t="shared" si="358"/>
        <v>0</v>
      </c>
      <c r="X1451">
        <f t="shared" si="354"/>
        <v>0</v>
      </c>
      <c r="Y1451">
        <f t="shared" si="355"/>
        <v>0</v>
      </c>
    </row>
    <row r="1452" spans="1:25" hidden="1">
      <c r="A1452" t="str">
        <f t="shared" si="356"/>
        <v>Selleck 1952</v>
      </c>
      <c r="E1452">
        <v>7.7000000000000002E-3</v>
      </c>
      <c r="F1452">
        <v>0.90459999999999996</v>
      </c>
      <c r="H1452">
        <v>377.59</v>
      </c>
      <c r="I1452">
        <v>13.79</v>
      </c>
      <c r="J1452">
        <v>0</v>
      </c>
      <c r="K1452">
        <f t="shared" si="350"/>
        <v>9.540000000000004E-2</v>
      </c>
      <c r="M1452">
        <f t="shared" si="360"/>
        <v>7.7000000000000002E-3</v>
      </c>
      <c r="S1452">
        <f t="shared" si="351"/>
        <v>0</v>
      </c>
      <c r="T1452">
        <f t="shared" si="357"/>
        <v>1</v>
      </c>
      <c r="U1452">
        <f t="shared" si="352"/>
        <v>0</v>
      </c>
      <c r="V1452">
        <f t="shared" si="353"/>
        <v>0</v>
      </c>
      <c r="W1452">
        <f t="shared" si="358"/>
        <v>0</v>
      </c>
      <c r="X1452">
        <f t="shared" si="354"/>
        <v>0</v>
      </c>
      <c r="Y1452">
        <f t="shared" si="355"/>
        <v>0</v>
      </c>
    </row>
    <row r="1453" spans="1:25" hidden="1">
      <c r="A1453" t="str">
        <f t="shared" si="356"/>
        <v>Selleck 1952</v>
      </c>
      <c r="E1453">
        <v>1.5599999999999999E-2</v>
      </c>
      <c r="F1453">
        <v>0.94769999999999999</v>
      </c>
      <c r="H1453">
        <f t="shared" ref="H1453:H1464" si="361">H1452</f>
        <v>377.59</v>
      </c>
      <c r="I1453">
        <v>27.58</v>
      </c>
      <c r="J1453">
        <v>0</v>
      </c>
      <c r="K1453">
        <f t="shared" si="350"/>
        <v>5.2300000000000013E-2</v>
      </c>
      <c r="M1453">
        <f t="shared" si="360"/>
        <v>1.5599999999999999E-2</v>
      </c>
      <c r="S1453">
        <f t="shared" si="351"/>
        <v>0</v>
      </c>
      <c r="T1453">
        <f t="shared" si="357"/>
        <v>1</v>
      </c>
      <c r="U1453">
        <f t="shared" si="352"/>
        <v>0</v>
      </c>
      <c r="V1453">
        <f t="shared" si="353"/>
        <v>0</v>
      </c>
      <c r="W1453">
        <f t="shared" si="358"/>
        <v>0</v>
      </c>
      <c r="X1453">
        <f t="shared" si="354"/>
        <v>0</v>
      </c>
      <c r="Y1453">
        <f t="shared" si="355"/>
        <v>0</v>
      </c>
    </row>
    <row r="1454" spans="1:25" hidden="1">
      <c r="A1454" t="str">
        <f t="shared" si="356"/>
        <v>Selleck 1952</v>
      </c>
      <c r="E1454">
        <v>2.3E-2</v>
      </c>
      <c r="F1454">
        <v>0.9597</v>
      </c>
      <c r="H1454">
        <f t="shared" si="361"/>
        <v>377.59</v>
      </c>
      <c r="I1454">
        <v>41.37</v>
      </c>
      <c r="J1454">
        <v>0</v>
      </c>
      <c r="K1454">
        <f t="shared" si="350"/>
        <v>4.0300000000000002E-2</v>
      </c>
      <c r="M1454">
        <f t="shared" si="360"/>
        <v>2.3E-2</v>
      </c>
      <c r="S1454">
        <f t="shared" si="351"/>
        <v>0</v>
      </c>
      <c r="T1454">
        <f t="shared" si="357"/>
        <v>1</v>
      </c>
      <c r="U1454">
        <f t="shared" si="352"/>
        <v>0</v>
      </c>
      <c r="V1454">
        <f t="shared" si="353"/>
        <v>0</v>
      </c>
      <c r="W1454">
        <f t="shared" si="358"/>
        <v>0</v>
      </c>
      <c r="X1454">
        <f t="shared" si="354"/>
        <v>0</v>
      </c>
      <c r="Y1454">
        <f t="shared" si="355"/>
        <v>0</v>
      </c>
    </row>
    <row r="1455" spans="1:25" hidden="1">
      <c r="A1455" t="str">
        <f t="shared" si="356"/>
        <v>Selleck 1952</v>
      </c>
      <c r="E1455">
        <v>3.0099999999999998E-2</v>
      </c>
      <c r="F1455">
        <v>0.9647</v>
      </c>
      <c r="H1455">
        <f t="shared" si="361"/>
        <v>377.59</v>
      </c>
      <c r="I1455">
        <v>55.16</v>
      </c>
      <c r="J1455">
        <v>0</v>
      </c>
      <c r="K1455">
        <f t="shared" si="350"/>
        <v>3.5299999999999998E-2</v>
      </c>
      <c r="M1455">
        <f t="shared" si="360"/>
        <v>3.0099999999999998E-2</v>
      </c>
      <c r="S1455">
        <f t="shared" si="351"/>
        <v>0</v>
      </c>
      <c r="T1455">
        <f t="shared" si="357"/>
        <v>1</v>
      </c>
      <c r="U1455">
        <f t="shared" si="352"/>
        <v>0</v>
      </c>
      <c r="V1455">
        <f t="shared" si="353"/>
        <v>0</v>
      </c>
      <c r="W1455">
        <f t="shared" si="358"/>
        <v>0</v>
      </c>
      <c r="X1455">
        <f t="shared" si="354"/>
        <v>0</v>
      </c>
      <c r="Y1455">
        <f t="shared" si="355"/>
        <v>0</v>
      </c>
    </row>
    <row r="1456" spans="1:25" hidden="1">
      <c r="A1456" t="str">
        <f t="shared" si="356"/>
        <v>Selleck 1952</v>
      </c>
      <c r="E1456">
        <v>3.7100000000000001E-2</v>
      </c>
      <c r="F1456">
        <v>0.96640000000000004</v>
      </c>
      <c r="H1456">
        <f t="shared" si="361"/>
        <v>377.59</v>
      </c>
      <c r="I1456">
        <v>68.95</v>
      </c>
      <c r="J1456">
        <v>0</v>
      </c>
      <c r="K1456">
        <f t="shared" si="350"/>
        <v>3.3599999999999963E-2</v>
      </c>
      <c r="M1456">
        <f t="shared" si="360"/>
        <v>3.7100000000000001E-2</v>
      </c>
      <c r="S1456">
        <f t="shared" si="351"/>
        <v>0</v>
      </c>
      <c r="T1456">
        <f t="shared" si="357"/>
        <v>1</v>
      </c>
      <c r="U1456">
        <f t="shared" si="352"/>
        <v>0</v>
      </c>
      <c r="V1456">
        <f t="shared" si="353"/>
        <v>0</v>
      </c>
      <c r="W1456">
        <f t="shared" si="358"/>
        <v>0</v>
      </c>
      <c r="X1456">
        <f t="shared" si="354"/>
        <v>0</v>
      </c>
      <c r="Y1456">
        <f t="shared" si="355"/>
        <v>0</v>
      </c>
    </row>
    <row r="1457" spans="1:25" hidden="1">
      <c r="A1457" t="str">
        <f t="shared" si="356"/>
        <v>Selleck 1952</v>
      </c>
      <c r="E1457">
        <v>4.6300000000000001E-2</v>
      </c>
      <c r="F1457">
        <v>0.96650000000000003</v>
      </c>
      <c r="H1457">
        <f t="shared" si="361"/>
        <v>377.59</v>
      </c>
      <c r="I1457">
        <v>86.18</v>
      </c>
      <c r="J1457">
        <v>0</v>
      </c>
      <c r="K1457">
        <f t="shared" si="350"/>
        <v>3.3499999999999974E-2</v>
      </c>
      <c r="M1457">
        <f t="shared" si="360"/>
        <v>4.6300000000000001E-2</v>
      </c>
      <c r="S1457">
        <f t="shared" si="351"/>
        <v>0</v>
      </c>
      <c r="T1457">
        <f t="shared" si="357"/>
        <v>1</v>
      </c>
      <c r="U1457">
        <f t="shared" si="352"/>
        <v>0</v>
      </c>
      <c r="V1457">
        <f t="shared" si="353"/>
        <v>0</v>
      </c>
      <c r="W1457">
        <f t="shared" si="358"/>
        <v>0</v>
      </c>
      <c r="X1457">
        <f t="shared" si="354"/>
        <v>0</v>
      </c>
      <c r="Y1457">
        <f t="shared" si="355"/>
        <v>0</v>
      </c>
    </row>
    <row r="1458" spans="1:25" hidden="1">
      <c r="A1458" t="str">
        <f t="shared" si="356"/>
        <v>Selleck 1952</v>
      </c>
      <c r="E1458">
        <v>5.7700000000000001E-2</v>
      </c>
      <c r="F1458">
        <v>0.96509999999999996</v>
      </c>
      <c r="H1458">
        <f t="shared" si="361"/>
        <v>377.59</v>
      </c>
      <c r="I1458">
        <v>103.4</v>
      </c>
      <c r="J1458">
        <v>0</v>
      </c>
      <c r="K1458">
        <f t="shared" si="350"/>
        <v>3.4900000000000042E-2</v>
      </c>
      <c r="M1458">
        <f t="shared" si="360"/>
        <v>5.7700000000000001E-2</v>
      </c>
      <c r="S1458">
        <f t="shared" si="351"/>
        <v>0</v>
      </c>
      <c r="T1458">
        <f t="shared" si="357"/>
        <v>1</v>
      </c>
      <c r="U1458">
        <f t="shared" si="352"/>
        <v>0</v>
      </c>
      <c r="V1458">
        <f t="shared" si="353"/>
        <v>0</v>
      </c>
      <c r="W1458">
        <f t="shared" si="358"/>
        <v>0</v>
      </c>
      <c r="X1458">
        <f t="shared" si="354"/>
        <v>0</v>
      </c>
      <c r="Y1458">
        <f t="shared" si="355"/>
        <v>0</v>
      </c>
    </row>
    <row r="1459" spans="1:25" hidden="1">
      <c r="A1459" t="str">
        <f t="shared" si="356"/>
        <v>Selleck 1952</v>
      </c>
      <c r="E1459">
        <v>6.9000000000000006E-2</v>
      </c>
      <c r="F1459">
        <v>0.96299999999999997</v>
      </c>
      <c r="H1459">
        <f t="shared" si="361"/>
        <v>377.59</v>
      </c>
      <c r="I1459">
        <v>120.7</v>
      </c>
      <c r="J1459">
        <v>0</v>
      </c>
      <c r="K1459">
        <f t="shared" si="350"/>
        <v>3.7000000000000033E-2</v>
      </c>
      <c r="M1459">
        <f t="shared" si="360"/>
        <v>6.9000000000000006E-2</v>
      </c>
      <c r="S1459">
        <f t="shared" si="351"/>
        <v>0</v>
      </c>
      <c r="T1459">
        <f t="shared" si="357"/>
        <v>1</v>
      </c>
      <c r="U1459">
        <f t="shared" si="352"/>
        <v>0</v>
      </c>
      <c r="V1459">
        <f t="shared" si="353"/>
        <v>0</v>
      </c>
      <c r="W1459">
        <f t="shared" si="358"/>
        <v>0</v>
      </c>
      <c r="X1459">
        <f t="shared" si="354"/>
        <v>0</v>
      </c>
      <c r="Y1459">
        <f t="shared" si="355"/>
        <v>0</v>
      </c>
    </row>
    <row r="1460" spans="1:25" hidden="1">
      <c r="A1460" t="str">
        <f t="shared" si="356"/>
        <v>Selleck 1952</v>
      </c>
      <c r="E1460">
        <v>8.2299999999999998E-2</v>
      </c>
      <c r="F1460">
        <v>0.96020000000000005</v>
      </c>
      <c r="H1460">
        <f t="shared" si="361"/>
        <v>377.59</v>
      </c>
      <c r="I1460">
        <v>137.9</v>
      </c>
      <c r="J1460">
        <v>0</v>
      </c>
      <c r="K1460">
        <f t="shared" si="350"/>
        <v>3.9799999999999947E-2</v>
      </c>
      <c r="M1460">
        <f t="shared" si="360"/>
        <v>8.2299999999999998E-2</v>
      </c>
      <c r="S1460">
        <f t="shared" si="351"/>
        <v>0</v>
      </c>
      <c r="T1460">
        <f t="shared" si="357"/>
        <v>1</v>
      </c>
      <c r="U1460">
        <f t="shared" si="352"/>
        <v>0</v>
      </c>
      <c r="V1460">
        <f t="shared" si="353"/>
        <v>0</v>
      </c>
      <c r="W1460">
        <f t="shared" si="358"/>
        <v>0</v>
      </c>
      <c r="X1460">
        <f t="shared" si="354"/>
        <v>0</v>
      </c>
      <c r="Y1460">
        <f t="shared" si="355"/>
        <v>0</v>
      </c>
    </row>
    <row r="1461" spans="1:25" hidden="1">
      <c r="A1461" t="str">
        <f t="shared" si="356"/>
        <v>Selleck 1952</v>
      </c>
      <c r="E1461">
        <v>9.7299999999999998E-2</v>
      </c>
      <c r="F1461">
        <v>0.95679999999999998</v>
      </c>
      <c r="H1461">
        <f t="shared" si="361"/>
        <v>377.59</v>
      </c>
      <c r="I1461">
        <v>155.1</v>
      </c>
      <c r="J1461">
        <v>0</v>
      </c>
      <c r="K1461">
        <f t="shared" si="350"/>
        <v>4.3200000000000016E-2</v>
      </c>
      <c r="M1461">
        <f t="shared" si="360"/>
        <v>9.7299999999999998E-2</v>
      </c>
      <c r="S1461">
        <f t="shared" si="351"/>
        <v>0</v>
      </c>
      <c r="T1461">
        <f t="shared" si="357"/>
        <v>1</v>
      </c>
      <c r="U1461">
        <f t="shared" si="352"/>
        <v>0</v>
      </c>
      <c r="V1461">
        <f t="shared" si="353"/>
        <v>0</v>
      </c>
      <c r="W1461">
        <f t="shared" si="358"/>
        <v>0</v>
      </c>
      <c r="X1461">
        <f t="shared" si="354"/>
        <v>0</v>
      </c>
      <c r="Y1461">
        <f t="shared" si="355"/>
        <v>0</v>
      </c>
    </row>
    <row r="1462" spans="1:25" hidden="1">
      <c r="A1462" t="str">
        <f t="shared" si="356"/>
        <v>Selleck 1952</v>
      </c>
      <c r="E1462">
        <v>0.1145</v>
      </c>
      <c r="F1462">
        <v>0.95309999999999995</v>
      </c>
      <c r="H1462">
        <f t="shared" si="361"/>
        <v>377.59</v>
      </c>
      <c r="I1462">
        <v>172.4</v>
      </c>
      <c r="J1462">
        <v>0</v>
      </c>
      <c r="K1462">
        <f t="shared" si="350"/>
        <v>4.6900000000000053E-2</v>
      </c>
      <c r="M1462">
        <f t="shared" si="360"/>
        <v>0.1145</v>
      </c>
      <c r="S1462">
        <f t="shared" si="351"/>
        <v>0</v>
      </c>
      <c r="T1462">
        <f t="shared" si="357"/>
        <v>1</v>
      </c>
      <c r="U1462">
        <f t="shared" si="352"/>
        <v>0</v>
      </c>
      <c r="V1462">
        <f t="shared" si="353"/>
        <v>0</v>
      </c>
      <c r="W1462">
        <f t="shared" si="358"/>
        <v>0</v>
      </c>
      <c r="X1462">
        <f t="shared" si="354"/>
        <v>0</v>
      </c>
      <c r="Y1462">
        <f t="shared" si="355"/>
        <v>0</v>
      </c>
    </row>
    <row r="1463" spans="1:25" hidden="1">
      <c r="A1463" t="str">
        <f t="shared" si="356"/>
        <v>Selleck 1952</v>
      </c>
      <c r="E1463">
        <v>0.1346</v>
      </c>
      <c r="F1463">
        <v>0.94910000000000005</v>
      </c>
      <c r="H1463">
        <f t="shared" si="361"/>
        <v>377.59</v>
      </c>
      <c r="I1463">
        <v>189.6</v>
      </c>
      <c r="J1463">
        <v>0</v>
      </c>
      <c r="K1463">
        <f t="shared" si="350"/>
        <v>5.0899999999999945E-2</v>
      </c>
      <c r="M1463">
        <f t="shared" si="360"/>
        <v>0.1346</v>
      </c>
      <c r="S1463">
        <f t="shared" si="351"/>
        <v>0</v>
      </c>
      <c r="T1463">
        <f t="shared" si="357"/>
        <v>1</v>
      </c>
      <c r="U1463">
        <f t="shared" si="352"/>
        <v>0</v>
      </c>
      <c r="V1463">
        <f t="shared" si="353"/>
        <v>0</v>
      </c>
      <c r="W1463">
        <f t="shared" si="358"/>
        <v>0</v>
      </c>
      <c r="X1463">
        <f t="shared" si="354"/>
        <v>0</v>
      </c>
      <c r="Y1463">
        <f t="shared" si="355"/>
        <v>0</v>
      </c>
    </row>
    <row r="1464" spans="1:25" hidden="1">
      <c r="A1464" t="str">
        <f t="shared" si="356"/>
        <v>Selleck 1952</v>
      </c>
      <c r="E1464">
        <v>0.15859999999999999</v>
      </c>
      <c r="F1464">
        <v>0.94510000000000005</v>
      </c>
      <c r="H1464">
        <f t="shared" si="361"/>
        <v>377.59</v>
      </c>
      <c r="I1464">
        <v>206.8</v>
      </c>
      <c r="J1464">
        <v>0</v>
      </c>
      <c r="K1464">
        <f t="shared" si="350"/>
        <v>5.4899999999999949E-2</v>
      </c>
      <c r="M1464">
        <f t="shared" si="360"/>
        <v>0.15859999999999999</v>
      </c>
      <c r="S1464">
        <f t="shared" si="351"/>
        <v>0</v>
      </c>
      <c r="T1464">
        <f t="shared" si="357"/>
        <v>1</v>
      </c>
      <c r="U1464">
        <f t="shared" si="352"/>
        <v>0</v>
      </c>
      <c r="V1464">
        <f t="shared" si="353"/>
        <v>0</v>
      </c>
      <c r="W1464">
        <f t="shared" si="358"/>
        <v>0</v>
      </c>
      <c r="X1464">
        <f t="shared" si="354"/>
        <v>0</v>
      </c>
      <c r="Y1464">
        <f t="shared" si="355"/>
        <v>0</v>
      </c>
    </row>
    <row r="1465" spans="1:25" hidden="1">
      <c r="A1465" t="str">
        <f t="shared" si="356"/>
        <v>Selleck 1952</v>
      </c>
      <c r="E1465">
        <v>5.7000000000000002E-3</v>
      </c>
      <c r="F1465">
        <v>0.73750000000000004</v>
      </c>
      <c r="H1465">
        <v>410.93</v>
      </c>
      <c r="I1465">
        <f t="shared" ref="I1465:I1490" si="362">I1452</f>
        <v>13.79</v>
      </c>
      <c r="J1465">
        <v>0</v>
      </c>
      <c r="K1465">
        <f t="shared" si="350"/>
        <v>0.26249999999999996</v>
      </c>
      <c r="M1465">
        <f t="shared" si="360"/>
        <v>5.7000000000000002E-3</v>
      </c>
      <c r="S1465">
        <f t="shared" si="351"/>
        <v>0</v>
      </c>
      <c r="T1465">
        <f t="shared" si="357"/>
        <v>1</v>
      </c>
      <c r="U1465">
        <f t="shared" si="352"/>
        <v>0</v>
      </c>
      <c r="V1465">
        <f t="shared" si="353"/>
        <v>0</v>
      </c>
      <c r="W1465">
        <f t="shared" si="358"/>
        <v>0</v>
      </c>
      <c r="X1465">
        <f t="shared" si="354"/>
        <v>0</v>
      </c>
      <c r="Y1465">
        <f t="shared" si="355"/>
        <v>0</v>
      </c>
    </row>
    <row r="1466" spans="1:25" hidden="1">
      <c r="A1466" t="str">
        <f t="shared" si="356"/>
        <v>Selleck 1952</v>
      </c>
      <c r="E1466">
        <v>1.2699999999999999E-2</v>
      </c>
      <c r="F1466">
        <v>0.8589</v>
      </c>
      <c r="H1466">
        <f t="shared" ref="H1466:H1477" si="363">H1465</f>
        <v>410.93</v>
      </c>
      <c r="I1466">
        <f t="shared" si="362"/>
        <v>27.58</v>
      </c>
      <c r="J1466">
        <v>0</v>
      </c>
      <c r="K1466">
        <f t="shared" si="350"/>
        <v>0.1411</v>
      </c>
      <c r="M1466">
        <f t="shared" si="360"/>
        <v>1.2699999999999999E-2</v>
      </c>
      <c r="S1466">
        <f t="shared" si="351"/>
        <v>0</v>
      </c>
      <c r="T1466">
        <f t="shared" si="357"/>
        <v>1</v>
      </c>
      <c r="U1466">
        <f t="shared" si="352"/>
        <v>0</v>
      </c>
      <c r="V1466">
        <f t="shared" si="353"/>
        <v>0</v>
      </c>
      <c r="W1466">
        <f t="shared" si="358"/>
        <v>0</v>
      </c>
      <c r="X1466">
        <f t="shared" si="354"/>
        <v>0</v>
      </c>
      <c r="Y1466">
        <f t="shared" si="355"/>
        <v>0</v>
      </c>
    </row>
    <row r="1467" spans="1:25" hidden="1">
      <c r="A1467" t="str">
        <f t="shared" si="356"/>
        <v>Selleck 1952</v>
      </c>
      <c r="E1467">
        <v>1.9099999999999999E-2</v>
      </c>
      <c r="F1467">
        <v>0.89839999999999998</v>
      </c>
      <c r="H1467">
        <f t="shared" si="363"/>
        <v>410.93</v>
      </c>
      <c r="I1467">
        <f t="shared" si="362"/>
        <v>41.37</v>
      </c>
      <c r="J1467">
        <v>0</v>
      </c>
      <c r="K1467">
        <f t="shared" si="350"/>
        <v>0.10160000000000002</v>
      </c>
      <c r="M1467">
        <f t="shared" si="360"/>
        <v>1.9099999999999999E-2</v>
      </c>
      <c r="S1467">
        <f t="shared" si="351"/>
        <v>0</v>
      </c>
      <c r="T1467">
        <f t="shared" si="357"/>
        <v>1</v>
      </c>
      <c r="U1467">
        <f t="shared" si="352"/>
        <v>0</v>
      </c>
      <c r="V1467">
        <f t="shared" si="353"/>
        <v>0</v>
      </c>
      <c r="W1467">
        <f t="shared" si="358"/>
        <v>0</v>
      </c>
      <c r="X1467">
        <f t="shared" si="354"/>
        <v>0</v>
      </c>
      <c r="Y1467">
        <f t="shared" si="355"/>
        <v>0</v>
      </c>
    </row>
    <row r="1468" spans="1:25" hidden="1">
      <c r="A1468" t="str">
        <f t="shared" si="356"/>
        <v>Selleck 1952</v>
      </c>
      <c r="E1468">
        <v>2.5000000000000001E-2</v>
      </c>
      <c r="F1468">
        <v>0.91549999999999998</v>
      </c>
      <c r="H1468">
        <f t="shared" si="363"/>
        <v>410.93</v>
      </c>
      <c r="I1468">
        <f t="shared" si="362"/>
        <v>55.16</v>
      </c>
      <c r="J1468">
        <v>0</v>
      </c>
      <c r="K1468">
        <f t="shared" ref="K1468:K1490" si="364">1-F1468</f>
        <v>8.450000000000002E-2</v>
      </c>
      <c r="M1468">
        <f t="shared" si="360"/>
        <v>2.5000000000000001E-2</v>
      </c>
      <c r="S1468">
        <f t="shared" ref="S1468:S1490" si="365">S1467</f>
        <v>0</v>
      </c>
      <c r="T1468">
        <f t="shared" si="357"/>
        <v>1</v>
      </c>
      <c r="U1468">
        <f t="shared" ref="U1468:U1490" si="366">U1467</f>
        <v>0</v>
      </c>
      <c r="V1468">
        <f t="shared" ref="V1468:V1490" si="367">V1467</f>
        <v>0</v>
      </c>
      <c r="W1468">
        <f t="shared" si="358"/>
        <v>0</v>
      </c>
      <c r="X1468">
        <f t="shared" ref="X1468:X1490" si="368">X1467</f>
        <v>0</v>
      </c>
      <c r="Y1468">
        <f t="shared" ref="Y1468:Y1490" si="369">Y1467</f>
        <v>0</v>
      </c>
    </row>
    <row r="1469" spans="1:25" hidden="1">
      <c r="A1469" t="str">
        <f t="shared" ref="A1469:A1490" si="370">A1468</f>
        <v>Selleck 1952</v>
      </c>
      <c r="E1469">
        <v>3.0800000000000001E-2</v>
      </c>
      <c r="F1469">
        <v>0.92479999999999996</v>
      </c>
      <c r="H1469">
        <f t="shared" si="363"/>
        <v>410.93</v>
      </c>
      <c r="I1469">
        <f t="shared" si="362"/>
        <v>68.95</v>
      </c>
      <c r="J1469">
        <v>0</v>
      </c>
      <c r="K1469">
        <f t="shared" si="364"/>
        <v>7.5200000000000045E-2</v>
      </c>
      <c r="M1469">
        <f t="shared" si="360"/>
        <v>3.0800000000000001E-2</v>
      </c>
      <c r="S1469">
        <f t="shared" si="365"/>
        <v>0</v>
      </c>
      <c r="T1469">
        <f t="shared" ref="T1469:T1490" si="371">T1468</f>
        <v>1</v>
      </c>
      <c r="U1469">
        <f t="shared" si="366"/>
        <v>0</v>
      </c>
      <c r="V1469">
        <f t="shared" si="367"/>
        <v>0</v>
      </c>
      <c r="W1469">
        <f t="shared" ref="W1469:W1490" si="372">W1468</f>
        <v>0</v>
      </c>
      <c r="X1469">
        <f t="shared" si="368"/>
        <v>0</v>
      </c>
      <c r="Y1469">
        <f t="shared" si="369"/>
        <v>0</v>
      </c>
    </row>
    <row r="1470" spans="1:25" hidden="1">
      <c r="A1470" t="str">
        <f t="shared" si="370"/>
        <v>Selleck 1952</v>
      </c>
      <c r="E1470">
        <v>3.8199999999999998E-2</v>
      </c>
      <c r="F1470">
        <v>0.93069999999999997</v>
      </c>
      <c r="H1470">
        <f t="shared" si="363"/>
        <v>410.93</v>
      </c>
      <c r="I1470">
        <f t="shared" si="362"/>
        <v>86.18</v>
      </c>
      <c r="J1470">
        <v>0</v>
      </c>
      <c r="K1470">
        <f t="shared" si="364"/>
        <v>6.9300000000000028E-2</v>
      </c>
      <c r="M1470">
        <f t="shared" si="360"/>
        <v>3.8199999999999998E-2</v>
      </c>
      <c r="S1470">
        <f t="shared" si="365"/>
        <v>0</v>
      </c>
      <c r="T1470">
        <f t="shared" si="371"/>
        <v>1</v>
      </c>
      <c r="U1470">
        <f t="shared" si="366"/>
        <v>0</v>
      </c>
      <c r="V1470">
        <f t="shared" si="367"/>
        <v>0</v>
      </c>
      <c r="W1470">
        <f t="shared" si="372"/>
        <v>0</v>
      </c>
      <c r="X1470">
        <f t="shared" si="368"/>
        <v>0</v>
      </c>
      <c r="Y1470">
        <f t="shared" si="369"/>
        <v>0</v>
      </c>
    </row>
    <row r="1471" spans="1:25" hidden="1">
      <c r="A1471" t="str">
        <f t="shared" si="370"/>
        <v>Selleck 1952</v>
      </c>
      <c r="E1471">
        <v>4.6300000000000001E-2</v>
      </c>
      <c r="F1471">
        <v>0.93300000000000005</v>
      </c>
      <c r="H1471">
        <f t="shared" si="363"/>
        <v>410.93</v>
      </c>
      <c r="I1471">
        <f t="shared" si="362"/>
        <v>103.4</v>
      </c>
      <c r="J1471">
        <v>0</v>
      </c>
      <c r="K1471">
        <f t="shared" si="364"/>
        <v>6.6999999999999948E-2</v>
      </c>
      <c r="M1471">
        <f t="shared" si="360"/>
        <v>4.6300000000000001E-2</v>
      </c>
      <c r="S1471">
        <f t="shared" si="365"/>
        <v>0</v>
      </c>
      <c r="T1471">
        <f t="shared" si="371"/>
        <v>1</v>
      </c>
      <c r="U1471">
        <f t="shared" si="366"/>
        <v>0</v>
      </c>
      <c r="V1471">
        <f t="shared" si="367"/>
        <v>0</v>
      </c>
      <c r="W1471">
        <f t="shared" si="372"/>
        <v>0</v>
      </c>
      <c r="X1471">
        <f t="shared" si="368"/>
        <v>0</v>
      </c>
      <c r="Y1471">
        <f t="shared" si="369"/>
        <v>0</v>
      </c>
    </row>
    <row r="1472" spans="1:25" hidden="1">
      <c r="A1472" t="str">
        <f t="shared" si="370"/>
        <v>Selleck 1952</v>
      </c>
      <c r="E1472">
        <v>5.5E-2</v>
      </c>
      <c r="F1472">
        <v>0.93269999999999997</v>
      </c>
      <c r="H1472">
        <f t="shared" si="363"/>
        <v>410.93</v>
      </c>
      <c r="I1472">
        <f t="shared" si="362"/>
        <v>120.7</v>
      </c>
      <c r="J1472">
        <v>0</v>
      </c>
      <c r="K1472">
        <f t="shared" si="364"/>
        <v>6.7300000000000026E-2</v>
      </c>
      <c r="M1472">
        <f t="shared" si="360"/>
        <v>5.5E-2</v>
      </c>
      <c r="S1472">
        <f t="shared" si="365"/>
        <v>0</v>
      </c>
      <c r="T1472">
        <f t="shared" si="371"/>
        <v>1</v>
      </c>
      <c r="U1472">
        <f t="shared" si="366"/>
        <v>0</v>
      </c>
      <c r="V1472">
        <f t="shared" si="367"/>
        <v>0</v>
      </c>
      <c r="W1472">
        <f t="shared" si="372"/>
        <v>0</v>
      </c>
      <c r="X1472">
        <f t="shared" si="368"/>
        <v>0</v>
      </c>
      <c r="Y1472">
        <f t="shared" si="369"/>
        <v>0</v>
      </c>
    </row>
    <row r="1473" spans="1:25" hidden="1">
      <c r="A1473" t="str">
        <f t="shared" si="370"/>
        <v>Selleck 1952</v>
      </c>
      <c r="E1473">
        <v>6.4699999999999994E-2</v>
      </c>
      <c r="F1473">
        <v>0.93030000000000002</v>
      </c>
      <c r="H1473">
        <f t="shared" si="363"/>
        <v>410.93</v>
      </c>
      <c r="I1473">
        <f t="shared" si="362"/>
        <v>137.9</v>
      </c>
      <c r="J1473">
        <v>0</v>
      </c>
      <c r="K1473">
        <f t="shared" si="364"/>
        <v>6.9699999999999984E-2</v>
      </c>
      <c r="M1473">
        <f t="shared" si="360"/>
        <v>6.4699999999999994E-2</v>
      </c>
      <c r="S1473">
        <f t="shared" si="365"/>
        <v>0</v>
      </c>
      <c r="T1473">
        <f t="shared" si="371"/>
        <v>1</v>
      </c>
      <c r="U1473">
        <f t="shared" si="366"/>
        <v>0</v>
      </c>
      <c r="V1473">
        <f t="shared" si="367"/>
        <v>0</v>
      </c>
      <c r="W1473">
        <f t="shared" si="372"/>
        <v>0</v>
      </c>
      <c r="X1473">
        <f t="shared" si="368"/>
        <v>0</v>
      </c>
      <c r="Y1473">
        <f t="shared" si="369"/>
        <v>0</v>
      </c>
    </row>
    <row r="1474" spans="1:25" hidden="1">
      <c r="A1474" t="str">
        <f t="shared" si="370"/>
        <v>Selleck 1952</v>
      </c>
      <c r="E1474">
        <v>7.4999999999999997E-2</v>
      </c>
      <c r="F1474">
        <v>0.92630000000000001</v>
      </c>
      <c r="H1474">
        <f t="shared" si="363"/>
        <v>410.93</v>
      </c>
      <c r="I1474">
        <f t="shared" si="362"/>
        <v>155.1</v>
      </c>
      <c r="J1474">
        <v>0</v>
      </c>
      <c r="K1474">
        <f t="shared" si="364"/>
        <v>7.3699999999999988E-2</v>
      </c>
      <c r="M1474">
        <f t="shared" si="360"/>
        <v>7.4999999999999997E-2</v>
      </c>
      <c r="S1474">
        <f t="shared" si="365"/>
        <v>0</v>
      </c>
      <c r="T1474">
        <f t="shared" si="371"/>
        <v>1</v>
      </c>
      <c r="U1474">
        <f t="shared" si="366"/>
        <v>0</v>
      </c>
      <c r="V1474">
        <f t="shared" si="367"/>
        <v>0</v>
      </c>
      <c r="W1474">
        <f t="shared" si="372"/>
        <v>0</v>
      </c>
      <c r="X1474">
        <f t="shared" si="368"/>
        <v>0</v>
      </c>
      <c r="Y1474">
        <f t="shared" si="369"/>
        <v>0</v>
      </c>
    </row>
    <row r="1475" spans="1:25" hidden="1">
      <c r="A1475" t="str">
        <f t="shared" si="370"/>
        <v>Selleck 1952</v>
      </c>
      <c r="E1475">
        <v>8.5999999999999993E-2</v>
      </c>
      <c r="F1475">
        <v>0.92130000000000001</v>
      </c>
      <c r="H1475">
        <f t="shared" si="363"/>
        <v>410.93</v>
      </c>
      <c r="I1475">
        <f t="shared" si="362"/>
        <v>172.4</v>
      </c>
      <c r="J1475">
        <v>0</v>
      </c>
      <c r="K1475">
        <f t="shared" si="364"/>
        <v>7.8699999999999992E-2</v>
      </c>
      <c r="M1475">
        <f t="shared" si="360"/>
        <v>8.5999999999999993E-2</v>
      </c>
      <c r="S1475">
        <f t="shared" si="365"/>
        <v>0</v>
      </c>
      <c r="T1475">
        <f t="shared" si="371"/>
        <v>1</v>
      </c>
      <c r="U1475">
        <f t="shared" si="366"/>
        <v>0</v>
      </c>
      <c r="V1475">
        <f t="shared" si="367"/>
        <v>0</v>
      </c>
      <c r="W1475">
        <f t="shared" si="372"/>
        <v>0</v>
      </c>
      <c r="X1475">
        <f t="shared" si="368"/>
        <v>0</v>
      </c>
      <c r="Y1475">
        <f t="shared" si="369"/>
        <v>0</v>
      </c>
    </row>
    <row r="1476" spans="1:25" hidden="1">
      <c r="A1476" t="str">
        <f t="shared" si="370"/>
        <v>Selleck 1952</v>
      </c>
      <c r="E1476">
        <v>9.7799999999999998E-2</v>
      </c>
      <c r="F1476">
        <v>0.91590000000000005</v>
      </c>
      <c r="H1476">
        <f t="shared" si="363"/>
        <v>410.93</v>
      </c>
      <c r="I1476">
        <f t="shared" si="362"/>
        <v>189.6</v>
      </c>
      <c r="J1476">
        <v>0</v>
      </c>
      <c r="K1476">
        <f t="shared" si="364"/>
        <v>8.4099999999999953E-2</v>
      </c>
      <c r="M1476">
        <f t="shared" si="360"/>
        <v>9.7799999999999998E-2</v>
      </c>
      <c r="S1476">
        <f t="shared" si="365"/>
        <v>0</v>
      </c>
      <c r="T1476">
        <f t="shared" si="371"/>
        <v>1</v>
      </c>
      <c r="U1476">
        <f t="shared" si="366"/>
        <v>0</v>
      </c>
      <c r="V1476">
        <f t="shared" si="367"/>
        <v>0</v>
      </c>
      <c r="W1476">
        <f t="shared" si="372"/>
        <v>0</v>
      </c>
      <c r="X1476">
        <f t="shared" si="368"/>
        <v>0</v>
      </c>
      <c r="Y1476">
        <f t="shared" si="369"/>
        <v>0</v>
      </c>
    </row>
    <row r="1477" spans="1:25" hidden="1">
      <c r="A1477" t="str">
        <f t="shared" si="370"/>
        <v>Selleck 1952</v>
      </c>
      <c r="E1477">
        <v>0.1106</v>
      </c>
      <c r="F1477">
        <v>0.91039999999999999</v>
      </c>
      <c r="H1477">
        <f t="shared" si="363"/>
        <v>410.93</v>
      </c>
      <c r="I1477">
        <f t="shared" si="362"/>
        <v>206.8</v>
      </c>
      <c r="J1477">
        <v>0</v>
      </c>
      <c r="K1477">
        <f t="shared" si="364"/>
        <v>8.9600000000000013E-2</v>
      </c>
      <c r="M1477">
        <f t="shared" si="360"/>
        <v>0.1106</v>
      </c>
      <c r="S1477">
        <f t="shared" si="365"/>
        <v>0</v>
      </c>
      <c r="T1477">
        <f t="shared" si="371"/>
        <v>1</v>
      </c>
      <c r="U1477">
        <f t="shared" si="366"/>
        <v>0</v>
      </c>
      <c r="V1477">
        <f t="shared" si="367"/>
        <v>0</v>
      </c>
      <c r="W1477">
        <f t="shared" si="372"/>
        <v>0</v>
      </c>
      <c r="X1477">
        <f t="shared" si="368"/>
        <v>0</v>
      </c>
      <c r="Y1477">
        <f t="shared" si="369"/>
        <v>0</v>
      </c>
    </row>
    <row r="1478" spans="1:25" hidden="1">
      <c r="A1478" t="str">
        <f t="shared" si="370"/>
        <v>Selleck 1952</v>
      </c>
      <c r="E1478">
        <v>2.8999999999999998E-3</v>
      </c>
      <c r="F1478">
        <v>0.39810000000000001</v>
      </c>
      <c r="H1478">
        <v>444.26</v>
      </c>
      <c r="I1478">
        <f t="shared" si="362"/>
        <v>13.79</v>
      </c>
      <c r="J1478">
        <v>0</v>
      </c>
      <c r="K1478">
        <f t="shared" si="364"/>
        <v>0.60189999999999999</v>
      </c>
      <c r="M1478">
        <f t="shared" si="360"/>
        <v>2.8999999999999998E-3</v>
      </c>
      <c r="S1478">
        <f t="shared" si="365"/>
        <v>0</v>
      </c>
      <c r="T1478">
        <f t="shared" si="371"/>
        <v>1</v>
      </c>
      <c r="U1478">
        <f t="shared" si="366"/>
        <v>0</v>
      </c>
      <c r="V1478">
        <f t="shared" si="367"/>
        <v>0</v>
      </c>
      <c r="W1478">
        <f t="shared" si="372"/>
        <v>0</v>
      </c>
      <c r="X1478">
        <f t="shared" si="368"/>
        <v>0</v>
      </c>
      <c r="Y1478">
        <f t="shared" si="369"/>
        <v>0</v>
      </c>
    </row>
    <row r="1479" spans="1:25" hidden="1">
      <c r="A1479" t="str">
        <f t="shared" si="370"/>
        <v>Selleck 1952</v>
      </c>
      <c r="E1479">
        <v>9.4000000000000004E-3</v>
      </c>
      <c r="F1479">
        <v>0.68279999999999996</v>
      </c>
      <c r="H1479">
        <f t="shared" ref="H1479:H1490" si="373">H1478</f>
        <v>444.26</v>
      </c>
      <c r="I1479">
        <f t="shared" si="362"/>
        <v>27.58</v>
      </c>
      <c r="J1479">
        <v>0</v>
      </c>
      <c r="K1479">
        <f t="shared" si="364"/>
        <v>0.31720000000000004</v>
      </c>
      <c r="M1479">
        <f t="shared" si="360"/>
        <v>9.4000000000000004E-3</v>
      </c>
      <c r="S1479">
        <f t="shared" si="365"/>
        <v>0</v>
      </c>
      <c r="T1479">
        <f t="shared" si="371"/>
        <v>1</v>
      </c>
      <c r="U1479">
        <f t="shared" si="366"/>
        <v>0</v>
      </c>
      <c r="V1479">
        <f t="shared" si="367"/>
        <v>0</v>
      </c>
      <c r="W1479">
        <f t="shared" si="372"/>
        <v>0</v>
      </c>
      <c r="X1479">
        <f t="shared" si="368"/>
        <v>0</v>
      </c>
      <c r="Y1479">
        <f t="shared" si="369"/>
        <v>0</v>
      </c>
    </row>
    <row r="1480" spans="1:25" hidden="1">
      <c r="A1480" t="str">
        <f t="shared" si="370"/>
        <v>Selleck 1952</v>
      </c>
      <c r="E1480">
        <v>1.55E-2</v>
      </c>
      <c r="F1480">
        <v>0.7772</v>
      </c>
      <c r="H1480">
        <f t="shared" si="373"/>
        <v>444.26</v>
      </c>
      <c r="I1480">
        <f t="shared" si="362"/>
        <v>41.37</v>
      </c>
      <c r="J1480">
        <v>0</v>
      </c>
      <c r="K1480">
        <f t="shared" si="364"/>
        <v>0.2228</v>
      </c>
      <c r="M1480">
        <f t="shared" si="360"/>
        <v>1.55E-2</v>
      </c>
      <c r="S1480">
        <f t="shared" si="365"/>
        <v>0</v>
      </c>
      <c r="T1480">
        <f t="shared" si="371"/>
        <v>1</v>
      </c>
      <c r="U1480">
        <f t="shared" si="366"/>
        <v>0</v>
      </c>
      <c r="V1480">
        <f t="shared" si="367"/>
        <v>0</v>
      </c>
      <c r="W1480">
        <f t="shared" si="372"/>
        <v>0</v>
      </c>
      <c r="X1480">
        <f t="shared" si="368"/>
        <v>0</v>
      </c>
      <c r="Y1480">
        <f t="shared" si="369"/>
        <v>0</v>
      </c>
    </row>
    <row r="1481" spans="1:25" hidden="1">
      <c r="A1481" t="str">
        <f t="shared" si="370"/>
        <v>Selleck 1952</v>
      </c>
      <c r="E1481">
        <v>2.1399999999999999E-2</v>
      </c>
      <c r="F1481">
        <v>0.82240000000000002</v>
      </c>
      <c r="H1481">
        <f t="shared" si="373"/>
        <v>444.26</v>
      </c>
      <c r="I1481">
        <f t="shared" si="362"/>
        <v>55.16</v>
      </c>
      <c r="J1481">
        <v>0</v>
      </c>
      <c r="K1481">
        <f t="shared" si="364"/>
        <v>0.17759999999999998</v>
      </c>
      <c r="M1481">
        <f t="shared" si="360"/>
        <v>2.1399999999999999E-2</v>
      </c>
      <c r="S1481">
        <f t="shared" si="365"/>
        <v>0</v>
      </c>
      <c r="T1481">
        <f t="shared" si="371"/>
        <v>1</v>
      </c>
      <c r="U1481">
        <f t="shared" si="366"/>
        <v>0</v>
      </c>
      <c r="V1481">
        <f t="shared" si="367"/>
        <v>0</v>
      </c>
      <c r="W1481">
        <f t="shared" si="372"/>
        <v>0</v>
      </c>
      <c r="X1481">
        <f t="shared" si="368"/>
        <v>0</v>
      </c>
      <c r="Y1481">
        <f t="shared" si="369"/>
        <v>0</v>
      </c>
    </row>
    <row r="1482" spans="1:25" hidden="1">
      <c r="A1482" t="str">
        <f t="shared" si="370"/>
        <v>Selleck 1952</v>
      </c>
      <c r="E1482">
        <v>2.7300000000000001E-2</v>
      </c>
      <c r="F1482">
        <v>0.84660000000000002</v>
      </c>
      <c r="H1482">
        <f t="shared" si="373"/>
        <v>444.26</v>
      </c>
      <c r="I1482">
        <f t="shared" si="362"/>
        <v>68.95</v>
      </c>
      <c r="J1482">
        <v>0</v>
      </c>
      <c r="K1482">
        <f t="shared" si="364"/>
        <v>0.15339999999999998</v>
      </c>
      <c r="M1482">
        <f t="shared" si="360"/>
        <v>2.7300000000000001E-2</v>
      </c>
      <c r="S1482">
        <f t="shared" si="365"/>
        <v>0</v>
      </c>
      <c r="T1482">
        <f t="shared" si="371"/>
        <v>1</v>
      </c>
      <c r="U1482">
        <f t="shared" si="366"/>
        <v>0</v>
      </c>
      <c r="V1482">
        <f t="shared" si="367"/>
        <v>0</v>
      </c>
      <c r="W1482">
        <f t="shared" si="372"/>
        <v>0</v>
      </c>
      <c r="X1482">
        <f t="shared" si="368"/>
        <v>0</v>
      </c>
      <c r="Y1482">
        <f t="shared" si="369"/>
        <v>0</v>
      </c>
    </row>
    <row r="1483" spans="1:25" hidden="1">
      <c r="A1483" t="str">
        <f t="shared" si="370"/>
        <v>Selleck 1952</v>
      </c>
      <c r="E1483">
        <v>3.5099999999999999E-2</v>
      </c>
      <c r="F1483">
        <v>0.86460000000000004</v>
      </c>
      <c r="H1483">
        <f t="shared" si="373"/>
        <v>444.26</v>
      </c>
      <c r="I1483">
        <f t="shared" si="362"/>
        <v>86.18</v>
      </c>
      <c r="J1483">
        <v>0</v>
      </c>
      <c r="K1483">
        <f t="shared" si="364"/>
        <v>0.13539999999999996</v>
      </c>
      <c r="M1483">
        <f t="shared" si="360"/>
        <v>3.5099999999999999E-2</v>
      </c>
      <c r="S1483">
        <f t="shared" si="365"/>
        <v>0</v>
      </c>
      <c r="T1483">
        <f t="shared" si="371"/>
        <v>1</v>
      </c>
      <c r="U1483">
        <f t="shared" si="366"/>
        <v>0</v>
      </c>
      <c r="V1483">
        <f t="shared" si="367"/>
        <v>0</v>
      </c>
      <c r="W1483">
        <f t="shared" si="372"/>
        <v>0</v>
      </c>
      <c r="X1483">
        <f t="shared" si="368"/>
        <v>0</v>
      </c>
      <c r="Y1483">
        <f t="shared" si="369"/>
        <v>0</v>
      </c>
    </row>
    <row r="1484" spans="1:25" hidden="1">
      <c r="A1484" t="str">
        <f t="shared" si="370"/>
        <v>Selleck 1952</v>
      </c>
      <c r="E1484">
        <v>4.3499999999999997E-2</v>
      </c>
      <c r="F1484">
        <v>0.87419999999999998</v>
      </c>
      <c r="H1484">
        <f t="shared" si="373"/>
        <v>444.26</v>
      </c>
      <c r="I1484">
        <f t="shared" si="362"/>
        <v>103.4</v>
      </c>
      <c r="J1484">
        <v>0</v>
      </c>
      <c r="K1484">
        <f t="shared" si="364"/>
        <v>0.12580000000000002</v>
      </c>
      <c r="M1484">
        <f t="shared" si="360"/>
        <v>4.3499999999999997E-2</v>
      </c>
      <c r="S1484">
        <f t="shared" si="365"/>
        <v>0</v>
      </c>
      <c r="T1484">
        <f t="shared" si="371"/>
        <v>1</v>
      </c>
      <c r="U1484">
        <f t="shared" si="366"/>
        <v>0</v>
      </c>
      <c r="V1484">
        <f t="shared" si="367"/>
        <v>0</v>
      </c>
      <c r="W1484">
        <f t="shared" si="372"/>
        <v>0</v>
      </c>
      <c r="X1484">
        <f t="shared" si="368"/>
        <v>0</v>
      </c>
      <c r="Y1484">
        <f t="shared" si="369"/>
        <v>0</v>
      </c>
    </row>
    <row r="1485" spans="1:25" hidden="1">
      <c r="A1485" t="str">
        <f t="shared" si="370"/>
        <v>Selleck 1952</v>
      </c>
      <c r="E1485">
        <v>5.1999999999999998E-2</v>
      </c>
      <c r="F1485">
        <v>0.87880000000000003</v>
      </c>
      <c r="H1485">
        <f t="shared" si="373"/>
        <v>444.26</v>
      </c>
      <c r="I1485">
        <f t="shared" si="362"/>
        <v>120.7</v>
      </c>
      <c r="J1485">
        <v>0</v>
      </c>
      <c r="K1485">
        <f t="shared" si="364"/>
        <v>0.12119999999999997</v>
      </c>
      <c r="M1485">
        <f t="shared" si="360"/>
        <v>5.1999999999999998E-2</v>
      </c>
      <c r="S1485">
        <f t="shared" si="365"/>
        <v>0</v>
      </c>
      <c r="T1485">
        <f t="shared" si="371"/>
        <v>1</v>
      </c>
      <c r="U1485">
        <f t="shared" si="366"/>
        <v>0</v>
      </c>
      <c r="V1485">
        <f t="shared" si="367"/>
        <v>0</v>
      </c>
      <c r="W1485">
        <f t="shared" si="372"/>
        <v>0</v>
      </c>
      <c r="X1485">
        <f t="shared" si="368"/>
        <v>0</v>
      </c>
      <c r="Y1485">
        <f t="shared" si="369"/>
        <v>0</v>
      </c>
    </row>
    <row r="1486" spans="1:25" hidden="1">
      <c r="A1486" t="str">
        <f t="shared" si="370"/>
        <v>Selleck 1952</v>
      </c>
      <c r="E1486">
        <v>6.0999999999999999E-2</v>
      </c>
      <c r="F1486">
        <v>0.87970000000000004</v>
      </c>
      <c r="H1486">
        <f t="shared" si="373"/>
        <v>444.26</v>
      </c>
      <c r="I1486">
        <f t="shared" si="362"/>
        <v>137.9</v>
      </c>
      <c r="J1486">
        <v>0</v>
      </c>
      <c r="K1486">
        <f t="shared" si="364"/>
        <v>0.12029999999999996</v>
      </c>
      <c r="M1486">
        <f t="shared" si="360"/>
        <v>6.0999999999999999E-2</v>
      </c>
      <c r="S1486">
        <f t="shared" si="365"/>
        <v>0</v>
      </c>
      <c r="T1486">
        <f t="shared" si="371"/>
        <v>1</v>
      </c>
      <c r="U1486">
        <f t="shared" si="366"/>
        <v>0</v>
      </c>
      <c r="V1486">
        <f t="shared" si="367"/>
        <v>0</v>
      </c>
      <c r="W1486">
        <f t="shared" si="372"/>
        <v>0</v>
      </c>
      <c r="X1486">
        <f t="shared" si="368"/>
        <v>0</v>
      </c>
      <c r="Y1486">
        <f t="shared" si="369"/>
        <v>0</v>
      </c>
    </row>
    <row r="1487" spans="1:25" hidden="1">
      <c r="A1487" t="str">
        <f t="shared" si="370"/>
        <v>Selleck 1952</v>
      </c>
      <c r="E1487">
        <v>7.0499999999999993E-2</v>
      </c>
      <c r="F1487">
        <v>0.87790000000000001</v>
      </c>
      <c r="H1487">
        <f t="shared" si="373"/>
        <v>444.26</v>
      </c>
      <c r="I1487">
        <f t="shared" si="362"/>
        <v>155.1</v>
      </c>
      <c r="J1487">
        <v>0</v>
      </c>
      <c r="K1487">
        <f t="shared" si="364"/>
        <v>0.12209999999999999</v>
      </c>
      <c r="M1487">
        <f t="shared" si="360"/>
        <v>7.0499999999999993E-2</v>
      </c>
      <c r="S1487">
        <f t="shared" si="365"/>
        <v>0</v>
      </c>
      <c r="T1487">
        <f t="shared" si="371"/>
        <v>1</v>
      </c>
      <c r="U1487">
        <f t="shared" si="366"/>
        <v>0</v>
      </c>
      <c r="V1487">
        <f t="shared" si="367"/>
        <v>0</v>
      </c>
      <c r="W1487">
        <f t="shared" si="372"/>
        <v>0</v>
      </c>
      <c r="X1487">
        <f t="shared" si="368"/>
        <v>0</v>
      </c>
      <c r="Y1487">
        <f t="shared" si="369"/>
        <v>0</v>
      </c>
    </row>
    <row r="1488" spans="1:25" hidden="1">
      <c r="A1488" t="str">
        <f t="shared" si="370"/>
        <v>Selleck 1952</v>
      </c>
      <c r="E1488">
        <v>8.0500000000000002E-2</v>
      </c>
      <c r="F1488">
        <v>0.874</v>
      </c>
      <c r="H1488">
        <f t="shared" si="373"/>
        <v>444.26</v>
      </c>
      <c r="I1488">
        <f t="shared" si="362"/>
        <v>172.4</v>
      </c>
      <c r="J1488">
        <v>0</v>
      </c>
      <c r="K1488">
        <f t="shared" si="364"/>
        <v>0.126</v>
      </c>
      <c r="M1488">
        <f t="shared" si="360"/>
        <v>8.0500000000000002E-2</v>
      </c>
      <c r="S1488">
        <f t="shared" si="365"/>
        <v>0</v>
      </c>
      <c r="T1488">
        <f t="shared" si="371"/>
        <v>1</v>
      </c>
      <c r="U1488">
        <f t="shared" si="366"/>
        <v>0</v>
      </c>
      <c r="V1488">
        <f t="shared" si="367"/>
        <v>0</v>
      </c>
      <c r="W1488">
        <f t="shared" si="372"/>
        <v>0</v>
      </c>
      <c r="X1488">
        <f t="shared" si="368"/>
        <v>0</v>
      </c>
      <c r="Y1488">
        <f t="shared" si="369"/>
        <v>0</v>
      </c>
    </row>
    <row r="1489" spans="1:25" hidden="1">
      <c r="A1489" t="str">
        <f t="shared" si="370"/>
        <v>Selleck 1952</v>
      </c>
      <c r="E1489">
        <v>9.0999999999999998E-2</v>
      </c>
      <c r="F1489">
        <v>0.86809999999999998</v>
      </c>
      <c r="H1489">
        <f t="shared" si="373"/>
        <v>444.26</v>
      </c>
      <c r="I1489">
        <f t="shared" si="362"/>
        <v>189.6</v>
      </c>
      <c r="J1489">
        <v>0</v>
      </c>
      <c r="K1489">
        <f t="shared" si="364"/>
        <v>0.13190000000000002</v>
      </c>
      <c r="M1489">
        <f t="shared" si="360"/>
        <v>9.0999999999999998E-2</v>
      </c>
      <c r="S1489">
        <f t="shared" si="365"/>
        <v>0</v>
      </c>
      <c r="T1489">
        <f t="shared" si="371"/>
        <v>1</v>
      </c>
      <c r="U1489">
        <f t="shared" si="366"/>
        <v>0</v>
      </c>
      <c r="V1489">
        <f t="shared" si="367"/>
        <v>0</v>
      </c>
      <c r="W1489">
        <f t="shared" si="372"/>
        <v>0</v>
      </c>
      <c r="X1489">
        <f t="shared" si="368"/>
        <v>0</v>
      </c>
      <c r="Y1489">
        <f t="shared" si="369"/>
        <v>0</v>
      </c>
    </row>
    <row r="1490" spans="1:25" hidden="1">
      <c r="A1490" t="str">
        <f t="shared" si="370"/>
        <v>Selleck 1952</v>
      </c>
      <c r="E1490">
        <v>0.1024</v>
      </c>
      <c r="F1490">
        <v>0.86060000000000003</v>
      </c>
      <c r="H1490">
        <f t="shared" si="373"/>
        <v>444.26</v>
      </c>
      <c r="I1490">
        <f t="shared" si="362"/>
        <v>206.8</v>
      </c>
      <c r="J1490">
        <v>0</v>
      </c>
      <c r="K1490">
        <f t="shared" si="364"/>
        <v>0.13939999999999997</v>
      </c>
      <c r="M1490">
        <f t="shared" si="360"/>
        <v>0.1024</v>
      </c>
      <c r="S1490">
        <f t="shared" si="365"/>
        <v>0</v>
      </c>
      <c r="T1490">
        <f t="shared" si="371"/>
        <v>1</v>
      </c>
      <c r="U1490">
        <f t="shared" si="366"/>
        <v>0</v>
      </c>
      <c r="V1490">
        <f t="shared" si="367"/>
        <v>0</v>
      </c>
      <c r="W1490">
        <f t="shared" si="372"/>
        <v>0</v>
      </c>
      <c r="X1490">
        <f t="shared" si="368"/>
        <v>0</v>
      </c>
      <c r="Y1490">
        <f t="shared" si="369"/>
        <v>0</v>
      </c>
    </row>
    <row r="1491" spans="1:25" hidden="1">
      <c r="A1491" t="s">
        <v>67</v>
      </c>
      <c r="H1491">
        <v>323.14999999999998</v>
      </c>
      <c r="I1491">
        <v>100</v>
      </c>
      <c r="J1491">
        <v>0</v>
      </c>
      <c r="L1491" s="3">
        <v>1.9990000000000001E-2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hidden="1">
      <c r="A1492" t="str">
        <f t="shared" ref="A1492:A1504" si="374">A1491</f>
        <v>Shagiakhmetov 1981</v>
      </c>
      <c r="H1492">
        <f>H1491</f>
        <v>323.14999999999998</v>
      </c>
      <c r="I1492">
        <v>200</v>
      </c>
      <c r="J1492">
        <v>0</v>
      </c>
      <c r="L1492" s="3">
        <v>2.2929999999999999E-2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hidden="1">
      <c r="A1493" t="str">
        <f t="shared" si="374"/>
        <v>Shagiakhmetov 1981</v>
      </c>
      <c r="H1493">
        <f>H1492</f>
        <v>323.14999999999998</v>
      </c>
      <c r="I1493">
        <v>400</v>
      </c>
      <c r="J1493">
        <v>0</v>
      </c>
      <c r="L1493" s="3">
        <v>2.6550000000000001E-2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hidden="1">
      <c r="A1494" t="str">
        <f t="shared" si="374"/>
        <v>Shagiakhmetov 1981</v>
      </c>
      <c r="H1494">
        <f>H1493</f>
        <v>323.14999999999998</v>
      </c>
      <c r="I1494">
        <v>600</v>
      </c>
      <c r="J1494">
        <v>0</v>
      </c>
      <c r="L1494" s="3">
        <v>2.8539999999999999E-2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 hidden="1">
      <c r="A1495" t="str">
        <f t="shared" si="374"/>
        <v>Shagiakhmetov 1981</v>
      </c>
      <c r="H1495">
        <v>373.15</v>
      </c>
      <c r="I1495">
        <v>100</v>
      </c>
      <c r="J1495">
        <v>0</v>
      </c>
      <c r="L1495" s="3">
        <v>1.444E-2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 hidden="1">
      <c r="A1496" t="str">
        <f t="shared" si="374"/>
        <v>Shagiakhmetov 1981</v>
      </c>
      <c r="H1496">
        <f>H1495</f>
        <v>373.15</v>
      </c>
      <c r="I1496">
        <v>200</v>
      </c>
      <c r="J1496">
        <v>0</v>
      </c>
      <c r="L1496" s="3">
        <v>2.0299999999999999E-2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 hidden="1">
      <c r="A1497" t="str">
        <f t="shared" si="374"/>
        <v>Shagiakhmetov 1981</v>
      </c>
      <c r="H1497">
        <f>H1496</f>
        <v>373.15</v>
      </c>
      <c r="I1497">
        <v>400</v>
      </c>
      <c r="J1497">
        <v>0</v>
      </c>
      <c r="L1497" s="3">
        <v>2.5090000000000001E-2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1:25" hidden="1">
      <c r="A1498" t="str">
        <f t="shared" si="374"/>
        <v>Shagiakhmetov 1981</v>
      </c>
      <c r="H1498">
        <f>H1497</f>
        <v>373.15</v>
      </c>
      <c r="I1498">
        <v>600</v>
      </c>
      <c r="J1498">
        <v>0</v>
      </c>
      <c r="L1498" s="3">
        <v>2.9069999999999999E-2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 hidden="1">
      <c r="A1499" t="str">
        <f t="shared" si="374"/>
        <v>Shagiakhmetov 1981</v>
      </c>
      <c r="H1499">
        <f>H1498</f>
        <v>373.15</v>
      </c>
      <c r="I1499">
        <v>800</v>
      </c>
      <c r="J1499">
        <v>0</v>
      </c>
      <c r="L1499" s="3">
        <v>3.5209999999999998E-2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hidden="1">
      <c r="A1500" t="str">
        <f t="shared" si="374"/>
        <v>Shagiakhmetov 1981</v>
      </c>
      <c r="H1500">
        <v>423.15</v>
      </c>
      <c r="I1500">
        <v>100</v>
      </c>
      <c r="J1500">
        <v>0</v>
      </c>
      <c r="L1500" s="3">
        <v>1.1599999999999999E-2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 hidden="1">
      <c r="A1501" t="str">
        <f t="shared" si="374"/>
        <v>Shagiakhmetov 1981</v>
      </c>
      <c r="H1501">
        <f>H1500</f>
        <v>423.15</v>
      </c>
      <c r="I1501">
        <v>200</v>
      </c>
      <c r="J1501">
        <v>0</v>
      </c>
      <c r="L1501" s="3">
        <v>2.0920000000000001E-2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 hidden="1">
      <c r="A1502" t="str">
        <f t="shared" si="374"/>
        <v>Shagiakhmetov 1981</v>
      </c>
      <c r="H1502">
        <f>H1501</f>
        <v>423.15</v>
      </c>
      <c r="I1502">
        <v>400</v>
      </c>
      <c r="J1502">
        <v>0</v>
      </c>
      <c r="L1502" s="3">
        <v>3.0370000000000001E-2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 hidden="1">
      <c r="A1503" t="str">
        <f t="shared" si="374"/>
        <v>Shagiakhmetov 1981</v>
      </c>
      <c r="H1503">
        <f>H1502</f>
        <v>423.15</v>
      </c>
      <c r="I1503">
        <v>600</v>
      </c>
      <c r="J1503">
        <v>0</v>
      </c>
      <c r="L1503" s="3">
        <v>4.2909999999999997E-2</v>
      </c>
      <c r="S1503">
        <f t="shared" ref="S1503:S1534" si="375">S1502</f>
        <v>1</v>
      </c>
      <c r="T1503">
        <f t="shared" ref="T1503:T1534" si="376">T1502</f>
        <v>0</v>
      </c>
      <c r="U1503">
        <f t="shared" ref="U1503:U1534" si="377">U1502</f>
        <v>0</v>
      </c>
      <c r="V1503">
        <f t="shared" ref="V1503:V1534" si="378">V1502</f>
        <v>0</v>
      </c>
      <c r="W1503">
        <f t="shared" ref="W1503:W1534" si="379">W1502</f>
        <v>0</v>
      </c>
      <c r="X1503">
        <f t="shared" ref="X1503:X1534" si="380">X1502</f>
        <v>0</v>
      </c>
      <c r="Y1503">
        <f t="shared" ref="Y1503:Y1534" si="381">Y1502</f>
        <v>0</v>
      </c>
    </row>
    <row r="1504" spans="1:25" hidden="1">
      <c r="A1504" t="str">
        <f t="shared" si="374"/>
        <v>Shagiakhmetov 1981</v>
      </c>
      <c r="H1504">
        <f>H1503</f>
        <v>423.15</v>
      </c>
      <c r="I1504">
        <v>800</v>
      </c>
      <c r="J1504">
        <v>0</v>
      </c>
      <c r="L1504" s="3">
        <v>5.8229999999999997E-2</v>
      </c>
      <c r="S1504">
        <f t="shared" si="375"/>
        <v>1</v>
      </c>
      <c r="T1504">
        <f t="shared" si="376"/>
        <v>0</v>
      </c>
      <c r="U1504">
        <f t="shared" si="377"/>
        <v>0</v>
      </c>
      <c r="V1504">
        <f t="shared" si="378"/>
        <v>0</v>
      </c>
      <c r="W1504">
        <f t="shared" si="379"/>
        <v>0</v>
      </c>
      <c r="X1504">
        <f t="shared" si="380"/>
        <v>0</v>
      </c>
      <c r="Y1504">
        <f t="shared" si="381"/>
        <v>0</v>
      </c>
    </row>
    <row r="1505" spans="1:25" hidden="1">
      <c r="A1505" t="s">
        <v>83</v>
      </c>
      <c r="E1505">
        <v>1.03</v>
      </c>
      <c r="H1505">
        <v>303.14999999999998</v>
      </c>
      <c r="I1505">
        <v>12.4</v>
      </c>
      <c r="J1505">
        <v>0.5</v>
      </c>
      <c r="N1505">
        <f t="shared" ref="N1505:N1543" si="382">E1505/10000</f>
        <v>1.03E-4</v>
      </c>
      <c r="S1505">
        <f t="shared" si="375"/>
        <v>1</v>
      </c>
      <c r="T1505">
        <f t="shared" si="376"/>
        <v>0</v>
      </c>
      <c r="U1505">
        <f t="shared" si="377"/>
        <v>0</v>
      </c>
      <c r="V1505">
        <f t="shared" si="378"/>
        <v>0</v>
      </c>
      <c r="W1505">
        <f t="shared" si="379"/>
        <v>0</v>
      </c>
      <c r="X1505">
        <f t="shared" si="380"/>
        <v>0</v>
      </c>
      <c r="Y1505">
        <f t="shared" si="381"/>
        <v>0</v>
      </c>
    </row>
    <row r="1506" spans="1:25" hidden="1">
      <c r="A1506" t="str">
        <f t="shared" ref="A1506:A1543" si="383">A1505</f>
        <v>Smith 1962</v>
      </c>
      <c r="E1506">
        <v>1.82</v>
      </c>
      <c r="H1506">
        <f t="shared" ref="H1506:H1543" si="384">H1505</f>
        <v>303.14999999999998</v>
      </c>
      <c r="I1506">
        <v>24.6</v>
      </c>
      <c r="J1506">
        <f>J1505</f>
        <v>0.5</v>
      </c>
      <c r="N1506">
        <f t="shared" si="382"/>
        <v>1.8200000000000001E-4</v>
      </c>
      <c r="S1506">
        <f t="shared" si="375"/>
        <v>1</v>
      </c>
      <c r="T1506">
        <f t="shared" si="376"/>
        <v>0</v>
      </c>
      <c r="U1506">
        <f t="shared" si="377"/>
        <v>0</v>
      </c>
      <c r="V1506">
        <f t="shared" si="378"/>
        <v>0</v>
      </c>
      <c r="W1506">
        <f t="shared" si="379"/>
        <v>0</v>
      </c>
      <c r="X1506">
        <f t="shared" si="380"/>
        <v>0</v>
      </c>
      <c r="Y1506">
        <f t="shared" si="381"/>
        <v>0</v>
      </c>
    </row>
    <row r="1507" spans="1:25" hidden="1">
      <c r="A1507" t="str">
        <f t="shared" si="383"/>
        <v>Smith 1962</v>
      </c>
      <c r="E1507">
        <v>2.86</v>
      </c>
      <c r="H1507">
        <f t="shared" si="384"/>
        <v>303.14999999999998</v>
      </c>
      <c r="I1507">
        <v>34.5</v>
      </c>
      <c r="J1507">
        <f>J1506</f>
        <v>0.5</v>
      </c>
      <c r="N1507">
        <f t="shared" si="382"/>
        <v>2.8600000000000001E-4</v>
      </c>
      <c r="S1507">
        <f t="shared" si="375"/>
        <v>1</v>
      </c>
      <c r="T1507">
        <f t="shared" si="376"/>
        <v>0</v>
      </c>
      <c r="U1507">
        <f t="shared" si="377"/>
        <v>0</v>
      </c>
      <c r="V1507">
        <f t="shared" si="378"/>
        <v>0</v>
      </c>
      <c r="W1507">
        <f t="shared" si="379"/>
        <v>0</v>
      </c>
      <c r="X1507">
        <f t="shared" si="380"/>
        <v>0</v>
      </c>
      <c r="Y1507">
        <f t="shared" si="381"/>
        <v>0</v>
      </c>
    </row>
    <row r="1508" spans="1:25" hidden="1">
      <c r="A1508" t="str">
        <f t="shared" si="383"/>
        <v>Smith 1962</v>
      </c>
      <c r="E1508">
        <v>3.84</v>
      </c>
      <c r="H1508">
        <f t="shared" si="384"/>
        <v>303.14999999999998</v>
      </c>
      <c r="I1508">
        <v>45.8</v>
      </c>
      <c r="J1508">
        <f>J1507</f>
        <v>0.5</v>
      </c>
      <c r="N1508">
        <f t="shared" si="382"/>
        <v>3.8400000000000001E-4</v>
      </c>
      <c r="S1508">
        <f t="shared" si="375"/>
        <v>1</v>
      </c>
      <c r="T1508">
        <f t="shared" si="376"/>
        <v>0</v>
      </c>
      <c r="U1508">
        <f t="shared" si="377"/>
        <v>0</v>
      </c>
      <c r="V1508">
        <f t="shared" si="378"/>
        <v>0</v>
      </c>
      <c r="W1508">
        <f t="shared" si="379"/>
        <v>0</v>
      </c>
      <c r="X1508">
        <f t="shared" si="380"/>
        <v>0</v>
      </c>
      <c r="Y1508">
        <f t="shared" si="381"/>
        <v>0</v>
      </c>
    </row>
    <row r="1509" spans="1:25" hidden="1">
      <c r="A1509" t="str">
        <f t="shared" si="383"/>
        <v>Smith 1962</v>
      </c>
      <c r="E1509">
        <v>4.7300000000000004</v>
      </c>
      <c r="H1509">
        <f t="shared" si="384"/>
        <v>303.14999999999998</v>
      </c>
      <c r="I1509">
        <v>54.1</v>
      </c>
      <c r="J1509">
        <f>J1508</f>
        <v>0.5</v>
      </c>
      <c r="N1509">
        <f t="shared" si="382"/>
        <v>4.7300000000000006E-4</v>
      </c>
      <c r="S1509">
        <f t="shared" si="375"/>
        <v>1</v>
      </c>
      <c r="T1509">
        <f t="shared" si="376"/>
        <v>0</v>
      </c>
      <c r="U1509">
        <f t="shared" si="377"/>
        <v>0</v>
      </c>
      <c r="V1509">
        <f t="shared" si="378"/>
        <v>0</v>
      </c>
      <c r="W1509">
        <f t="shared" si="379"/>
        <v>0</v>
      </c>
      <c r="X1509">
        <f t="shared" si="380"/>
        <v>0</v>
      </c>
      <c r="Y1509">
        <f t="shared" si="381"/>
        <v>0</v>
      </c>
    </row>
    <row r="1510" spans="1:25" hidden="1">
      <c r="A1510" t="str">
        <f t="shared" si="383"/>
        <v>Smith 1962</v>
      </c>
      <c r="E1510">
        <v>5.68</v>
      </c>
      <c r="H1510">
        <f t="shared" si="384"/>
        <v>303.14999999999998</v>
      </c>
      <c r="I1510">
        <v>60.5</v>
      </c>
      <c r="J1510">
        <f>J1509</f>
        <v>0.5</v>
      </c>
      <c r="N1510">
        <f t="shared" si="382"/>
        <v>5.6799999999999993E-4</v>
      </c>
      <c r="S1510">
        <f t="shared" si="375"/>
        <v>1</v>
      </c>
      <c r="T1510">
        <f t="shared" si="376"/>
        <v>0</v>
      </c>
      <c r="U1510">
        <f t="shared" si="377"/>
        <v>0</v>
      </c>
      <c r="V1510">
        <f t="shared" si="378"/>
        <v>0</v>
      </c>
      <c r="W1510">
        <f t="shared" si="379"/>
        <v>0</v>
      </c>
      <c r="X1510">
        <f t="shared" si="380"/>
        <v>0</v>
      </c>
      <c r="Y1510">
        <f t="shared" si="381"/>
        <v>0</v>
      </c>
    </row>
    <row r="1511" spans="1:25" hidden="1">
      <c r="A1511" t="str">
        <f t="shared" si="383"/>
        <v>Smith 1962</v>
      </c>
      <c r="E1511">
        <v>0.56000000000000005</v>
      </c>
      <c r="H1511">
        <f t="shared" si="384"/>
        <v>303.14999999999998</v>
      </c>
      <c r="I1511">
        <v>14.8</v>
      </c>
      <c r="J1511">
        <v>1.75</v>
      </c>
      <c r="N1511">
        <f t="shared" si="382"/>
        <v>5.6000000000000006E-5</v>
      </c>
      <c r="S1511">
        <f t="shared" si="375"/>
        <v>1</v>
      </c>
      <c r="T1511">
        <f t="shared" si="376"/>
        <v>0</v>
      </c>
      <c r="U1511">
        <f t="shared" si="377"/>
        <v>0</v>
      </c>
      <c r="V1511">
        <f t="shared" si="378"/>
        <v>0</v>
      </c>
      <c r="W1511">
        <f t="shared" si="379"/>
        <v>0</v>
      </c>
      <c r="X1511">
        <f t="shared" si="380"/>
        <v>0</v>
      </c>
      <c r="Y1511">
        <f t="shared" si="381"/>
        <v>0</v>
      </c>
    </row>
    <row r="1512" spans="1:25" hidden="1">
      <c r="A1512" t="str">
        <f t="shared" si="383"/>
        <v>Smith 1962</v>
      </c>
      <c r="E1512">
        <v>1.46</v>
      </c>
      <c r="H1512">
        <f t="shared" si="384"/>
        <v>303.14999999999998</v>
      </c>
      <c r="I1512">
        <v>26.9</v>
      </c>
      <c r="J1512">
        <f>J1511</f>
        <v>1.75</v>
      </c>
      <c r="N1512">
        <f t="shared" si="382"/>
        <v>1.46E-4</v>
      </c>
      <c r="S1512">
        <f t="shared" si="375"/>
        <v>1</v>
      </c>
      <c r="T1512">
        <f t="shared" si="376"/>
        <v>0</v>
      </c>
      <c r="U1512">
        <f t="shared" si="377"/>
        <v>0</v>
      </c>
      <c r="V1512">
        <f t="shared" si="378"/>
        <v>0</v>
      </c>
      <c r="W1512">
        <f t="shared" si="379"/>
        <v>0</v>
      </c>
      <c r="X1512">
        <f t="shared" si="380"/>
        <v>0</v>
      </c>
      <c r="Y1512">
        <f t="shared" si="381"/>
        <v>0</v>
      </c>
    </row>
    <row r="1513" spans="1:25" hidden="1">
      <c r="A1513" t="str">
        <f t="shared" si="383"/>
        <v>Smith 1962</v>
      </c>
      <c r="E1513">
        <v>2.13</v>
      </c>
      <c r="H1513">
        <f t="shared" si="384"/>
        <v>303.14999999999998</v>
      </c>
      <c r="I1513">
        <v>38.299999999999997</v>
      </c>
      <c r="J1513">
        <f>J1512</f>
        <v>1.75</v>
      </c>
      <c r="N1513">
        <f t="shared" si="382"/>
        <v>2.13E-4</v>
      </c>
      <c r="S1513">
        <f t="shared" si="375"/>
        <v>1</v>
      </c>
      <c r="T1513">
        <f t="shared" si="376"/>
        <v>0</v>
      </c>
      <c r="U1513">
        <f t="shared" si="377"/>
        <v>0</v>
      </c>
      <c r="V1513">
        <f t="shared" si="378"/>
        <v>0</v>
      </c>
      <c r="W1513">
        <f t="shared" si="379"/>
        <v>0</v>
      </c>
      <c r="X1513">
        <f t="shared" si="380"/>
        <v>0</v>
      </c>
      <c r="Y1513">
        <f t="shared" si="381"/>
        <v>0</v>
      </c>
    </row>
    <row r="1514" spans="1:25" hidden="1">
      <c r="A1514" t="str">
        <f t="shared" si="383"/>
        <v>Smith 1962</v>
      </c>
      <c r="E1514">
        <v>2.44</v>
      </c>
      <c r="H1514">
        <f t="shared" si="384"/>
        <v>303.14999999999998</v>
      </c>
      <c r="I1514">
        <v>48.3</v>
      </c>
      <c r="J1514">
        <f>J1513</f>
        <v>1.75</v>
      </c>
      <c r="N1514">
        <f t="shared" si="382"/>
        <v>2.4399999999999999E-4</v>
      </c>
      <c r="S1514">
        <f t="shared" si="375"/>
        <v>1</v>
      </c>
      <c r="T1514">
        <f t="shared" si="376"/>
        <v>0</v>
      </c>
      <c r="U1514">
        <f t="shared" si="377"/>
        <v>0</v>
      </c>
      <c r="V1514">
        <f t="shared" si="378"/>
        <v>0</v>
      </c>
      <c r="W1514">
        <f t="shared" si="379"/>
        <v>0</v>
      </c>
      <c r="X1514">
        <f t="shared" si="380"/>
        <v>0</v>
      </c>
      <c r="Y1514">
        <f t="shared" si="381"/>
        <v>0</v>
      </c>
    </row>
    <row r="1515" spans="1:25" hidden="1">
      <c r="A1515" t="str">
        <f t="shared" si="383"/>
        <v>Smith 1962</v>
      </c>
      <c r="E1515">
        <v>3.1</v>
      </c>
      <c r="H1515">
        <f t="shared" si="384"/>
        <v>303.14999999999998</v>
      </c>
      <c r="I1515">
        <v>55.8</v>
      </c>
      <c r="J1515">
        <f>J1514</f>
        <v>1.75</v>
      </c>
      <c r="N1515">
        <f t="shared" si="382"/>
        <v>3.1E-4</v>
      </c>
      <c r="S1515">
        <f t="shared" si="375"/>
        <v>1</v>
      </c>
      <c r="T1515">
        <f t="shared" si="376"/>
        <v>0</v>
      </c>
      <c r="U1515">
        <f t="shared" si="377"/>
        <v>0</v>
      </c>
      <c r="V1515">
        <f t="shared" si="378"/>
        <v>0</v>
      </c>
      <c r="W1515">
        <f t="shared" si="379"/>
        <v>0</v>
      </c>
      <c r="X1515">
        <f t="shared" si="380"/>
        <v>0</v>
      </c>
      <c r="Y1515">
        <f t="shared" si="381"/>
        <v>0</v>
      </c>
    </row>
    <row r="1516" spans="1:25" hidden="1">
      <c r="A1516" t="str">
        <f t="shared" si="383"/>
        <v>Smith 1962</v>
      </c>
      <c r="E1516">
        <v>3.62</v>
      </c>
      <c r="H1516">
        <f t="shared" si="384"/>
        <v>303.14999999999998</v>
      </c>
      <c r="I1516">
        <v>64.7</v>
      </c>
      <c r="J1516">
        <f>J1515</f>
        <v>1.75</v>
      </c>
      <c r="N1516">
        <f t="shared" si="382"/>
        <v>3.6200000000000002E-4</v>
      </c>
      <c r="S1516">
        <f t="shared" si="375"/>
        <v>1</v>
      </c>
      <c r="T1516">
        <f t="shared" si="376"/>
        <v>0</v>
      </c>
      <c r="U1516">
        <f t="shared" si="377"/>
        <v>0</v>
      </c>
      <c r="V1516">
        <f t="shared" si="378"/>
        <v>0</v>
      </c>
      <c r="W1516">
        <f t="shared" si="379"/>
        <v>0</v>
      </c>
      <c r="X1516">
        <f t="shared" si="380"/>
        <v>0</v>
      </c>
      <c r="Y1516">
        <f t="shared" si="381"/>
        <v>0</v>
      </c>
    </row>
    <row r="1517" spans="1:25" hidden="1">
      <c r="A1517" t="str">
        <f t="shared" si="383"/>
        <v>Smith 1962</v>
      </c>
      <c r="E1517">
        <v>0.38</v>
      </c>
      <c r="H1517">
        <f t="shared" si="384"/>
        <v>303.14999999999998</v>
      </c>
      <c r="I1517">
        <v>16.2</v>
      </c>
      <c r="J1517">
        <v>3.5</v>
      </c>
      <c r="N1517">
        <f t="shared" si="382"/>
        <v>3.8000000000000002E-5</v>
      </c>
      <c r="S1517">
        <f t="shared" si="375"/>
        <v>1</v>
      </c>
      <c r="T1517">
        <f t="shared" si="376"/>
        <v>0</v>
      </c>
      <c r="U1517">
        <f t="shared" si="377"/>
        <v>0</v>
      </c>
      <c r="V1517">
        <f t="shared" si="378"/>
        <v>0</v>
      </c>
      <c r="W1517">
        <f t="shared" si="379"/>
        <v>0</v>
      </c>
      <c r="X1517">
        <f t="shared" si="380"/>
        <v>0</v>
      </c>
      <c r="Y1517">
        <f t="shared" si="381"/>
        <v>0</v>
      </c>
    </row>
    <row r="1518" spans="1:25" hidden="1">
      <c r="A1518" t="str">
        <f t="shared" si="383"/>
        <v>Smith 1962</v>
      </c>
      <c r="E1518">
        <v>0.93</v>
      </c>
      <c r="H1518">
        <f t="shared" si="384"/>
        <v>303.14999999999998</v>
      </c>
      <c r="I1518">
        <v>29.9</v>
      </c>
      <c r="J1518">
        <f>J1517</f>
        <v>3.5</v>
      </c>
      <c r="N1518">
        <f t="shared" si="382"/>
        <v>9.3000000000000011E-5</v>
      </c>
      <c r="S1518">
        <f t="shared" si="375"/>
        <v>1</v>
      </c>
      <c r="T1518">
        <f t="shared" si="376"/>
        <v>0</v>
      </c>
      <c r="U1518">
        <f t="shared" si="377"/>
        <v>0</v>
      </c>
      <c r="V1518">
        <f t="shared" si="378"/>
        <v>0</v>
      </c>
      <c r="W1518">
        <f t="shared" si="379"/>
        <v>0</v>
      </c>
      <c r="X1518">
        <f t="shared" si="380"/>
        <v>0</v>
      </c>
      <c r="Y1518">
        <f t="shared" si="381"/>
        <v>0</v>
      </c>
    </row>
    <row r="1519" spans="1:25" hidden="1">
      <c r="A1519" t="str">
        <f t="shared" si="383"/>
        <v>Smith 1962</v>
      </c>
      <c r="E1519">
        <v>1.37</v>
      </c>
      <c r="H1519">
        <f t="shared" si="384"/>
        <v>303.14999999999998</v>
      </c>
      <c r="I1519">
        <v>44.3</v>
      </c>
      <c r="J1519">
        <f>J1518</f>
        <v>3.5</v>
      </c>
      <c r="N1519">
        <f t="shared" si="382"/>
        <v>1.3700000000000002E-4</v>
      </c>
      <c r="S1519">
        <f t="shared" si="375"/>
        <v>1</v>
      </c>
      <c r="T1519">
        <f t="shared" si="376"/>
        <v>0</v>
      </c>
      <c r="U1519">
        <f t="shared" si="377"/>
        <v>0</v>
      </c>
      <c r="V1519">
        <f t="shared" si="378"/>
        <v>0</v>
      </c>
      <c r="W1519">
        <f t="shared" si="379"/>
        <v>0</v>
      </c>
      <c r="X1519">
        <f t="shared" si="380"/>
        <v>0</v>
      </c>
      <c r="Y1519">
        <f t="shared" si="381"/>
        <v>0</v>
      </c>
    </row>
    <row r="1520" spans="1:25" hidden="1">
      <c r="A1520" t="str">
        <f t="shared" si="383"/>
        <v>Smith 1962</v>
      </c>
      <c r="E1520">
        <v>1.78</v>
      </c>
      <c r="H1520">
        <f t="shared" si="384"/>
        <v>303.14999999999998</v>
      </c>
      <c r="I1520">
        <v>58.8</v>
      </c>
      <c r="J1520">
        <f>J1519</f>
        <v>3.5</v>
      </c>
      <c r="N1520">
        <f t="shared" si="382"/>
        <v>1.7799999999999999E-4</v>
      </c>
      <c r="S1520">
        <f t="shared" si="375"/>
        <v>1</v>
      </c>
      <c r="T1520">
        <f t="shared" si="376"/>
        <v>0</v>
      </c>
      <c r="U1520">
        <f t="shared" si="377"/>
        <v>0</v>
      </c>
      <c r="V1520">
        <f t="shared" si="378"/>
        <v>0</v>
      </c>
      <c r="W1520">
        <f t="shared" si="379"/>
        <v>0</v>
      </c>
      <c r="X1520">
        <f t="shared" si="380"/>
        <v>0</v>
      </c>
      <c r="Y1520">
        <f t="shared" si="381"/>
        <v>0</v>
      </c>
    </row>
    <row r="1521" spans="1:25" hidden="1">
      <c r="A1521" t="str">
        <f t="shared" si="383"/>
        <v>Smith 1962</v>
      </c>
      <c r="E1521">
        <v>2.38</v>
      </c>
      <c r="H1521">
        <f t="shared" si="384"/>
        <v>303.14999999999998</v>
      </c>
      <c r="I1521">
        <v>66.400000000000006</v>
      </c>
      <c r="J1521">
        <f>J1520</f>
        <v>3.5</v>
      </c>
      <c r="N1521">
        <f t="shared" si="382"/>
        <v>2.3799999999999998E-4</v>
      </c>
      <c r="S1521">
        <f t="shared" si="375"/>
        <v>1</v>
      </c>
      <c r="T1521">
        <f t="shared" si="376"/>
        <v>0</v>
      </c>
      <c r="U1521">
        <f t="shared" si="377"/>
        <v>0</v>
      </c>
      <c r="V1521">
        <f t="shared" si="378"/>
        <v>0</v>
      </c>
      <c r="W1521">
        <f t="shared" si="379"/>
        <v>0</v>
      </c>
      <c r="X1521">
        <f t="shared" si="380"/>
        <v>0</v>
      </c>
      <c r="Y1521">
        <f t="shared" si="381"/>
        <v>0</v>
      </c>
    </row>
    <row r="1522" spans="1:25" hidden="1">
      <c r="A1522" t="str">
        <f t="shared" si="383"/>
        <v>Smith 1962</v>
      </c>
      <c r="E1522">
        <v>2.64</v>
      </c>
      <c r="H1522">
        <f t="shared" si="384"/>
        <v>303.14999999999998</v>
      </c>
      <c r="I1522">
        <v>76</v>
      </c>
      <c r="J1522">
        <f>J1521</f>
        <v>3.5</v>
      </c>
      <c r="N1522">
        <f t="shared" si="382"/>
        <v>2.6400000000000002E-4</v>
      </c>
      <c r="S1522">
        <f t="shared" si="375"/>
        <v>1</v>
      </c>
      <c r="T1522">
        <f t="shared" si="376"/>
        <v>0</v>
      </c>
      <c r="U1522">
        <f t="shared" si="377"/>
        <v>0</v>
      </c>
      <c r="V1522">
        <f t="shared" si="378"/>
        <v>0</v>
      </c>
      <c r="W1522">
        <f t="shared" si="379"/>
        <v>0</v>
      </c>
      <c r="X1522">
        <f t="shared" si="380"/>
        <v>0</v>
      </c>
      <c r="Y1522">
        <f t="shared" si="381"/>
        <v>0</v>
      </c>
    </row>
    <row r="1523" spans="1:25" hidden="1">
      <c r="A1523" t="str">
        <f t="shared" si="383"/>
        <v>Smith 1962</v>
      </c>
      <c r="E1523">
        <v>0.32</v>
      </c>
      <c r="H1523">
        <f t="shared" si="384"/>
        <v>303.14999999999998</v>
      </c>
      <c r="I1523">
        <v>26.2</v>
      </c>
      <c r="J1523">
        <v>5.6</v>
      </c>
      <c r="N1523">
        <f t="shared" si="382"/>
        <v>3.1999999999999999E-5</v>
      </c>
      <c r="S1523">
        <f t="shared" si="375"/>
        <v>1</v>
      </c>
      <c r="T1523">
        <f t="shared" si="376"/>
        <v>0</v>
      </c>
      <c r="U1523">
        <f t="shared" si="377"/>
        <v>0</v>
      </c>
      <c r="V1523">
        <f t="shared" si="378"/>
        <v>0</v>
      </c>
      <c r="W1523">
        <f t="shared" si="379"/>
        <v>0</v>
      </c>
      <c r="X1523">
        <f t="shared" si="380"/>
        <v>0</v>
      </c>
      <c r="Y1523">
        <f t="shared" si="381"/>
        <v>0</v>
      </c>
    </row>
    <row r="1524" spans="1:25" hidden="1">
      <c r="A1524" t="str">
        <f t="shared" si="383"/>
        <v>Smith 1962</v>
      </c>
      <c r="E1524">
        <v>0.52</v>
      </c>
      <c r="H1524">
        <f t="shared" si="384"/>
        <v>303.14999999999998</v>
      </c>
      <c r="I1524">
        <v>34.1</v>
      </c>
      <c r="J1524">
        <f>J1523</f>
        <v>5.6</v>
      </c>
      <c r="N1524">
        <f t="shared" si="382"/>
        <v>5.2000000000000004E-5</v>
      </c>
      <c r="S1524">
        <f t="shared" si="375"/>
        <v>1</v>
      </c>
      <c r="T1524">
        <f t="shared" si="376"/>
        <v>0</v>
      </c>
      <c r="U1524">
        <f t="shared" si="377"/>
        <v>0</v>
      </c>
      <c r="V1524">
        <f t="shared" si="378"/>
        <v>0</v>
      </c>
      <c r="W1524">
        <f t="shared" si="379"/>
        <v>0</v>
      </c>
      <c r="X1524">
        <f t="shared" si="380"/>
        <v>0</v>
      </c>
      <c r="Y1524">
        <f t="shared" si="381"/>
        <v>0</v>
      </c>
    </row>
    <row r="1525" spans="1:25" hidden="1">
      <c r="A1525" t="str">
        <f t="shared" si="383"/>
        <v>Smith 1962</v>
      </c>
      <c r="E1525">
        <v>0.9</v>
      </c>
      <c r="H1525">
        <f t="shared" si="384"/>
        <v>303.14999999999998</v>
      </c>
      <c r="I1525">
        <v>54</v>
      </c>
      <c r="J1525">
        <f>J1524</f>
        <v>5.6</v>
      </c>
      <c r="N1525">
        <f t="shared" si="382"/>
        <v>9.0000000000000006E-5</v>
      </c>
      <c r="S1525">
        <f t="shared" si="375"/>
        <v>1</v>
      </c>
      <c r="T1525">
        <f t="shared" si="376"/>
        <v>0</v>
      </c>
      <c r="U1525">
        <f t="shared" si="377"/>
        <v>0</v>
      </c>
      <c r="V1525">
        <f t="shared" si="378"/>
        <v>0</v>
      </c>
      <c r="W1525">
        <f t="shared" si="379"/>
        <v>0</v>
      </c>
      <c r="X1525">
        <f t="shared" si="380"/>
        <v>0</v>
      </c>
      <c r="Y1525">
        <f t="shared" si="381"/>
        <v>0</v>
      </c>
    </row>
    <row r="1526" spans="1:25" hidden="1">
      <c r="A1526" t="str">
        <f t="shared" si="383"/>
        <v>Smith 1962</v>
      </c>
      <c r="E1526">
        <v>1.83</v>
      </c>
      <c r="H1526">
        <f t="shared" si="384"/>
        <v>303.14999999999998</v>
      </c>
      <c r="I1526">
        <v>72.599999999999994</v>
      </c>
      <c r="J1526">
        <f>J1525</f>
        <v>5.6</v>
      </c>
      <c r="N1526">
        <f t="shared" si="382"/>
        <v>1.83E-4</v>
      </c>
      <c r="S1526">
        <f t="shared" si="375"/>
        <v>1</v>
      </c>
      <c r="T1526">
        <f t="shared" si="376"/>
        <v>0</v>
      </c>
      <c r="U1526">
        <f t="shared" si="377"/>
        <v>0</v>
      </c>
      <c r="V1526">
        <f t="shared" si="378"/>
        <v>0</v>
      </c>
      <c r="W1526">
        <f t="shared" si="379"/>
        <v>0</v>
      </c>
      <c r="X1526">
        <f t="shared" si="380"/>
        <v>0</v>
      </c>
      <c r="Y1526">
        <f t="shared" si="381"/>
        <v>0</v>
      </c>
    </row>
    <row r="1527" spans="1:25" hidden="1">
      <c r="A1527" t="str">
        <f t="shared" si="383"/>
        <v>Smith 1962</v>
      </c>
      <c r="E1527">
        <v>0.94</v>
      </c>
      <c r="H1527">
        <f t="shared" si="384"/>
        <v>303.14999999999998</v>
      </c>
      <c r="I1527">
        <v>12.4</v>
      </c>
      <c r="J1527">
        <v>1</v>
      </c>
      <c r="N1527">
        <f t="shared" si="382"/>
        <v>9.3999999999999994E-5</v>
      </c>
      <c r="S1527">
        <f t="shared" si="375"/>
        <v>1</v>
      </c>
      <c r="T1527">
        <f t="shared" si="376"/>
        <v>0</v>
      </c>
      <c r="U1527">
        <f t="shared" si="377"/>
        <v>0</v>
      </c>
      <c r="V1527">
        <f t="shared" si="378"/>
        <v>0</v>
      </c>
      <c r="W1527">
        <f t="shared" si="379"/>
        <v>0</v>
      </c>
      <c r="X1527">
        <f t="shared" si="380"/>
        <v>0</v>
      </c>
      <c r="Y1527">
        <f t="shared" si="381"/>
        <v>0</v>
      </c>
    </row>
    <row r="1528" spans="1:25" hidden="1">
      <c r="A1528" t="str">
        <f t="shared" si="383"/>
        <v>Smith 1962</v>
      </c>
      <c r="E1528">
        <v>1.74</v>
      </c>
      <c r="H1528">
        <f t="shared" si="384"/>
        <v>303.14999999999998</v>
      </c>
      <c r="I1528">
        <v>23.8</v>
      </c>
      <c r="J1528">
        <f>J1527</f>
        <v>1</v>
      </c>
      <c r="N1528">
        <f t="shared" si="382"/>
        <v>1.74E-4</v>
      </c>
      <c r="S1528">
        <f t="shared" si="375"/>
        <v>1</v>
      </c>
      <c r="T1528">
        <f t="shared" si="376"/>
        <v>0</v>
      </c>
      <c r="U1528">
        <f t="shared" si="377"/>
        <v>0</v>
      </c>
      <c r="V1528">
        <f t="shared" si="378"/>
        <v>0</v>
      </c>
      <c r="W1528">
        <f t="shared" si="379"/>
        <v>0</v>
      </c>
      <c r="X1528">
        <f t="shared" si="380"/>
        <v>0</v>
      </c>
      <c r="Y1528">
        <f t="shared" si="381"/>
        <v>0</v>
      </c>
    </row>
    <row r="1529" spans="1:25" hidden="1">
      <c r="A1529" t="str">
        <f t="shared" si="383"/>
        <v>Smith 1962</v>
      </c>
      <c r="E1529">
        <v>2.56</v>
      </c>
      <c r="H1529">
        <f t="shared" si="384"/>
        <v>303.14999999999998</v>
      </c>
      <c r="I1529">
        <v>35.200000000000003</v>
      </c>
      <c r="J1529">
        <f>J1528</f>
        <v>1</v>
      </c>
      <c r="N1529">
        <f t="shared" si="382"/>
        <v>2.5599999999999999E-4</v>
      </c>
      <c r="S1529">
        <f t="shared" si="375"/>
        <v>1</v>
      </c>
      <c r="T1529">
        <f t="shared" si="376"/>
        <v>0</v>
      </c>
      <c r="U1529">
        <f t="shared" si="377"/>
        <v>0</v>
      </c>
      <c r="V1529">
        <f t="shared" si="378"/>
        <v>0</v>
      </c>
      <c r="W1529">
        <f t="shared" si="379"/>
        <v>0</v>
      </c>
      <c r="X1529">
        <f t="shared" si="380"/>
        <v>0</v>
      </c>
      <c r="Y1529">
        <f t="shared" si="381"/>
        <v>0</v>
      </c>
    </row>
    <row r="1530" spans="1:25" hidden="1">
      <c r="A1530" t="str">
        <f t="shared" si="383"/>
        <v>Smith 1962</v>
      </c>
      <c r="E1530">
        <v>3.7</v>
      </c>
      <c r="H1530">
        <f t="shared" si="384"/>
        <v>303.14999999999998</v>
      </c>
      <c r="I1530">
        <v>45.9</v>
      </c>
      <c r="J1530">
        <f>J1529</f>
        <v>1</v>
      </c>
      <c r="N1530">
        <f t="shared" si="382"/>
        <v>3.6999999999999999E-4</v>
      </c>
      <c r="S1530">
        <f t="shared" si="375"/>
        <v>1</v>
      </c>
      <c r="T1530">
        <f t="shared" si="376"/>
        <v>0</v>
      </c>
      <c r="U1530">
        <f t="shared" si="377"/>
        <v>0</v>
      </c>
      <c r="V1530">
        <f t="shared" si="378"/>
        <v>0</v>
      </c>
      <c r="W1530">
        <f t="shared" si="379"/>
        <v>0</v>
      </c>
      <c r="X1530">
        <f t="shared" si="380"/>
        <v>0</v>
      </c>
      <c r="Y1530">
        <f t="shared" si="381"/>
        <v>0</v>
      </c>
    </row>
    <row r="1531" spans="1:25" hidden="1">
      <c r="A1531" t="str">
        <f t="shared" si="383"/>
        <v>Smith 1962</v>
      </c>
      <c r="E1531">
        <v>4.68</v>
      </c>
      <c r="H1531">
        <f t="shared" si="384"/>
        <v>303.14999999999998</v>
      </c>
      <c r="I1531">
        <v>55</v>
      </c>
      <c r="J1531">
        <f>J1530</f>
        <v>1</v>
      </c>
      <c r="N1531">
        <f t="shared" si="382"/>
        <v>4.6799999999999999E-4</v>
      </c>
      <c r="S1531">
        <f t="shared" si="375"/>
        <v>1</v>
      </c>
      <c r="T1531">
        <f t="shared" si="376"/>
        <v>0</v>
      </c>
      <c r="U1531">
        <f t="shared" si="377"/>
        <v>0</v>
      </c>
      <c r="V1531">
        <f t="shared" si="378"/>
        <v>0</v>
      </c>
      <c r="W1531">
        <f t="shared" si="379"/>
        <v>0</v>
      </c>
      <c r="X1531">
        <f t="shared" si="380"/>
        <v>0</v>
      </c>
      <c r="Y1531">
        <f t="shared" si="381"/>
        <v>0</v>
      </c>
    </row>
    <row r="1532" spans="1:25" hidden="1">
      <c r="A1532" t="str">
        <f t="shared" si="383"/>
        <v>Smith 1962</v>
      </c>
      <c r="E1532">
        <v>5.5</v>
      </c>
      <c r="H1532">
        <f t="shared" si="384"/>
        <v>303.14999999999998</v>
      </c>
      <c r="I1532">
        <v>65.2</v>
      </c>
      <c r="J1532">
        <f>J1531</f>
        <v>1</v>
      </c>
      <c r="N1532">
        <f t="shared" si="382"/>
        <v>5.5000000000000003E-4</v>
      </c>
      <c r="S1532">
        <f t="shared" si="375"/>
        <v>1</v>
      </c>
      <c r="T1532">
        <f t="shared" si="376"/>
        <v>0</v>
      </c>
      <c r="U1532">
        <f t="shared" si="377"/>
        <v>0</v>
      </c>
      <c r="V1532">
        <f t="shared" si="378"/>
        <v>0</v>
      </c>
      <c r="W1532">
        <f t="shared" si="379"/>
        <v>0</v>
      </c>
      <c r="X1532">
        <f t="shared" si="380"/>
        <v>0</v>
      </c>
      <c r="Y1532">
        <f t="shared" si="381"/>
        <v>0</v>
      </c>
    </row>
    <row r="1533" spans="1:25" hidden="1">
      <c r="A1533" t="str">
        <f t="shared" si="383"/>
        <v>Smith 1962</v>
      </c>
      <c r="E1533">
        <v>0.56999999999999995</v>
      </c>
      <c r="H1533">
        <f t="shared" si="384"/>
        <v>303.14999999999998</v>
      </c>
      <c r="I1533">
        <v>14.1</v>
      </c>
      <c r="J1533">
        <v>2.7</v>
      </c>
      <c r="N1533">
        <f t="shared" si="382"/>
        <v>5.6999999999999996E-5</v>
      </c>
      <c r="S1533">
        <f t="shared" si="375"/>
        <v>1</v>
      </c>
      <c r="T1533">
        <f t="shared" si="376"/>
        <v>0</v>
      </c>
      <c r="U1533">
        <f t="shared" si="377"/>
        <v>0</v>
      </c>
      <c r="V1533">
        <f t="shared" si="378"/>
        <v>0</v>
      </c>
      <c r="W1533">
        <f t="shared" si="379"/>
        <v>0</v>
      </c>
      <c r="X1533">
        <f t="shared" si="380"/>
        <v>0</v>
      </c>
      <c r="Y1533">
        <f t="shared" si="381"/>
        <v>0</v>
      </c>
    </row>
    <row r="1534" spans="1:25" hidden="1">
      <c r="A1534" t="str">
        <f t="shared" si="383"/>
        <v>Smith 1962</v>
      </c>
      <c r="E1534">
        <v>1.29</v>
      </c>
      <c r="H1534">
        <f t="shared" si="384"/>
        <v>303.14999999999998</v>
      </c>
      <c r="I1534">
        <v>27.2</v>
      </c>
      <c r="J1534">
        <f>J1533</f>
        <v>2.7</v>
      </c>
      <c r="N1534">
        <f t="shared" si="382"/>
        <v>1.2899999999999999E-4</v>
      </c>
      <c r="S1534">
        <f t="shared" si="375"/>
        <v>1</v>
      </c>
      <c r="T1534">
        <f t="shared" si="376"/>
        <v>0</v>
      </c>
      <c r="U1534">
        <f t="shared" si="377"/>
        <v>0</v>
      </c>
      <c r="V1534">
        <f t="shared" si="378"/>
        <v>0</v>
      </c>
      <c r="W1534">
        <f t="shared" si="379"/>
        <v>0</v>
      </c>
      <c r="X1534">
        <f t="shared" si="380"/>
        <v>0</v>
      </c>
      <c r="Y1534">
        <f t="shared" si="381"/>
        <v>0</v>
      </c>
    </row>
    <row r="1535" spans="1:25" hidden="1">
      <c r="A1535" t="str">
        <f t="shared" si="383"/>
        <v>Smith 1962</v>
      </c>
      <c r="E1535">
        <v>2.02</v>
      </c>
      <c r="H1535">
        <f t="shared" si="384"/>
        <v>303.14999999999998</v>
      </c>
      <c r="I1535">
        <v>38.299999999999997</v>
      </c>
      <c r="J1535">
        <f>J1534</f>
        <v>2.7</v>
      </c>
      <c r="N1535">
        <f t="shared" si="382"/>
        <v>2.02E-4</v>
      </c>
      <c r="S1535">
        <f t="shared" ref="S1535:S1566" si="385">S1534</f>
        <v>1</v>
      </c>
      <c r="T1535">
        <f t="shared" ref="T1535:T1566" si="386">T1534</f>
        <v>0</v>
      </c>
      <c r="U1535">
        <f t="shared" ref="U1535:U1566" si="387">U1534</f>
        <v>0</v>
      </c>
      <c r="V1535">
        <f t="shared" ref="V1535:V1566" si="388">V1534</f>
        <v>0</v>
      </c>
      <c r="W1535">
        <f t="shared" ref="W1535:W1566" si="389">W1534</f>
        <v>0</v>
      </c>
      <c r="X1535">
        <f t="shared" ref="X1535:X1566" si="390">X1534</f>
        <v>0</v>
      </c>
      <c r="Y1535">
        <f t="shared" ref="Y1535:Y1566" si="391">Y1534</f>
        <v>0</v>
      </c>
    </row>
    <row r="1536" spans="1:25" hidden="1">
      <c r="A1536" t="str">
        <f t="shared" si="383"/>
        <v>Smith 1962</v>
      </c>
      <c r="E1536">
        <v>2.81</v>
      </c>
      <c r="H1536">
        <f t="shared" si="384"/>
        <v>303.14999999999998</v>
      </c>
      <c r="I1536">
        <v>51.7</v>
      </c>
      <c r="J1536">
        <f>J1535</f>
        <v>2.7</v>
      </c>
      <c r="N1536">
        <f t="shared" si="382"/>
        <v>2.81E-4</v>
      </c>
      <c r="S1536">
        <f t="shared" si="385"/>
        <v>1</v>
      </c>
      <c r="T1536">
        <f t="shared" si="386"/>
        <v>0</v>
      </c>
      <c r="U1536">
        <f t="shared" si="387"/>
        <v>0</v>
      </c>
      <c r="V1536">
        <f t="shared" si="388"/>
        <v>0</v>
      </c>
      <c r="W1536">
        <f t="shared" si="389"/>
        <v>0</v>
      </c>
      <c r="X1536">
        <f t="shared" si="390"/>
        <v>0</v>
      </c>
      <c r="Y1536">
        <f t="shared" si="391"/>
        <v>0</v>
      </c>
    </row>
    <row r="1537" spans="1:25" hidden="1">
      <c r="A1537" t="str">
        <f t="shared" si="383"/>
        <v>Smith 1962</v>
      </c>
      <c r="E1537">
        <v>3.46</v>
      </c>
      <c r="H1537">
        <f t="shared" si="384"/>
        <v>303.14999999999998</v>
      </c>
      <c r="I1537">
        <v>61.4</v>
      </c>
      <c r="J1537">
        <f>J1536</f>
        <v>2.7</v>
      </c>
      <c r="N1537">
        <f t="shared" si="382"/>
        <v>3.4600000000000001E-4</v>
      </c>
      <c r="S1537">
        <f t="shared" si="385"/>
        <v>1</v>
      </c>
      <c r="T1537">
        <f t="shared" si="386"/>
        <v>0</v>
      </c>
      <c r="U1537">
        <f t="shared" si="387"/>
        <v>0</v>
      </c>
      <c r="V1537">
        <f t="shared" si="388"/>
        <v>0</v>
      </c>
      <c r="W1537">
        <f t="shared" si="389"/>
        <v>0</v>
      </c>
      <c r="X1537">
        <f t="shared" si="390"/>
        <v>0</v>
      </c>
      <c r="Y1537">
        <f t="shared" si="391"/>
        <v>0</v>
      </c>
    </row>
    <row r="1538" spans="1:25" hidden="1">
      <c r="A1538" t="str">
        <f t="shared" si="383"/>
        <v>Smith 1962</v>
      </c>
      <c r="E1538">
        <v>4.1399999999999997</v>
      </c>
      <c r="H1538">
        <f t="shared" si="384"/>
        <v>303.14999999999998</v>
      </c>
      <c r="I1538">
        <v>72.599999999999994</v>
      </c>
      <c r="J1538">
        <f>J1537</f>
        <v>2.7</v>
      </c>
      <c r="N1538">
        <f t="shared" si="382"/>
        <v>4.1399999999999998E-4</v>
      </c>
      <c r="S1538">
        <f t="shared" si="385"/>
        <v>1</v>
      </c>
      <c r="T1538">
        <f t="shared" si="386"/>
        <v>0</v>
      </c>
      <c r="U1538">
        <f t="shared" si="387"/>
        <v>0</v>
      </c>
      <c r="V1538">
        <f t="shared" si="388"/>
        <v>0</v>
      </c>
      <c r="W1538">
        <f t="shared" si="389"/>
        <v>0</v>
      </c>
      <c r="X1538">
        <f t="shared" si="390"/>
        <v>0</v>
      </c>
      <c r="Y1538">
        <f t="shared" si="391"/>
        <v>0</v>
      </c>
    </row>
    <row r="1539" spans="1:25" hidden="1">
      <c r="A1539" t="str">
        <f t="shared" si="383"/>
        <v>Smith 1962</v>
      </c>
      <c r="E1539">
        <v>0.32</v>
      </c>
      <c r="H1539">
        <f t="shared" si="384"/>
        <v>303.14999999999998</v>
      </c>
      <c r="I1539">
        <v>16.899999999999999</v>
      </c>
      <c r="J1539">
        <v>5.47</v>
      </c>
      <c r="N1539">
        <f t="shared" si="382"/>
        <v>3.1999999999999999E-5</v>
      </c>
      <c r="S1539">
        <f t="shared" si="385"/>
        <v>1</v>
      </c>
      <c r="T1539">
        <f t="shared" si="386"/>
        <v>0</v>
      </c>
      <c r="U1539">
        <f t="shared" si="387"/>
        <v>0</v>
      </c>
      <c r="V1539">
        <f t="shared" si="388"/>
        <v>0</v>
      </c>
      <c r="W1539">
        <f t="shared" si="389"/>
        <v>0</v>
      </c>
      <c r="X1539">
        <f t="shared" si="390"/>
        <v>0</v>
      </c>
      <c r="Y1539">
        <f t="shared" si="391"/>
        <v>0</v>
      </c>
    </row>
    <row r="1540" spans="1:25" hidden="1">
      <c r="A1540" t="str">
        <f t="shared" si="383"/>
        <v>Smith 1962</v>
      </c>
      <c r="E1540">
        <v>0.88</v>
      </c>
      <c r="H1540">
        <f t="shared" si="384"/>
        <v>303.14999999999998</v>
      </c>
      <c r="I1540">
        <v>31.5</v>
      </c>
      <c r="J1540">
        <f t="shared" ref="J1540:J1571" si="392">J1539</f>
        <v>5.47</v>
      </c>
      <c r="N1540">
        <f t="shared" si="382"/>
        <v>8.7999999999999998E-5</v>
      </c>
      <c r="S1540">
        <f t="shared" si="385"/>
        <v>1</v>
      </c>
      <c r="T1540">
        <f t="shared" si="386"/>
        <v>0</v>
      </c>
      <c r="U1540">
        <f t="shared" si="387"/>
        <v>0</v>
      </c>
      <c r="V1540">
        <f t="shared" si="388"/>
        <v>0</v>
      </c>
      <c r="W1540">
        <f t="shared" si="389"/>
        <v>0</v>
      </c>
      <c r="X1540">
        <f t="shared" si="390"/>
        <v>0</v>
      </c>
      <c r="Y1540">
        <f t="shared" si="391"/>
        <v>0</v>
      </c>
    </row>
    <row r="1541" spans="1:25" hidden="1">
      <c r="A1541" t="str">
        <f t="shared" si="383"/>
        <v>Smith 1962</v>
      </c>
      <c r="E1541">
        <v>1.39</v>
      </c>
      <c r="H1541">
        <f t="shared" si="384"/>
        <v>303.14999999999998</v>
      </c>
      <c r="I1541">
        <v>44.1</v>
      </c>
      <c r="J1541">
        <f t="shared" si="392"/>
        <v>5.47</v>
      </c>
      <c r="N1541">
        <f t="shared" si="382"/>
        <v>1.3899999999999999E-4</v>
      </c>
      <c r="S1541">
        <f t="shared" si="385"/>
        <v>1</v>
      </c>
      <c r="T1541">
        <f t="shared" si="386"/>
        <v>0</v>
      </c>
      <c r="U1541">
        <f t="shared" si="387"/>
        <v>0</v>
      </c>
      <c r="V1541">
        <f t="shared" si="388"/>
        <v>0</v>
      </c>
      <c r="W1541">
        <f t="shared" si="389"/>
        <v>0</v>
      </c>
      <c r="X1541">
        <f t="shared" si="390"/>
        <v>0</v>
      </c>
      <c r="Y1541">
        <f t="shared" si="391"/>
        <v>0</v>
      </c>
    </row>
    <row r="1542" spans="1:25" hidden="1">
      <c r="A1542" t="str">
        <f t="shared" si="383"/>
        <v>Smith 1962</v>
      </c>
      <c r="E1542">
        <v>1.86</v>
      </c>
      <c r="H1542">
        <f t="shared" si="384"/>
        <v>303.14999999999998</v>
      </c>
      <c r="I1542">
        <v>56.5</v>
      </c>
      <c r="J1542">
        <f t="shared" si="392"/>
        <v>5.47</v>
      </c>
      <c r="N1542">
        <f t="shared" si="382"/>
        <v>1.8600000000000002E-4</v>
      </c>
      <c r="S1542">
        <f t="shared" si="385"/>
        <v>1</v>
      </c>
      <c r="T1542">
        <f t="shared" si="386"/>
        <v>0</v>
      </c>
      <c r="U1542">
        <f t="shared" si="387"/>
        <v>0</v>
      </c>
      <c r="V1542">
        <f t="shared" si="388"/>
        <v>0</v>
      </c>
      <c r="W1542">
        <f t="shared" si="389"/>
        <v>0</v>
      </c>
      <c r="X1542">
        <f t="shared" si="390"/>
        <v>0</v>
      </c>
      <c r="Y1542">
        <f t="shared" si="391"/>
        <v>0</v>
      </c>
    </row>
    <row r="1543" spans="1:25" hidden="1">
      <c r="A1543" t="str">
        <f t="shared" si="383"/>
        <v>Smith 1962</v>
      </c>
      <c r="E1543">
        <v>2.72</v>
      </c>
      <c r="H1543">
        <f t="shared" si="384"/>
        <v>303.14999999999998</v>
      </c>
      <c r="I1543">
        <v>71.2</v>
      </c>
      <c r="J1543">
        <f t="shared" si="392"/>
        <v>5.47</v>
      </c>
      <c r="N1543">
        <f t="shared" si="382"/>
        <v>2.72E-4</v>
      </c>
      <c r="S1543">
        <f t="shared" si="385"/>
        <v>1</v>
      </c>
      <c r="T1543">
        <f t="shared" si="386"/>
        <v>0</v>
      </c>
      <c r="U1543">
        <f t="shared" si="387"/>
        <v>0</v>
      </c>
      <c r="V1543">
        <f t="shared" si="388"/>
        <v>0</v>
      </c>
      <c r="W1543">
        <f t="shared" si="389"/>
        <v>0</v>
      </c>
      <c r="X1543">
        <f t="shared" si="390"/>
        <v>0</v>
      </c>
      <c r="Y1543">
        <f t="shared" si="391"/>
        <v>0</v>
      </c>
    </row>
    <row r="1544" spans="1:25" hidden="1">
      <c r="A1544" t="s">
        <v>87</v>
      </c>
      <c r="H1544">
        <v>373.15</v>
      </c>
      <c r="I1544">
        <v>15.5</v>
      </c>
      <c r="J1544">
        <f t="shared" si="392"/>
        <v>5.47</v>
      </c>
      <c r="O1544">
        <v>2.5700000000000001E-4</v>
      </c>
      <c r="S1544">
        <f t="shared" si="385"/>
        <v>1</v>
      </c>
      <c r="T1544">
        <f t="shared" si="386"/>
        <v>0</v>
      </c>
      <c r="U1544">
        <f t="shared" si="387"/>
        <v>0</v>
      </c>
      <c r="V1544">
        <f t="shared" si="388"/>
        <v>0</v>
      </c>
      <c r="W1544">
        <f t="shared" si="389"/>
        <v>0</v>
      </c>
      <c r="X1544">
        <f t="shared" si="390"/>
        <v>0</v>
      </c>
      <c r="Y1544">
        <f t="shared" si="391"/>
        <v>0</v>
      </c>
    </row>
    <row r="1545" spans="1:25" hidden="1">
      <c r="A1545" t="str">
        <f t="shared" ref="A1545:A1591" si="393">A1544</f>
        <v>Stephan 1956</v>
      </c>
      <c r="H1545">
        <f t="shared" ref="H1545:H1559" si="394">H1544</f>
        <v>373.15</v>
      </c>
      <c r="I1545">
        <v>15.5</v>
      </c>
      <c r="J1545">
        <f t="shared" si="392"/>
        <v>5.47</v>
      </c>
      <c r="O1545">
        <v>2.6499999999999999E-4</v>
      </c>
      <c r="S1545">
        <f t="shared" si="385"/>
        <v>1</v>
      </c>
      <c r="T1545">
        <f t="shared" si="386"/>
        <v>0</v>
      </c>
      <c r="U1545">
        <f t="shared" si="387"/>
        <v>0</v>
      </c>
      <c r="V1545">
        <f t="shared" si="388"/>
        <v>0</v>
      </c>
      <c r="W1545">
        <f t="shared" si="389"/>
        <v>0</v>
      </c>
      <c r="X1545">
        <f t="shared" si="390"/>
        <v>0</v>
      </c>
      <c r="Y1545">
        <f t="shared" si="391"/>
        <v>0</v>
      </c>
    </row>
    <row r="1546" spans="1:25" hidden="1">
      <c r="A1546" t="str">
        <f t="shared" si="393"/>
        <v>Stephan 1956</v>
      </c>
      <c r="H1546">
        <f t="shared" si="394"/>
        <v>373.15</v>
      </c>
      <c r="I1546">
        <v>16.2</v>
      </c>
      <c r="J1546">
        <f t="shared" si="392"/>
        <v>5.47</v>
      </c>
      <c r="O1546">
        <v>2.81E-4</v>
      </c>
      <c r="S1546">
        <f t="shared" si="385"/>
        <v>1</v>
      </c>
      <c r="T1546">
        <f t="shared" si="386"/>
        <v>0</v>
      </c>
      <c r="U1546">
        <f t="shared" si="387"/>
        <v>0</v>
      </c>
      <c r="V1546">
        <f t="shared" si="388"/>
        <v>0</v>
      </c>
      <c r="W1546">
        <f t="shared" si="389"/>
        <v>0</v>
      </c>
      <c r="X1546">
        <f t="shared" si="390"/>
        <v>0</v>
      </c>
      <c r="Y1546">
        <f t="shared" si="391"/>
        <v>0</v>
      </c>
    </row>
    <row r="1547" spans="1:25" hidden="1">
      <c r="A1547" t="str">
        <f t="shared" si="393"/>
        <v>Stephan 1956</v>
      </c>
      <c r="H1547">
        <f t="shared" si="394"/>
        <v>373.15</v>
      </c>
      <c r="I1547">
        <v>16.899999999999999</v>
      </c>
      <c r="J1547">
        <f t="shared" si="392"/>
        <v>5.47</v>
      </c>
      <c r="O1547">
        <v>2.81E-4</v>
      </c>
      <c r="S1547">
        <f t="shared" si="385"/>
        <v>1</v>
      </c>
      <c r="T1547">
        <f t="shared" si="386"/>
        <v>0</v>
      </c>
      <c r="U1547">
        <f t="shared" si="387"/>
        <v>0</v>
      </c>
      <c r="V1547">
        <f t="shared" si="388"/>
        <v>0</v>
      </c>
      <c r="W1547">
        <f t="shared" si="389"/>
        <v>0</v>
      </c>
      <c r="X1547">
        <f t="shared" si="390"/>
        <v>0</v>
      </c>
      <c r="Y1547">
        <f t="shared" si="391"/>
        <v>0</v>
      </c>
    </row>
    <row r="1548" spans="1:25" hidden="1">
      <c r="A1548" t="str">
        <f t="shared" si="393"/>
        <v>Stephan 1956</v>
      </c>
      <c r="H1548">
        <f t="shared" si="394"/>
        <v>373.15</v>
      </c>
      <c r="I1548">
        <v>16.899999999999999</v>
      </c>
      <c r="J1548">
        <f t="shared" si="392"/>
        <v>5.47</v>
      </c>
      <c r="O1548">
        <v>2.4600000000000002E-4</v>
      </c>
      <c r="S1548">
        <f t="shared" si="385"/>
        <v>1</v>
      </c>
      <c r="T1548">
        <f t="shared" si="386"/>
        <v>0</v>
      </c>
      <c r="U1548">
        <f t="shared" si="387"/>
        <v>0</v>
      </c>
      <c r="V1548">
        <f t="shared" si="388"/>
        <v>0</v>
      </c>
      <c r="W1548">
        <f t="shared" si="389"/>
        <v>0</v>
      </c>
      <c r="X1548">
        <f t="shared" si="390"/>
        <v>0</v>
      </c>
      <c r="Y1548">
        <f t="shared" si="391"/>
        <v>0</v>
      </c>
    </row>
    <row r="1549" spans="1:25" hidden="1">
      <c r="A1549" t="str">
        <f t="shared" si="393"/>
        <v>Stephan 1956</v>
      </c>
      <c r="H1549">
        <f t="shared" si="394"/>
        <v>373.15</v>
      </c>
      <c r="I1549">
        <v>36.200000000000003</v>
      </c>
      <c r="J1549">
        <f t="shared" si="392"/>
        <v>5.47</v>
      </c>
      <c r="O1549">
        <v>5.3899999999999998E-4</v>
      </c>
      <c r="S1549">
        <f t="shared" si="385"/>
        <v>1</v>
      </c>
      <c r="T1549">
        <f t="shared" si="386"/>
        <v>0</v>
      </c>
      <c r="U1549">
        <f t="shared" si="387"/>
        <v>0</v>
      </c>
      <c r="V1549">
        <f t="shared" si="388"/>
        <v>0</v>
      </c>
      <c r="W1549">
        <f t="shared" si="389"/>
        <v>0</v>
      </c>
      <c r="X1549">
        <f t="shared" si="390"/>
        <v>0</v>
      </c>
      <c r="Y1549">
        <f t="shared" si="391"/>
        <v>0</v>
      </c>
    </row>
    <row r="1550" spans="1:25" hidden="1">
      <c r="A1550" t="str">
        <f t="shared" si="393"/>
        <v>Stephan 1956</v>
      </c>
      <c r="H1550">
        <f t="shared" si="394"/>
        <v>373.15</v>
      </c>
      <c r="I1550">
        <v>37.6</v>
      </c>
      <c r="J1550">
        <f t="shared" si="392"/>
        <v>5.47</v>
      </c>
      <c r="O1550">
        <v>5.71E-4</v>
      </c>
      <c r="S1550">
        <f t="shared" si="385"/>
        <v>1</v>
      </c>
      <c r="T1550">
        <f t="shared" si="386"/>
        <v>0</v>
      </c>
      <c r="U1550">
        <f t="shared" si="387"/>
        <v>0</v>
      </c>
      <c r="V1550">
        <f t="shared" si="388"/>
        <v>0</v>
      </c>
      <c r="W1550">
        <f t="shared" si="389"/>
        <v>0</v>
      </c>
      <c r="X1550">
        <f t="shared" si="390"/>
        <v>0</v>
      </c>
      <c r="Y1550">
        <f t="shared" si="391"/>
        <v>0</v>
      </c>
    </row>
    <row r="1551" spans="1:25" hidden="1">
      <c r="A1551" t="str">
        <f t="shared" si="393"/>
        <v>Stephan 1956</v>
      </c>
      <c r="H1551">
        <f t="shared" si="394"/>
        <v>373.15</v>
      </c>
      <c r="I1551">
        <v>39</v>
      </c>
      <c r="J1551">
        <f t="shared" si="392"/>
        <v>5.47</v>
      </c>
      <c r="O1551">
        <v>5.9500000000000004E-4</v>
      </c>
      <c r="S1551">
        <f t="shared" si="385"/>
        <v>1</v>
      </c>
      <c r="T1551">
        <f t="shared" si="386"/>
        <v>0</v>
      </c>
      <c r="U1551">
        <f t="shared" si="387"/>
        <v>0</v>
      </c>
      <c r="V1551">
        <f t="shared" si="388"/>
        <v>0</v>
      </c>
      <c r="W1551">
        <f t="shared" si="389"/>
        <v>0</v>
      </c>
      <c r="X1551">
        <f t="shared" si="390"/>
        <v>0</v>
      </c>
      <c r="Y1551">
        <f t="shared" si="391"/>
        <v>0</v>
      </c>
    </row>
    <row r="1552" spans="1:25" hidden="1">
      <c r="A1552" t="str">
        <f t="shared" si="393"/>
        <v>Stephan 1956</v>
      </c>
      <c r="H1552">
        <f t="shared" si="394"/>
        <v>373.15</v>
      </c>
      <c r="I1552">
        <v>39</v>
      </c>
      <c r="J1552">
        <f t="shared" si="392"/>
        <v>5.47</v>
      </c>
      <c r="O1552">
        <v>5.9500000000000004E-4</v>
      </c>
      <c r="S1552">
        <f t="shared" si="385"/>
        <v>1</v>
      </c>
      <c r="T1552">
        <f t="shared" si="386"/>
        <v>0</v>
      </c>
      <c r="U1552">
        <f t="shared" si="387"/>
        <v>0</v>
      </c>
      <c r="V1552">
        <f t="shared" si="388"/>
        <v>0</v>
      </c>
      <c r="W1552">
        <f t="shared" si="389"/>
        <v>0</v>
      </c>
      <c r="X1552">
        <f t="shared" si="390"/>
        <v>0</v>
      </c>
      <c r="Y1552">
        <f t="shared" si="391"/>
        <v>0</v>
      </c>
    </row>
    <row r="1553" spans="1:25" hidden="1">
      <c r="A1553" t="str">
        <f t="shared" si="393"/>
        <v>Stephan 1956</v>
      </c>
      <c r="H1553">
        <f t="shared" si="394"/>
        <v>373.15</v>
      </c>
      <c r="I1553">
        <v>70.7</v>
      </c>
      <c r="J1553">
        <f t="shared" si="392"/>
        <v>5.47</v>
      </c>
      <c r="O1553">
        <v>1.1100000000000001E-3</v>
      </c>
      <c r="S1553">
        <f t="shared" si="385"/>
        <v>1</v>
      </c>
      <c r="T1553">
        <f t="shared" si="386"/>
        <v>0</v>
      </c>
      <c r="U1553">
        <f t="shared" si="387"/>
        <v>0</v>
      </c>
      <c r="V1553">
        <f t="shared" si="388"/>
        <v>0</v>
      </c>
      <c r="W1553">
        <f t="shared" si="389"/>
        <v>0</v>
      </c>
      <c r="X1553">
        <f t="shared" si="390"/>
        <v>0</v>
      </c>
      <c r="Y1553">
        <f t="shared" si="391"/>
        <v>0</v>
      </c>
    </row>
    <row r="1554" spans="1:25" hidden="1">
      <c r="A1554" t="str">
        <f t="shared" si="393"/>
        <v>Stephan 1956</v>
      </c>
      <c r="H1554">
        <f t="shared" si="394"/>
        <v>373.15</v>
      </c>
      <c r="I1554">
        <v>71.400000000000006</v>
      </c>
      <c r="J1554">
        <f t="shared" si="392"/>
        <v>5.47</v>
      </c>
      <c r="O1554">
        <v>1.08E-3</v>
      </c>
      <c r="S1554">
        <f t="shared" si="385"/>
        <v>1</v>
      </c>
      <c r="T1554">
        <f t="shared" si="386"/>
        <v>0</v>
      </c>
      <c r="U1554">
        <f t="shared" si="387"/>
        <v>0</v>
      </c>
      <c r="V1554">
        <f t="shared" si="388"/>
        <v>0</v>
      </c>
      <c r="W1554">
        <f t="shared" si="389"/>
        <v>0</v>
      </c>
      <c r="X1554">
        <f t="shared" si="390"/>
        <v>0</v>
      </c>
      <c r="Y1554">
        <f t="shared" si="391"/>
        <v>0</v>
      </c>
    </row>
    <row r="1555" spans="1:25" hidden="1">
      <c r="A1555" t="str">
        <f t="shared" si="393"/>
        <v>Stephan 1956</v>
      </c>
      <c r="H1555">
        <f t="shared" si="394"/>
        <v>373.15</v>
      </c>
      <c r="I1555">
        <v>72.099999999999994</v>
      </c>
      <c r="J1555">
        <f t="shared" si="392"/>
        <v>5.47</v>
      </c>
      <c r="O1555">
        <v>1.08E-3</v>
      </c>
      <c r="S1555">
        <f t="shared" si="385"/>
        <v>1</v>
      </c>
      <c r="T1555">
        <f t="shared" si="386"/>
        <v>0</v>
      </c>
      <c r="U1555">
        <f t="shared" si="387"/>
        <v>0</v>
      </c>
      <c r="V1555">
        <f t="shared" si="388"/>
        <v>0</v>
      </c>
      <c r="W1555">
        <f t="shared" si="389"/>
        <v>0</v>
      </c>
      <c r="X1555">
        <f t="shared" si="390"/>
        <v>0</v>
      </c>
      <c r="Y1555">
        <f t="shared" si="391"/>
        <v>0</v>
      </c>
    </row>
    <row r="1556" spans="1:25" hidden="1">
      <c r="A1556" t="str">
        <f t="shared" si="393"/>
        <v>Stephan 1956</v>
      </c>
      <c r="H1556">
        <f t="shared" si="394"/>
        <v>373.15</v>
      </c>
      <c r="I1556">
        <v>72.7</v>
      </c>
      <c r="J1556">
        <f t="shared" si="392"/>
        <v>5.47</v>
      </c>
      <c r="O1556">
        <v>1.08E-3</v>
      </c>
      <c r="S1556">
        <f t="shared" si="385"/>
        <v>1</v>
      </c>
      <c r="T1556">
        <f t="shared" si="386"/>
        <v>0</v>
      </c>
      <c r="U1556">
        <f t="shared" si="387"/>
        <v>0</v>
      </c>
      <c r="V1556">
        <f t="shared" si="388"/>
        <v>0</v>
      </c>
      <c r="W1556">
        <f t="shared" si="389"/>
        <v>0</v>
      </c>
      <c r="X1556">
        <f t="shared" si="390"/>
        <v>0</v>
      </c>
      <c r="Y1556">
        <f t="shared" si="391"/>
        <v>0</v>
      </c>
    </row>
    <row r="1557" spans="1:25" hidden="1">
      <c r="A1557" t="str">
        <f t="shared" si="393"/>
        <v>Stephan 1956</v>
      </c>
      <c r="H1557">
        <f t="shared" si="394"/>
        <v>373.15</v>
      </c>
      <c r="I1557">
        <v>97.6</v>
      </c>
      <c r="J1557">
        <f t="shared" si="392"/>
        <v>5.47</v>
      </c>
      <c r="O1557">
        <v>1.4499999999999999E-3</v>
      </c>
      <c r="S1557">
        <f t="shared" si="385"/>
        <v>1</v>
      </c>
      <c r="T1557">
        <f t="shared" si="386"/>
        <v>0</v>
      </c>
      <c r="U1557">
        <f t="shared" si="387"/>
        <v>0</v>
      </c>
      <c r="V1557">
        <f t="shared" si="388"/>
        <v>0</v>
      </c>
      <c r="W1557">
        <f t="shared" si="389"/>
        <v>0</v>
      </c>
      <c r="X1557">
        <f t="shared" si="390"/>
        <v>0</v>
      </c>
      <c r="Y1557">
        <f t="shared" si="391"/>
        <v>0</v>
      </c>
    </row>
    <row r="1558" spans="1:25" hidden="1">
      <c r="A1558" t="str">
        <f t="shared" si="393"/>
        <v>Stephan 1956</v>
      </c>
      <c r="H1558">
        <f t="shared" si="394"/>
        <v>373.15</v>
      </c>
      <c r="I1558">
        <v>98.9</v>
      </c>
      <c r="J1558">
        <f t="shared" si="392"/>
        <v>5.47</v>
      </c>
      <c r="O1558">
        <v>1.5100000000000001E-3</v>
      </c>
      <c r="S1558">
        <f t="shared" si="385"/>
        <v>1</v>
      </c>
      <c r="T1558">
        <f t="shared" si="386"/>
        <v>0</v>
      </c>
      <c r="U1558">
        <f t="shared" si="387"/>
        <v>0</v>
      </c>
      <c r="V1558">
        <f t="shared" si="388"/>
        <v>0</v>
      </c>
      <c r="W1558">
        <f t="shared" si="389"/>
        <v>0</v>
      </c>
      <c r="X1558">
        <f t="shared" si="390"/>
        <v>0</v>
      </c>
      <c r="Y1558">
        <f t="shared" si="391"/>
        <v>0</v>
      </c>
    </row>
    <row r="1559" spans="1:25" hidden="1">
      <c r="A1559" t="str">
        <f t="shared" si="393"/>
        <v>Stephan 1956</v>
      </c>
      <c r="H1559">
        <f t="shared" si="394"/>
        <v>373.15</v>
      </c>
      <c r="I1559">
        <v>100.3</v>
      </c>
      <c r="J1559">
        <f t="shared" si="392"/>
        <v>5.47</v>
      </c>
      <c r="O1559">
        <v>1.5499999999999999E-3</v>
      </c>
      <c r="S1559">
        <f t="shared" si="385"/>
        <v>1</v>
      </c>
      <c r="T1559">
        <f t="shared" si="386"/>
        <v>0</v>
      </c>
      <c r="U1559">
        <f t="shared" si="387"/>
        <v>0</v>
      </c>
      <c r="V1559">
        <f t="shared" si="388"/>
        <v>0</v>
      </c>
      <c r="W1559">
        <f t="shared" si="389"/>
        <v>0</v>
      </c>
      <c r="X1559">
        <f t="shared" si="390"/>
        <v>0</v>
      </c>
      <c r="Y1559">
        <f t="shared" si="391"/>
        <v>0</v>
      </c>
    </row>
    <row r="1560" spans="1:25" hidden="1">
      <c r="A1560" t="str">
        <f t="shared" si="393"/>
        <v>Stephan 1956</v>
      </c>
      <c r="H1560">
        <v>408.15</v>
      </c>
      <c r="I1560">
        <v>14.1</v>
      </c>
      <c r="J1560">
        <f t="shared" si="392"/>
        <v>5.47</v>
      </c>
      <c r="O1560">
        <v>2.9100000000000003E-4</v>
      </c>
      <c r="S1560">
        <f t="shared" si="385"/>
        <v>1</v>
      </c>
      <c r="T1560">
        <f t="shared" si="386"/>
        <v>0</v>
      </c>
      <c r="U1560">
        <f t="shared" si="387"/>
        <v>0</v>
      </c>
      <c r="V1560">
        <f t="shared" si="388"/>
        <v>0</v>
      </c>
      <c r="W1560">
        <f t="shared" si="389"/>
        <v>0</v>
      </c>
      <c r="X1560">
        <f t="shared" si="390"/>
        <v>0</v>
      </c>
      <c r="Y1560">
        <f t="shared" si="391"/>
        <v>0</v>
      </c>
    </row>
    <row r="1561" spans="1:25" hidden="1">
      <c r="A1561" t="str">
        <f t="shared" si="393"/>
        <v>Stephan 1956</v>
      </c>
      <c r="H1561">
        <f t="shared" ref="H1561:H1574" si="395">H1560</f>
        <v>408.15</v>
      </c>
      <c r="I1561">
        <v>14.8</v>
      </c>
      <c r="J1561">
        <f t="shared" si="392"/>
        <v>5.47</v>
      </c>
      <c r="O1561">
        <v>2.92E-4</v>
      </c>
      <c r="S1561">
        <f t="shared" si="385"/>
        <v>1</v>
      </c>
      <c r="T1561">
        <f t="shared" si="386"/>
        <v>0</v>
      </c>
      <c r="U1561">
        <f t="shared" si="387"/>
        <v>0</v>
      </c>
      <c r="V1561">
        <f t="shared" si="388"/>
        <v>0</v>
      </c>
      <c r="W1561">
        <f t="shared" si="389"/>
        <v>0</v>
      </c>
      <c r="X1561">
        <f t="shared" si="390"/>
        <v>0</v>
      </c>
      <c r="Y1561">
        <f t="shared" si="391"/>
        <v>0</v>
      </c>
    </row>
    <row r="1562" spans="1:25" hidden="1">
      <c r="A1562" t="str">
        <f t="shared" si="393"/>
        <v>Stephan 1956</v>
      </c>
      <c r="H1562">
        <f t="shared" si="395"/>
        <v>408.15</v>
      </c>
      <c r="I1562">
        <v>15.5</v>
      </c>
      <c r="J1562">
        <f t="shared" si="392"/>
        <v>5.47</v>
      </c>
      <c r="O1562">
        <v>2.8899999999999998E-4</v>
      </c>
      <c r="S1562">
        <f t="shared" si="385"/>
        <v>1</v>
      </c>
      <c r="T1562">
        <f t="shared" si="386"/>
        <v>0</v>
      </c>
      <c r="U1562">
        <f t="shared" si="387"/>
        <v>0</v>
      </c>
      <c r="V1562">
        <f t="shared" si="388"/>
        <v>0</v>
      </c>
      <c r="W1562">
        <f t="shared" si="389"/>
        <v>0</v>
      </c>
      <c r="X1562">
        <f t="shared" si="390"/>
        <v>0</v>
      </c>
      <c r="Y1562">
        <f t="shared" si="391"/>
        <v>0</v>
      </c>
    </row>
    <row r="1563" spans="1:25" hidden="1">
      <c r="A1563" t="str">
        <f t="shared" si="393"/>
        <v>Stephan 1956</v>
      </c>
      <c r="H1563">
        <f t="shared" si="395"/>
        <v>408.15</v>
      </c>
      <c r="I1563">
        <v>16.2</v>
      </c>
      <c r="J1563">
        <f t="shared" si="392"/>
        <v>5.47</v>
      </c>
      <c r="O1563">
        <v>3.3300000000000002E-4</v>
      </c>
      <c r="S1563">
        <f t="shared" si="385"/>
        <v>1</v>
      </c>
      <c r="T1563">
        <f t="shared" si="386"/>
        <v>0</v>
      </c>
      <c r="U1563">
        <f t="shared" si="387"/>
        <v>0</v>
      </c>
      <c r="V1563">
        <f t="shared" si="388"/>
        <v>0</v>
      </c>
      <c r="W1563">
        <f t="shared" si="389"/>
        <v>0</v>
      </c>
      <c r="X1563">
        <f t="shared" si="390"/>
        <v>0</v>
      </c>
      <c r="Y1563">
        <f t="shared" si="391"/>
        <v>0</v>
      </c>
    </row>
    <row r="1564" spans="1:25" hidden="1">
      <c r="A1564" t="str">
        <f t="shared" si="393"/>
        <v>Stephan 1956</v>
      </c>
      <c r="H1564">
        <f t="shared" si="395"/>
        <v>408.15</v>
      </c>
      <c r="I1564">
        <v>35.5</v>
      </c>
      <c r="J1564">
        <f t="shared" si="392"/>
        <v>5.47</v>
      </c>
      <c r="O1564">
        <v>6.4300000000000002E-4</v>
      </c>
      <c r="S1564">
        <f t="shared" si="385"/>
        <v>1</v>
      </c>
      <c r="T1564">
        <f t="shared" si="386"/>
        <v>0</v>
      </c>
      <c r="U1564">
        <f t="shared" si="387"/>
        <v>0</v>
      </c>
      <c r="V1564">
        <f t="shared" si="388"/>
        <v>0</v>
      </c>
      <c r="W1564">
        <f t="shared" si="389"/>
        <v>0</v>
      </c>
      <c r="X1564">
        <f t="shared" si="390"/>
        <v>0</v>
      </c>
      <c r="Y1564">
        <f t="shared" si="391"/>
        <v>0</v>
      </c>
    </row>
    <row r="1565" spans="1:25" hidden="1">
      <c r="A1565" t="str">
        <f t="shared" si="393"/>
        <v>Stephan 1956</v>
      </c>
      <c r="H1565">
        <f t="shared" si="395"/>
        <v>408.15</v>
      </c>
      <c r="I1565">
        <v>36.200000000000003</v>
      </c>
      <c r="J1565">
        <f t="shared" si="392"/>
        <v>5.47</v>
      </c>
      <c r="O1565">
        <v>6.7500000000000004E-4</v>
      </c>
      <c r="S1565">
        <f t="shared" si="385"/>
        <v>1</v>
      </c>
      <c r="T1565">
        <f t="shared" si="386"/>
        <v>0</v>
      </c>
      <c r="U1565">
        <f t="shared" si="387"/>
        <v>0</v>
      </c>
      <c r="V1565">
        <f t="shared" si="388"/>
        <v>0</v>
      </c>
      <c r="W1565">
        <f t="shared" si="389"/>
        <v>0</v>
      </c>
      <c r="X1565">
        <f t="shared" si="390"/>
        <v>0</v>
      </c>
      <c r="Y1565">
        <f t="shared" si="391"/>
        <v>0</v>
      </c>
    </row>
    <row r="1566" spans="1:25" hidden="1">
      <c r="A1566" t="str">
        <f t="shared" si="393"/>
        <v>Stephan 1956</v>
      </c>
      <c r="H1566">
        <f t="shared" si="395"/>
        <v>408.15</v>
      </c>
      <c r="I1566">
        <v>36.9</v>
      </c>
      <c r="J1566">
        <f t="shared" si="392"/>
        <v>5.47</v>
      </c>
      <c r="O1566">
        <v>6.9899999999999997E-4</v>
      </c>
      <c r="S1566">
        <f t="shared" si="385"/>
        <v>1</v>
      </c>
      <c r="T1566">
        <f t="shared" si="386"/>
        <v>0</v>
      </c>
      <c r="U1566">
        <f t="shared" si="387"/>
        <v>0</v>
      </c>
      <c r="V1566">
        <f t="shared" si="388"/>
        <v>0</v>
      </c>
      <c r="W1566">
        <f t="shared" si="389"/>
        <v>0</v>
      </c>
      <c r="X1566">
        <f t="shared" si="390"/>
        <v>0</v>
      </c>
      <c r="Y1566">
        <f t="shared" si="391"/>
        <v>0</v>
      </c>
    </row>
    <row r="1567" spans="1:25" hidden="1">
      <c r="A1567" t="str">
        <f t="shared" si="393"/>
        <v>Stephan 1956</v>
      </c>
      <c r="H1567">
        <f t="shared" si="395"/>
        <v>408.15</v>
      </c>
      <c r="I1567">
        <v>61</v>
      </c>
      <c r="J1567">
        <f t="shared" si="392"/>
        <v>5.47</v>
      </c>
      <c r="O1567">
        <v>1.14E-3</v>
      </c>
      <c r="S1567">
        <f t="shared" ref="S1567:S1598" si="396">S1566</f>
        <v>1</v>
      </c>
      <c r="T1567">
        <f t="shared" ref="T1567:T1598" si="397">T1566</f>
        <v>0</v>
      </c>
      <c r="U1567">
        <f t="shared" ref="U1567:U1598" si="398">U1566</f>
        <v>0</v>
      </c>
      <c r="V1567">
        <f t="shared" ref="V1567:V1598" si="399">V1566</f>
        <v>0</v>
      </c>
      <c r="W1567">
        <f t="shared" ref="W1567:W1598" si="400">W1566</f>
        <v>0</v>
      </c>
      <c r="X1567">
        <f t="shared" ref="X1567:X1598" si="401">X1566</f>
        <v>0</v>
      </c>
      <c r="Y1567">
        <f t="shared" ref="Y1567:Y1598" si="402">Y1566</f>
        <v>0</v>
      </c>
    </row>
    <row r="1568" spans="1:25" hidden="1">
      <c r="A1568" t="str">
        <f t="shared" si="393"/>
        <v>Stephan 1956</v>
      </c>
      <c r="H1568">
        <f t="shared" si="395"/>
        <v>408.15</v>
      </c>
      <c r="I1568">
        <v>61.7</v>
      </c>
      <c r="J1568">
        <f t="shared" si="392"/>
        <v>5.47</v>
      </c>
      <c r="O1568">
        <v>1.1100000000000001E-3</v>
      </c>
      <c r="S1568">
        <f t="shared" si="396"/>
        <v>1</v>
      </c>
      <c r="T1568">
        <f t="shared" si="397"/>
        <v>0</v>
      </c>
      <c r="U1568">
        <f t="shared" si="398"/>
        <v>0</v>
      </c>
      <c r="V1568">
        <f t="shared" si="399"/>
        <v>0</v>
      </c>
      <c r="W1568">
        <f t="shared" si="400"/>
        <v>0</v>
      </c>
      <c r="X1568">
        <f t="shared" si="401"/>
        <v>0</v>
      </c>
      <c r="Y1568">
        <f t="shared" si="402"/>
        <v>0</v>
      </c>
    </row>
    <row r="1569" spans="1:25" hidden="1">
      <c r="A1569" t="str">
        <f t="shared" si="393"/>
        <v>Stephan 1956</v>
      </c>
      <c r="H1569">
        <f t="shared" si="395"/>
        <v>408.15</v>
      </c>
      <c r="I1569">
        <v>63.1</v>
      </c>
      <c r="J1569">
        <f t="shared" si="392"/>
        <v>5.47</v>
      </c>
      <c r="O1569">
        <v>1.1100000000000001E-3</v>
      </c>
      <c r="S1569">
        <f t="shared" si="396"/>
        <v>1</v>
      </c>
      <c r="T1569">
        <f t="shared" si="397"/>
        <v>0</v>
      </c>
      <c r="U1569">
        <f t="shared" si="398"/>
        <v>0</v>
      </c>
      <c r="V1569">
        <f t="shared" si="399"/>
        <v>0</v>
      </c>
      <c r="W1569">
        <f t="shared" si="400"/>
        <v>0</v>
      </c>
      <c r="X1569">
        <f t="shared" si="401"/>
        <v>0</v>
      </c>
      <c r="Y1569">
        <f t="shared" si="402"/>
        <v>0</v>
      </c>
    </row>
    <row r="1570" spans="1:25" hidden="1">
      <c r="A1570" t="str">
        <f t="shared" si="393"/>
        <v>Stephan 1956</v>
      </c>
      <c r="H1570">
        <f t="shared" si="395"/>
        <v>408.15</v>
      </c>
      <c r="I1570">
        <v>64.5</v>
      </c>
      <c r="J1570">
        <f t="shared" si="392"/>
        <v>5.47</v>
      </c>
      <c r="O1570">
        <v>1.14E-3</v>
      </c>
      <c r="S1570">
        <f t="shared" si="396"/>
        <v>1</v>
      </c>
      <c r="T1570">
        <f t="shared" si="397"/>
        <v>0</v>
      </c>
      <c r="U1570">
        <f t="shared" si="398"/>
        <v>0</v>
      </c>
      <c r="V1570">
        <f t="shared" si="399"/>
        <v>0</v>
      </c>
      <c r="W1570">
        <f t="shared" si="400"/>
        <v>0</v>
      </c>
      <c r="X1570">
        <f t="shared" si="401"/>
        <v>0</v>
      </c>
      <c r="Y1570">
        <f t="shared" si="402"/>
        <v>0</v>
      </c>
    </row>
    <row r="1571" spans="1:25" hidden="1">
      <c r="A1571" t="str">
        <f t="shared" si="393"/>
        <v>Stephan 1956</v>
      </c>
      <c r="H1571">
        <f t="shared" si="395"/>
        <v>408.15</v>
      </c>
      <c r="I1571">
        <v>94.8</v>
      </c>
      <c r="J1571">
        <f t="shared" si="392"/>
        <v>5.47</v>
      </c>
      <c r="O1571">
        <v>1.73E-3</v>
      </c>
      <c r="S1571">
        <f t="shared" si="396"/>
        <v>1</v>
      </c>
      <c r="T1571">
        <f t="shared" si="397"/>
        <v>0</v>
      </c>
      <c r="U1571">
        <f t="shared" si="398"/>
        <v>0</v>
      </c>
      <c r="V1571">
        <f t="shared" si="399"/>
        <v>0</v>
      </c>
      <c r="W1571">
        <f t="shared" si="400"/>
        <v>0</v>
      </c>
      <c r="X1571">
        <f t="shared" si="401"/>
        <v>0</v>
      </c>
      <c r="Y1571">
        <f t="shared" si="402"/>
        <v>0</v>
      </c>
    </row>
    <row r="1572" spans="1:25" hidden="1">
      <c r="A1572" t="str">
        <f t="shared" si="393"/>
        <v>Stephan 1956</v>
      </c>
      <c r="H1572">
        <f t="shared" si="395"/>
        <v>408.15</v>
      </c>
      <c r="I1572">
        <v>95.5</v>
      </c>
      <c r="J1572">
        <f t="shared" ref="J1572:J1591" si="403">J1571</f>
        <v>5.47</v>
      </c>
      <c r="O1572">
        <v>1.74E-3</v>
      </c>
      <c r="S1572">
        <f t="shared" si="396"/>
        <v>1</v>
      </c>
      <c r="T1572">
        <f t="shared" si="397"/>
        <v>0</v>
      </c>
      <c r="U1572">
        <f t="shared" si="398"/>
        <v>0</v>
      </c>
      <c r="V1572">
        <f t="shared" si="399"/>
        <v>0</v>
      </c>
      <c r="W1572">
        <f t="shared" si="400"/>
        <v>0</v>
      </c>
      <c r="X1572">
        <f t="shared" si="401"/>
        <v>0</v>
      </c>
      <c r="Y1572">
        <f t="shared" si="402"/>
        <v>0</v>
      </c>
    </row>
    <row r="1573" spans="1:25" hidden="1">
      <c r="A1573" t="str">
        <f t="shared" si="393"/>
        <v>Stephan 1956</v>
      </c>
      <c r="H1573">
        <f t="shared" si="395"/>
        <v>408.15</v>
      </c>
      <c r="I1573">
        <v>96.9</v>
      </c>
      <c r="J1573">
        <f t="shared" si="403"/>
        <v>5.47</v>
      </c>
      <c r="O1573">
        <v>1.65E-3</v>
      </c>
      <c r="S1573">
        <f t="shared" si="396"/>
        <v>1</v>
      </c>
      <c r="T1573">
        <f t="shared" si="397"/>
        <v>0</v>
      </c>
      <c r="U1573">
        <f t="shared" si="398"/>
        <v>0</v>
      </c>
      <c r="V1573">
        <f t="shared" si="399"/>
        <v>0</v>
      </c>
      <c r="W1573">
        <f t="shared" si="400"/>
        <v>0</v>
      </c>
      <c r="X1573">
        <f t="shared" si="401"/>
        <v>0</v>
      </c>
      <c r="Y1573">
        <f t="shared" si="402"/>
        <v>0</v>
      </c>
    </row>
    <row r="1574" spans="1:25" hidden="1">
      <c r="A1574" t="str">
        <f t="shared" si="393"/>
        <v>Stephan 1956</v>
      </c>
      <c r="H1574">
        <f t="shared" si="395"/>
        <v>408.15</v>
      </c>
      <c r="I1574">
        <v>97.2</v>
      </c>
      <c r="J1574">
        <f t="shared" si="403"/>
        <v>5.47</v>
      </c>
      <c r="O1574">
        <v>1.6900000000000001E-3</v>
      </c>
      <c r="S1574">
        <f t="shared" si="396"/>
        <v>1</v>
      </c>
      <c r="T1574">
        <f t="shared" si="397"/>
        <v>0</v>
      </c>
      <c r="U1574">
        <f t="shared" si="398"/>
        <v>0</v>
      </c>
      <c r="V1574">
        <f t="shared" si="399"/>
        <v>0</v>
      </c>
      <c r="W1574">
        <f t="shared" si="400"/>
        <v>0</v>
      </c>
      <c r="X1574">
        <f t="shared" si="401"/>
        <v>0</v>
      </c>
      <c r="Y1574">
        <f t="shared" si="402"/>
        <v>0</v>
      </c>
    </row>
    <row r="1575" spans="1:25" hidden="1">
      <c r="A1575" t="str">
        <f t="shared" si="393"/>
        <v>Stephan 1956</v>
      </c>
      <c r="H1575">
        <v>435.93</v>
      </c>
      <c r="I1575">
        <v>15.5</v>
      </c>
      <c r="J1575">
        <f t="shared" si="403"/>
        <v>5.47</v>
      </c>
      <c r="O1575">
        <v>3.86E-4</v>
      </c>
      <c r="S1575">
        <f t="shared" si="396"/>
        <v>1</v>
      </c>
      <c r="T1575">
        <f t="shared" si="397"/>
        <v>0</v>
      </c>
      <c r="U1575">
        <f t="shared" si="398"/>
        <v>0</v>
      </c>
      <c r="V1575">
        <f t="shared" si="399"/>
        <v>0</v>
      </c>
      <c r="W1575">
        <f t="shared" si="400"/>
        <v>0</v>
      </c>
      <c r="X1575">
        <f t="shared" si="401"/>
        <v>0</v>
      </c>
      <c r="Y1575">
        <f t="shared" si="402"/>
        <v>0</v>
      </c>
    </row>
    <row r="1576" spans="1:25" hidden="1">
      <c r="A1576" t="str">
        <f t="shared" si="393"/>
        <v>Stephan 1956</v>
      </c>
      <c r="H1576">
        <f t="shared" ref="H1576:H1591" si="404">H1575</f>
        <v>435.93</v>
      </c>
      <c r="I1576">
        <v>17.600000000000001</v>
      </c>
      <c r="J1576">
        <f t="shared" si="403"/>
        <v>5.47</v>
      </c>
      <c r="O1576">
        <v>4.0000000000000002E-4</v>
      </c>
      <c r="S1576">
        <f t="shared" si="396"/>
        <v>1</v>
      </c>
      <c r="T1576">
        <f t="shared" si="397"/>
        <v>0</v>
      </c>
      <c r="U1576">
        <f t="shared" si="398"/>
        <v>0</v>
      </c>
      <c r="V1576">
        <f t="shared" si="399"/>
        <v>0</v>
      </c>
      <c r="W1576">
        <f t="shared" si="400"/>
        <v>0</v>
      </c>
      <c r="X1576">
        <f t="shared" si="401"/>
        <v>0</v>
      </c>
      <c r="Y1576">
        <f t="shared" si="402"/>
        <v>0</v>
      </c>
    </row>
    <row r="1577" spans="1:25" hidden="1">
      <c r="A1577" t="str">
        <f t="shared" si="393"/>
        <v>Stephan 1956</v>
      </c>
      <c r="H1577">
        <f t="shared" si="404"/>
        <v>435.93</v>
      </c>
      <c r="I1577">
        <v>17.600000000000001</v>
      </c>
      <c r="J1577">
        <f t="shared" si="403"/>
        <v>5.47</v>
      </c>
      <c r="O1577">
        <v>4.0999999999999999E-4</v>
      </c>
      <c r="S1577">
        <f t="shared" si="396"/>
        <v>1</v>
      </c>
      <c r="T1577">
        <f t="shared" si="397"/>
        <v>0</v>
      </c>
      <c r="U1577">
        <f t="shared" si="398"/>
        <v>0</v>
      </c>
      <c r="V1577">
        <f t="shared" si="399"/>
        <v>0</v>
      </c>
      <c r="W1577">
        <f t="shared" si="400"/>
        <v>0</v>
      </c>
      <c r="X1577">
        <f t="shared" si="401"/>
        <v>0</v>
      </c>
      <c r="Y1577">
        <f t="shared" si="402"/>
        <v>0</v>
      </c>
    </row>
    <row r="1578" spans="1:25" hidden="1">
      <c r="A1578" t="str">
        <f t="shared" si="393"/>
        <v>Stephan 1956</v>
      </c>
      <c r="H1578">
        <f t="shared" si="404"/>
        <v>435.93</v>
      </c>
      <c r="I1578">
        <v>36.200000000000003</v>
      </c>
      <c r="J1578">
        <f t="shared" si="403"/>
        <v>5.47</v>
      </c>
      <c r="O1578">
        <v>8.3600000000000005E-4</v>
      </c>
      <c r="S1578">
        <f t="shared" si="396"/>
        <v>1</v>
      </c>
      <c r="T1578">
        <f t="shared" si="397"/>
        <v>0</v>
      </c>
      <c r="U1578">
        <f t="shared" si="398"/>
        <v>0</v>
      </c>
      <c r="V1578">
        <f t="shared" si="399"/>
        <v>0</v>
      </c>
      <c r="W1578">
        <f t="shared" si="400"/>
        <v>0</v>
      </c>
      <c r="X1578">
        <f t="shared" si="401"/>
        <v>0</v>
      </c>
      <c r="Y1578">
        <f t="shared" si="402"/>
        <v>0</v>
      </c>
    </row>
    <row r="1579" spans="1:25" hidden="1">
      <c r="A1579" t="str">
        <f t="shared" si="393"/>
        <v>Stephan 1956</v>
      </c>
      <c r="H1579">
        <f t="shared" si="404"/>
        <v>435.93</v>
      </c>
      <c r="I1579">
        <v>39.200000000000003</v>
      </c>
      <c r="J1579">
        <f t="shared" si="403"/>
        <v>5.47</v>
      </c>
      <c r="O1579">
        <v>8.6799999999999996E-4</v>
      </c>
      <c r="S1579">
        <f t="shared" si="396"/>
        <v>1</v>
      </c>
      <c r="T1579">
        <f t="shared" si="397"/>
        <v>0</v>
      </c>
      <c r="U1579">
        <f t="shared" si="398"/>
        <v>0</v>
      </c>
      <c r="V1579">
        <f t="shared" si="399"/>
        <v>0</v>
      </c>
      <c r="W1579">
        <f t="shared" si="400"/>
        <v>0</v>
      </c>
      <c r="X1579">
        <f t="shared" si="401"/>
        <v>0</v>
      </c>
      <c r="Y1579">
        <f t="shared" si="402"/>
        <v>0</v>
      </c>
    </row>
    <row r="1580" spans="1:25" hidden="1">
      <c r="A1580" t="str">
        <f t="shared" si="393"/>
        <v>Stephan 1956</v>
      </c>
      <c r="H1580">
        <f t="shared" si="404"/>
        <v>435.93</v>
      </c>
      <c r="I1580">
        <v>40.299999999999997</v>
      </c>
      <c r="J1580">
        <f t="shared" si="403"/>
        <v>5.47</v>
      </c>
      <c r="O1580">
        <v>8.6799999999999996E-4</v>
      </c>
      <c r="S1580">
        <f t="shared" si="396"/>
        <v>1</v>
      </c>
      <c r="T1580">
        <f t="shared" si="397"/>
        <v>0</v>
      </c>
      <c r="U1580">
        <f t="shared" si="398"/>
        <v>0</v>
      </c>
      <c r="V1580">
        <f t="shared" si="399"/>
        <v>0</v>
      </c>
      <c r="W1580">
        <f t="shared" si="400"/>
        <v>0</v>
      </c>
      <c r="X1580">
        <f t="shared" si="401"/>
        <v>0</v>
      </c>
      <c r="Y1580">
        <f t="shared" si="402"/>
        <v>0</v>
      </c>
    </row>
    <row r="1581" spans="1:25" hidden="1">
      <c r="A1581" t="str">
        <f t="shared" si="393"/>
        <v>Stephan 1956</v>
      </c>
      <c r="H1581">
        <f t="shared" si="404"/>
        <v>435.93</v>
      </c>
      <c r="I1581">
        <v>40.700000000000003</v>
      </c>
      <c r="J1581">
        <f t="shared" si="403"/>
        <v>5.47</v>
      </c>
      <c r="O1581">
        <v>8.8199999999999997E-4</v>
      </c>
      <c r="S1581">
        <f t="shared" si="396"/>
        <v>1</v>
      </c>
      <c r="T1581">
        <f t="shared" si="397"/>
        <v>0</v>
      </c>
      <c r="U1581">
        <f t="shared" si="398"/>
        <v>0</v>
      </c>
      <c r="V1581">
        <f t="shared" si="399"/>
        <v>0</v>
      </c>
      <c r="W1581">
        <f t="shared" si="400"/>
        <v>0</v>
      </c>
      <c r="X1581">
        <f t="shared" si="401"/>
        <v>0</v>
      </c>
      <c r="Y1581">
        <f t="shared" si="402"/>
        <v>0</v>
      </c>
    </row>
    <row r="1582" spans="1:25" hidden="1">
      <c r="A1582" t="str">
        <f t="shared" si="393"/>
        <v>Stephan 1956</v>
      </c>
      <c r="H1582">
        <f t="shared" si="404"/>
        <v>435.93</v>
      </c>
      <c r="I1582">
        <v>41.7</v>
      </c>
      <c r="J1582">
        <f t="shared" si="403"/>
        <v>5.47</v>
      </c>
      <c r="O1582">
        <v>9.3999999999999997E-4</v>
      </c>
      <c r="S1582">
        <f t="shared" si="396"/>
        <v>1</v>
      </c>
      <c r="T1582">
        <f t="shared" si="397"/>
        <v>0</v>
      </c>
      <c r="U1582">
        <f t="shared" si="398"/>
        <v>0</v>
      </c>
      <c r="V1582">
        <f t="shared" si="399"/>
        <v>0</v>
      </c>
      <c r="W1582">
        <f t="shared" si="400"/>
        <v>0</v>
      </c>
      <c r="X1582">
        <f t="shared" si="401"/>
        <v>0</v>
      </c>
      <c r="Y1582">
        <f t="shared" si="402"/>
        <v>0</v>
      </c>
    </row>
    <row r="1583" spans="1:25" hidden="1">
      <c r="A1583" t="str">
        <f t="shared" si="393"/>
        <v>Stephan 1956</v>
      </c>
      <c r="H1583">
        <f t="shared" si="404"/>
        <v>435.93</v>
      </c>
      <c r="I1583">
        <v>45.2</v>
      </c>
      <c r="J1583">
        <f t="shared" si="403"/>
        <v>5.47</v>
      </c>
      <c r="O1583">
        <v>1.0319999999999999E-3</v>
      </c>
      <c r="S1583">
        <f t="shared" si="396"/>
        <v>1</v>
      </c>
      <c r="T1583">
        <f t="shared" si="397"/>
        <v>0</v>
      </c>
      <c r="U1583">
        <f t="shared" si="398"/>
        <v>0</v>
      </c>
      <c r="V1583">
        <f t="shared" si="399"/>
        <v>0</v>
      </c>
      <c r="W1583">
        <f t="shared" si="400"/>
        <v>0</v>
      </c>
      <c r="X1583">
        <f t="shared" si="401"/>
        <v>0</v>
      </c>
      <c r="Y1583">
        <f t="shared" si="402"/>
        <v>0</v>
      </c>
    </row>
    <row r="1584" spans="1:25" hidden="1">
      <c r="A1584" t="str">
        <f t="shared" si="393"/>
        <v>Stephan 1956</v>
      </c>
      <c r="H1584">
        <f t="shared" si="404"/>
        <v>435.93</v>
      </c>
      <c r="I1584">
        <v>54.9</v>
      </c>
      <c r="J1584">
        <f t="shared" si="403"/>
        <v>5.47</v>
      </c>
      <c r="O1584">
        <v>1.32E-3</v>
      </c>
      <c r="S1584">
        <f t="shared" si="396"/>
        <v>1</v>
      </c>
      <c r="T1584">
        <f t="shared" si="397"/>
        <v>0</v>
      </c>
      <c r="U1584">
        <f t="shared" si="398"/>
        <v>0</v>
      </c>
      <c r="V1584">
        <f t="shared" si="399"/>
        <v>0</v>
      </c>
      <c r="W1584">
        <f t="shared" si="400"/>
        <v>0</v>
      </c>
      <c r="X1584">
        <f t="shared" si="401"/>
        <v>0</v>
      </c>
      <c r="Y1584">
        <f t="shared" si="402"/>
        <v>0</v>
      </c>
    </row>
    <row r="1585" spans="1:25" hidden="1">
      <c r="A1585" t="str">
        <f t="shared" si="393"/>
        <v>Stephan 1956</v>
      </c>
      <c r="H1585">
        <f t="shared" si="404"/>
        <v>435.93</v>
      </c>
      <c r="I1585">
        <v>68.3</v>
      </c>
      <c r="J1585">
        <f t="shared" si="403"/>
        <v>5.47</v>
      </c>
      <c r="O1585">
        <v>1.5200000000000001E-3</v>
      </c>
      <c r="S1585">
        <f t="shared" si="396"/>
        <v>1</v>
      </c>
      <c r="T1585">
        <f t="shared" si="397"/>
        <v>0</v>
      </c>
      <c r="U1585">
        <f t="shared" si="398"/>
        <v>0</v>
      </c>
      <c r="V1585">
        <f t="shared" si="399"/>
        <v>0</v>
      </c>
      <c r="W1585">
        <f t="shared" si="400"/>
        <v>0</v>
      </c>
      <c r="X1585">
        <f t="shared" si="401"/>
        <v>0</v>
      </c>
      <c r="Y1585">
        <f t="shared" si="402"/>
        <v>0</v>
      </c>
    </row>
    <row r="1586" spans="1:25" hidden="1">
      <c r="A1586" t="str">
        <f t="shared" si="393"/>
        <v>Stephan 1956</v>
      </c>
      <c r="H1586">
        <f t="shared" si="404"/>
        <v>435.93</v>
      </c>
      <c r="I1586">
        <v>69.3</v>
      </c>
      <c r="J1586">
        <f t="shared" si="403"/>
        <v>5.47</v>
      </c>
      <c r="O1586">
        <v>1.5499999999999999E-3</v>
      </c>
      <c r="S1586">
        <f t="shared" si="396"/>
        <v>1</v>
      </c>
      <c r="T1586">
        <f t="shared" si="397"/>
        <v>0</v>
      </c>
      <c r="U1586">
        <f t="shared" si="398"/>
        <v>0</v>
      </c>
      <c r="V1586">
        <f t="shared" si="399"/>
        <v>0</v>
      </c>
      <c r="W1586">
        <f t="shared" si="400"/>
        <v>0</v>
      </c>
      <c r="X1586">
        <f t="shared" si="401"/>
        <v>0</v>
      </c>
      <c r="Y1586">
        <f t="shared" si="402"/>
        <v>0</v>
      </c>
    </row>
    <row r="1587" spans="1:25" hidden="1">
      <c r="A1587" t="str">
        <f t="shared" si="393"/>
        <v>Stephan 1956</v>
      </c>
      <c r="H1587">
        <f t="shared" si="404"/>
        <v>435.93</v>
      </c>
      <c r="I1587">
        <v>75.2</v>
      </c>
      <c r="J1587">
        <f t="shared" si="403"/>
        <v>5.47</v>
      </c>
      <c r="O1587">
        <v>1.6999999999999999E-3</v>
      </c>
      <c r="S1587">
        <f t="shared" si="396"/>
        <v>1</v>
      </c>
      <c r="T1587">
        <f t="shared" si="397"/>
        <v>0</v>
      </c>
      <c r="U1587">
        <f t="shared" si="398"/>
        <v>0</v>
      </c>
      <c r="V1587">
        <f t="shared" si="399"/>
        <v>0</v>
      </c>
      <c r="W1587">
        <f t="shared" si="400"/>
        <v>0</v>
      </c>
      <c r="X1587">
        <f t="shared" si="401"/>
        <v>0</v>
      </c>
      <c r="Y1587">
        <f t="shared" si="402"/>
        <v>0</v>
      </c>
    </row>
    <row r="1588" spans="1:25" hidden="1">
      <c r="A1588" t="str">
        <f t="shared" si="393"/>
        <v>Stephan 1956</v>
      </c>
      <c r="H1588">
        <f t="shared" si="404"/>
        <v>435.93</v>
      </c>
      <c r="I1588">
        <v>77.599999999999994</v>
      </c>
      <c r="J1588">
        <f t="shared" si="403"/>
        <v>5.47</v>
      </c>
      <c r="O1588">
        <v>1.81E-3</v>
      </c>
      <c r="S1588">
        <f t="shared" si="396"/>
        <v>1</v>
      </c>
      <c r="T1588">
        <f t="shared" si="397"/>
        <v>0</v>
      </c>
      <c r="U1588">
        <f t="shared" si="398"/>
        <v>0</v>
      </c>
      <c r="V1588">
        <f t="shared" si="399"/>
        <v>0</v>
      </c>
      <c r="W1588">
        <f t="shared" si="400"/>
        <v>0</v>
      </c>
      <c r="X1588">
        <f t="shared" si="401"/>
        <v>0</v>
      </c>
      <c r="Y1588">
        <f t="shared" si="402"/>
        <v>0</v>
      </c>
    </row>
    <row r="1589" spans="1:25" hidden="1">
      <c r="A1589" t="str">
        <f t="shared" si="393"/>
        <v>Stephan 1956</v>
      </c>
      <c r="H1589">
        <f t="shared" si="404"/>
        <v>435.93</v>
      </c>
      <c r="I1589">
        <v>84.4</v>
      </c>
      <c r="J1589">
        <f t="shared" si="403"/>
        <v>5.47</v>
      </c>
      <c r="O1589">
        <v>1.97E-3</v>
      </c>
      <c r="S1589">
        <f t="shared" si="396"/>
        <v>1</v>
      </c>
      <c r="T1589">
        <f t="shared" si="397"/>
        <v>0</v>
      </c>
      <c r="U1589">
        <f t="shared" si="398"/>
        <v>0</v>
      </c>
      <c r="V1589">
        <f t="shared" si="399"/>
        <v>0</v>
      </c>
      <c r="W1589">
        <f t="shared" si="400"/>
        <v>0</v>
      </c>
      <c r="X1589">
        <f t="shared" si="401"/>
        <v>0</v>
      </c>
      <c r="Y1589">
        <f t="shared" si="402"/>
        <v>0</v>
      </c>
    </row>
    <row r="1590" spans="1:25" hidden="1">
      <c r="A1590" t="str">
        <f t="shared" si="393"/>
        <v>Stephan 1956</v>
      </c>
      <c r="H1590">
        <f t="shared" si="404"/>
        <v>435.93</v>
      </c>
      <c r="I1590">
        <v>88.9</v>
      </c>
      <c r="J1590">
        <f t="shared" si="403"/>
        <v>5.47</v>
      </c>
      <c r="O1590">
        <v>1.9400000000000001E-3</v>
      </c>
      <c r="S1590">
        <f t="shared" si="396"/>
        <v>1</v>
      </c>
      <c r="T1590">
        <f t="shared" si="397"/>
        <v>0</v>
      </c>
      <c r="U1590">
        <f t="shared" si="398"/>
        <v>0</v>
      </c>
      <c r="V1590">
        <f t="shared" si="399"/>
        <v>0</v>
      </c>
      <c r="W1590">
        <f t="shared" si="400"/>
        <v>0</v>
      </c>
      <c r="X1590">
        <f t="shared" si="401"/>
        <v>0</v>
      </c>
      <c r="Y1590">
        <f t="shared" si="402"/>
        <v>0</v>
      </c>
    </row>
    <row r="1591" spans="1:25" hidden="1">
      <c r="A1591" t="str">
        <f t="shared" si="393"/>
        <v>Stephan 1956</v>
      </c>
      <c r="H1591">
        <f t="shared" si="404"/>
        <v>435.93</v>
      </c>
      <c r="I1591">
        <v>91</v>
      </c>
      <c r="J1591">
        <f t="shared" si="403"/>
        <v>5.47</v>
      </c>
      <c r="O1591">
        <v>2.0200000000000001E-3</v>
      </c>
      <c r="S1591">
        <f t="shared" si="396"/>
        <v>1</v>
      </c>
      <c r="T1591">
        <f t="shared" si="397"/>
        <v>0</v>
      </c>
      <c r="U1591">
        <f t="shared" si="398"/>
        <v>0</v>
      </c>
      <c r="V1591">
        <f t="shared" si="399"/>
        <v>0</v>
      </c>
      <c r="W1591">
        <f t="shared" si="400"/>
        <v>0</v>
      </c>
      <c r="X1591">
        <f t="shared" si="401"/>
        <v>0</v>
      </c>
      <c r="Y1591">
        <f t="shared" si="402"/>
        <v>0</v>
      </c>
    </row>
    <row r="1592" spans="1:25" hidden="1">
      <c r="A1592" t="s">
        <v>70</v>
      </c>
      <c r="E1592">
        <v>0.31</v>
      </c>
      <c r="H1592">
        <v>268.14999999999998</v>
      </c>
      <c r="I1592">
        <v>1.01</v>
      </c>
      <c r="J1592">
        <f t="shared" ref="J1592:J1633" si="405">1000*( 26.518/58.44 + 2.447/95.21 + 3.305/120.37 + 1.141/110.98 + 0.725/74.55 + 0.202/84.01 + 0.083/102.89 )/965.579</f>
        <v>0.54903839574461266</v>
      </c>
      <c r="L1592">
        <f t="shared" ref="L1592:L1633" si="406">(10*E1592/44.01) / ( (10*E1592/44.01) + (965.579/18.015) + (26.518/58.44) + (2.447/95.21) + (3.305/120.37) + (1.141/110.98) + (0.725/74.55) + (0.202/84.01) + (0.083/102.89) )</f>
        <v>1.2996234025323848E-3</v>
      </c>
      <c r="S1592">
        <f t="shared" si="396"/>
        <v>1</v>
      </c>
      <c r="T1592">
        <f t="shared" si="397"/>
        <v>0</v>
      </c>
      <c r="U1592">
        <f t="shared" si="398"/>
        <v>0</v>
      </c>
      <c r="V1592">
        <f t="shared" si="399"/>
        <v>0</v>
      </c>
      <c r="W1592">
        <f t="shared" si="400"/>
        <v>0</v>
      </c>
      <c r="X1592">
        <f t="shared" si="401"/>
        <v>0</v>
      </c>
      <c r="Y1592">
        <f t="shared" si="402"/>
        <v>0</v>
      </c>
    </row>
    <row r="1593" spans="1:25" hidden="1">
      <c r="A1593" t="str">
        <f t="shared" ref="A1593:A1624" si="407">A1592</f>
        <v>Stewart 1970</v>
      </c>
      <c r="E1593">
        <v>1.446</v>
      </c>
      <c r="H1593">
        <f>H1592</f>
        <v>268.14999999999998</v>
      </c>
      <c r="I1593">
        <v>5.07</v>
      </c>
      <c r="J1593">
        <f t="shared" si="405"/>
        <v>0.54903839574461266</v>
      </c>
      <c r="L1593">
        <f t="shared" si="406"/>
        <v>6.0333804033905437E-3</v>
      </c>
      <c r="S1593">
        <f t="shared" si="396"/>
        <v>1</v>
      </c>
      <c r="T1593">
        <f t="shared" si="397"/>
        <v>0</v>
      </c>
      <c r="U1593">
        <f t="shared" si="398"/>
        <v>0</v>
      </c>
      <c r="V1593">
        <f t="shared" si="399"/>
        <v>0</v>
      </c>
      <c r="W1593">
        <f t="shared" si="400"/>
        <v>0</v>
      </c>
      <c r="X1593">
        <f t="shared" si="401"/>
        <v>0</v>
      </c>
      <c r="Y1593">
        <f t="shared" si="402"/>
        <v>0</v>
      </c>
    </row>
    <row r="1594" spans="1:25" hidden="1">
      <c r="A1594" t="str">
        <f t="shared" si="407"/>
        <v>Stewart 1970</v>
      </c>
      <c r="E1594">
        <v>2.7519999999999998</v>
      </c>
      <c r="H1594">
        <f>H1593</f>
        <v>268.14999999999998</v>
      </c>
      <c r="I1594">
        <v>10.130000000000001</v>
      </c>
      <c r="J1594">
        <f t="shared" si="405"/>
        <v>0.54903839574461266</v>
      </c>
      <c r="L1594">
        <f t="shared" si="406"/>
        <v>1.1420383730151239E-2</v>
      </c>
      <c r="S1594">
        <f t="shared" si="396"/>
        <v>1</v>
      </c>
      <c r="T1594">
        <f t="shared" si="397"/>
        <v>0</v>
      </c>
      <c r="U1594">
        <f t="shared" si="398"/>
        <v>0</v>
      </c>
      <c r="V1594">
        <f t="shared" si="399"/>
        <v>0</v>
      </c>
      <c r="W1594">
        <f t="shared" si="400"/>
        <v>0</v>
      </c>
      <c r="X1594">
        <f t="shared" si="401"/>
        <v>0</v>
      </c>
      <c r="Y1594">
        <f t="shared" si="402"/>
        <v>0</v>
      </c>
    </row>
    <row r="1595" spans="1:25" hidden="1">
      <c r="A1595" t="str">
        <f t="shared" si="407"/>
        <v>Stewart 1970</v>
      </c>
      <c r="E1595">
        <v>4.7809999999999997</v>
      </c>
      <c r="H1595">
        <f>H1594</f>
        <v>268.14999999999998</v>
      </c>
      <c r="I1595">
        <v>20.260000000000002</v>
      </c>
      <c r="J1595">
        <f t="shared" si="405"/>
        <v>0.54903839574461266</v>
      </c>
      <c r="L1595">
        <f t="shared" si="406"/>
        <v>1.967476445734356E-2</v>
      </c>
      <c r="S1595">
        <f t="shared" si="396"/>
        <v>1</v>
      </c>
      <c r="T1595">
        <f t="shared" si="397"/>
        <v>0</v>
      </c>
      <c r="U1595">
        <f t="shared" si="398"/>
        <v>0</v>
      </c>
      <c r="V1595">
        <f t="shared" si="399"/>
        <v>0</v>
      </c>
      <c r="W1595">
        <f t="shared" si="400"/>
        <v>0</v>
      </c>
      <c r="X1595">
        <f t="shared" si="401"/>
        <v>0</v>
      </c>
      <c r="Y1595">
        <f t="shared" si="402"/>
        <v>0</v>
      </c>
    </row>
    <row r="1596" spans="1:25" hidden="1">
      <c r="A1596" t="str">
        <f t="shared" si="407"/>
        <v>Stewart 1970</v>
      </c>
      <c r="E1596">
        <v>5.6040000000000001</v>
      </c>
      <c r="H1596">
        <f>H1595</f>
        <v>268.14999999999998</v>
      </c>
      <c r="I1596">
        <v>30.4</v>
      </c>
      <c r="J1596">
        <f t="shared" si="405"/>
        <v>0.54903839574461266</v>
      </c>
      <c r="L1596">
        <f t="shared" si="406"/>
        <v>2.2983731401187941E-2</v>
      </c>
      <c r="S1596">
        <f t="shared" si="396"/>
        <v>1</v>
      </c>
      <c r="T1596">
        <f t="shared" si="397"/>
        <v>0</v>
      </c>
      <c r="U1596">
        <f t="shared" si="398"/>
        <v>0</v>
      </c>
      <c r="V1596">
        <f t="shared" si="399"/>
        <v>0</v>
      </c>
      <c r="W1596">
        <f t="shared" si="400"/>
        <v>0</v>
      </c>
      <c r="X1596">
        <f t="shared" si="401"/>
        <v>0</v>
      </c>
      <c r="Y1596">
        <f t="shared" si="402"/>
        <v>0</v>
      </c>
    </row>
    <row r="1597" spans="1:25" hidden="1">
      <c r="A1597" t="str">
        <f t="shared" si="407"/>
        <v>Stewart 1970</v>
      </c>
      <c r="E1597">
        <v>0.26500000000000001</v>
      </c>
      <c r="H1597">
        <v>273.14999999999998</v>
      </c>
      <c r="I1597">
        <v>1.01</v>
      </c>
      <c r="J1597">
        <f t="shared" si="405"/>
        <v>0.54903839574461266</v>
      </c>
      <c r="L1597">
        <f t="shared" si="406"/>
        <v>1.1111780217882236E-3</v>
      </c>
      <c r="S1597">
        <f t="shared" si="396"/>
        <v>1</v>
      </c>
      <c r="T1597">
        <f t="shared" si="397"/>
        <v>0</v>
      </c>
      <c r="U1597">
        <f t="shared" si="398"/>
        <v>0</v>
      </c>
      <c r="V1597">
        <f t="shared" si="399"/>
        <v>0</v>
      </c>
      <c r="W1597">
        <f t="shared" si="400"/>
        <v>0</v>
      </c>
      <c r="X1597">
        <f t="shared" si="401"/>
        <v>0</v>
      </c>
      <c r="Y1597">
        <f t="shared" si="402"/>
        <v>0</v>
      </c>
    </row>
    <row r="1598" spans="1:25" hidden="1">
      <c r="A1598" t="str">
        <f t="shared" si="407"/>
        <v>Stewart 1970</v>
      </c>
      <c r="E1598">
        <v>1.248</v>
      </c>
      <c r="H1598">
        <f t="shared" ref="H1598:H1603" si="408">H1597</f>
        <v>273.14999999999998</v>
      </c>
      <c r="I1598">
        <v>5.07</v>
      </c>
      <c r="J1598">
        <f t="shared" si="405"/>
        <v>0.54903839574461266</v>
      </c>
      <c r="L1598">
        <f t="shared" si="406"/>
        <v>5.211538378803309E-3</v>
      </c>
      <c r="S1598">
        <f t="shared" si="396"/>
        <v>1</v>
      </c>
      <c r="T1598">
        <f t="shared" si="397"/>
        <v>0</v>
      </c>
      <c r="U1598">
        <f t="shared" si="398"/>
        <v>0</v>
      </c>
      <c r="V1598">
        <f t="shared" si="399"/>
        <v>0</v>
      </c>
      <c r="W1598">
        <f t="shared" si="400"/>
        <v>0</v>
      </c>
      <c r="X1598">
        <f t="shared" si="401"/>
        <v>0</v>
      </c>
      <c r="Y1598">
        <f t="shared" si="402"/>
        <v>0</v>
      </c>
    </row>
    <row r="1599" spans="1:25" hidden="1">
      <c r="A1599" t="str">
        <f t="shared" si="407"/>
        <v>Stewart 1970</v>
      </c>
      <c r="E1599">
        <v>2.3580000000000001</v>
      </c>
      <c r="H1599">
        <f t="shared" si="408"/>
        <v>273.14999999999998</v>
      </c>
      <c r="I1599">
        <v>10.130000000000001</v>
      </c>
      <c r="J1599">
        <f t="shared" si="405"/>
        <v>0.54903839574461266</v>
      </c>
      <c r="L1599">
        <f t="shared" si="406"/>
        <v>9.8013689611831118E-3</v>
      </c>
      <c r="S1599">
        <f t="shared" ref="S1599:S1627" si="409">S1598</f>
        <v>1</v>
      </c>
      <c r="T1599">
        <f t="shared" ref="T1599:T1627" si="410">T1598</f>
        <v>0</v>
      </c>
      <c r="U1599">
        <f t="shared" ref="U1599:U1627" si="411">U1598</f>
        <v>0</v>
      </c>
      <c r="V1599">
        <f t="shared" ref="V1599:V1627" si="412">V1598</f>
        <v>0</v>
      </c>
      <c r="W1599">
        <f t="shared" ref="W1599:W1627" si="413">W1598</f>
        <v>0</v>
      </c>
      <c r="X1599">
        <f t="shared" ref="X1599:X1627" si="414">X1598</f>
        <v>0</v>
      </c>
      <c r="Y1599">
        <f t="shared" ref="Y1599:Y1627" si="415">Y1598</f>
        <v>0</v>
      </c>
    </row>
    <row r="1600" spans="1:25" hidden="1">
      <c r="A1600" t="str">
        <f t="shared" si="407"/>
        <v>Stewart 1970</v>
      </c>
      <c r="E1600">
        <v>3.3119999999999998</v>
      </c>
      <c r="H1600">
        <f t="shared" si="408"/>
        <v>273.14999999999998</v>
      </c>
      <c r="I1600">
        <v>15.2</v>
      </c>
      <c r="J1600">
        <f t="shared" si="405"/>
        <v>0.54903839574461266</v>
      </c>
      <c r="L1600">
        <f t="shared" si="406"/>
        <v>1.3712432492491135E-2</v>
      </c>
      <c r="S1600">
        <f t="shared" si="409"/>
        <v>1</v>
      </c>
      <c r="T1600">
        <f t="shared" si="410"/>
        <v>0</v>
      </c>
      <c r="U1600">
        <f t="shared" si="411"/>
        <v>0</v>
      </c>
      <c r="V1600">
        <f t="shared" si="412"/>
        <v>0</v>
      </c>
      <c r="W1600">
        <f t="shared" si="413"/>
        <v>0</v>
      </c>
      <c r="X1600">
        <f t="shared" si="414"/>
        <v>0</v>
      </c>
      <c r="Y1600">
        <f t="shared" si="415"/>
        <v>0</v>
      </c>
    </row>
    <row r="1601" spans="1:25" hidden="1">
      <c r="A1601" t="str">
        <f t="shared" si="407"/>
        <v>Stewart 1970</v>
      </c>
      <c r="E1601">
        <v>4.1520000000000001</v>
      </c>
      <c r="H1601">
        <f t="shared" si="408"/>
        <v>273.14999999999998</v>
      </c>
      <c r="I1601">
        <v>20.260000000000002</v>
      </c>
      <c r="J1601">
        <f t="shared" si="405"/>
        <v>0.54903839574461266</v>
      </c>
      <c r="L1601">
        <f t="shared" si="406"/>
        <v>1.7130646536265379E-2</v>
      </c>
      <c r="S1601">
        <f t="shared" si="409"/>
        <v>1</v>
      </c>
      <c r="T1601">
        <f t="shared" si="410"/>
        <v>0</v>
      </c>
      <c r="U1601">
        <f t="shared" si="411"/>
        <v>0</v>
      </c>
      <c r="V1601">
        <f t="shared" si="412"/>
        <v>0</v>
      </c>
      <c r="W1601">
        <f t="shared" si="413"/>
        <v>0</v>
      </c>
      <c r="X1601">
        <f t="shared" si="414"/>
        <v>0</v>
      </c>
      <c r="Y1601">
        <f t="shared" si="415"/>
        <v>0</v>
      </c>
    </row>
    <row r="1602" spans="1:25" hidden="1">
      <c r="A1602" t="str">
        <f t="shared" si="407"/>
        <v>Stewart 1970</v>
      </c>
      <c r="E1602">
        <v>5.6040000000000001</v>
      </c>
      <c r="H1602">
        <f t="shared" si="408"/>
        <v>273.14999999999998</v>
      </c>
      <c r="I1602">
        <v>30.4</v>
      </c>
      <c r="J1602">
        <f t="shared" si="405"/>
        <v>0.54903839574461266</v>
      </c>
      <c r="L1602">
        <f t="shared" si="406"/>
        <v>2.2983731401187941E-2</v>
      </c>
      <c r="S1602">
        <f t="shared" si="409"/>
        <v>1</v>
      </c>
      <c r="T1602">
        <f t="shared" si="410"/>
        <v>0</v>
      </c>
      <c r="U1602">
        <f t="shared" si="411"/>
        <v>0</v>
      </c>
      <c r="V1602">
        <f t="shared" si="412"/>
        <v>0</v>
      </c>
      <c r="W1602">
        <f t="shared" si="413"/>
        <v>0</v>
      </c>
      <c r="X1602">
        <f t="shared" si="414"/>
        <v>0</v>
      </c>
      <c r="Y1602">
        <f t="shared" si="415"/>
        <v>0</v>
      </c>
    </row>
    <row r="1603" spans="1:25" hidden="1">
      <c r="A1603" t="str">
        <f t="shared" si="407"/>
        <v>Stewart 1970</v>
      </c>
      <c r="E1603">
        <v>6.0069999999999997</v>
      </c>
      <c r="H1603">
        <f t="shared" si="408"/>
        <v>273.14999999999998</v>
      </c>
      <c r="I1603">
        <v>34.450000000000003</v>
      </c>
      <c r="J1603">
        <f t="shared" si="405"/>
        <v>0.54903839574461266</v>
      </c>
      <c r="L1603">
        <f t="shared" si="406"/>
        <v>2.4595905840915255E-2</v>
      </c>
      <c r="S1603">
        <f t="shared" si="409"/>
        <v>1</v>
      </c>
      <c r="T1603">
        <f t="shared" si="410"/>
        <v>0</v>
      </c>
      <c r="U1603">
        <f t="shared" si="411"/>
        <v>0</v>
      </c>
      <c r="V1603">
        <f t="shared" si="412"/>
        <v>0</v>
      </c>
      <c r="W1603">
        <f t="shared" si="413"/>
        <v>0</v>
      </c>
      <c r="X1603">
        <f t="shared" si="414"/>
        <v>0</v>
      </c>
      <c r="Y1603">
        <f t="shared" si="415"/>
        <v>0</v>
      </c>
    </row>
    <row r="1604" spans="1:25" hidden="1">
      <c r="A1604" t="str">
        <f t="shared" si="407"/>
        <v>Stewart 1970</v>
      </c>
      <c r="E1604">
        <v>0.22</v>
      </c>
      <c r="H1604">
        <v>278.14999999999998</v>
      </c>
      <c r="I1604">
        <v>1.01</v>
      </c>
      <c r="J1604">
        <f t="shared" si="405"/>
        <v>0.54903839574461266</v>
      </c>
      <c r="L1604">
        <f t="shared" si="406"/>
        <v>9.2266151187591987E-4</v>
      </c>
      <c r="S1604">
        <f t="shared" si="409"/>
        <v>1</v>
      </c>
      <c r="T1604">
        <f t="shared" si="410"/>
        <v>0</v>
      </c>
      <c r="U1604">
        <f t="shared" si="411"/>
        <v>0</v>
      </c>
      <c r="V1604">
        <f t="shared" si="412"/>
        <v>0</v>
      </c>
      <c r="W1604">
        <f t="shared" si="413"/>
        <v>0</v>
      </c>
      <c r="X1604">
        <f t="shared" si="414"/>
        <v>0</v>
      </c>
      <c r="Y1604">
        <f t="shared" si="415"/>
        <v>0</v>
      </c>
    </row>
    <row r="1605" spans="1:25" hidden="1">
      <c r="A1605" t="str">
        <f t="shared" si="407"/>
        <v>Stewart 1970</v>
      </c>
      <c r="E1605">
        <v>1.0429999999999999</v>
      </c>
      <c r="H1605">
        <f>H1604</f>
        <v>278.14999999999998</v>
      </c>
      <c r="I1605">
        <v>5.07</v>
      </c>
      <c r="J1605">
        <f t="shared" si="405"/>
        <v>0.54903839574461266</v>
      </c>
      <c r="L1605">
        <f t="shared" si="406"/>
        <v>4.3592081378980609E-3</v>
      </c>
      <c r="S1605">
        <f t="shared" si="409"/>
        <v>1</v>
      </c>
      <c r="T1605">
        <f t="shared" si="410"/>
        <v>0</v>
      </c>
      <c r="U1605">
        <f t="shared" si="411"/>
        <v>0</v>
      </c>
      <c r="V1605">
        <f t="shared" si="412"/>
        <v>0</v>
      </c>
      <c r="W1605">
        <f t="shared" si="413"/>
        <v>0</v>
      </c>
      <c r="X1605">
        <f t="shared" si="414"/>
        <v>0</v>
      </c>
      <c r="Y1605">
        <f t="shared" si="415"/>
        <v>0</v>
      </c>
    </row>
    <row r="1606" spans="1:25" hidden="1">
      <c r="A1606" t="str">
        <f t="shared" si="407"/>
        <v>Stewart 1970</v>
      </c>
      <c r="E1606">
        <v>2.004</v>
      </c>
      <c r="H1606">
        <f>H1605</f>
        <v>278.14999999999998</v>
      </c>
      <c r="I1606">
        <v>10.130000000000001</v>
      </c>
      <c r="J1606">
        <f t="shared" si="405"/>
        <v>0.54903839574461266</v>
      </c>
      <c r="L1606">
        <f t="shared" si="406"/>
        <v>8.3421917610673624E-3</v>
      </c>
      <c r="S1606">
        <f t="shared" si="409"/>
        <v>1</v>
      </c>
      <c r="T1606">
        <f t="shared" si="410"/>
        <v>0</v>
      </c>
      <c r="U1606">
        <f t="shared" si="411"/>
        <v>0</v>
      </c>
      <c r="V1606">
        <f t="shared" si="412"/>
        <v>0</v>
      </c>
      <c r="W1606">
        <f t="shared" si="413"/>
        <v>0</v>
      </c>
      <c r="X1606">
        <f t="shared" si="414"/>
        <v>0</v>
      </c>
      <c r="Y1606">
        <f t="shared" si="415"/>
        <v>0</v>
      </c>
    </row>
    <row r="1607" spans="1:25" hidden="1">
      <c r="A1607" t="str">
        <f t="shared" si="407"/>
        <v>Stewart 1970</v>
      </c>
      <c r="E1607">
        <v>3.548</v>
      </c>
      <c r="H1607">
        <f>H1606</f>
        <v>278.14999999999998</v>
      </c>
      <c r="I1607">
        <v>20.260000000000002</v>
      </c>
      <c r="J1607">
        <f t="shared" si="405"/>
        <v>0.54903839574461266</v>
      </c>
      <c r="L1607">
        <f t="shared" si="406"/>
        <v>1.4675187080461912E-2</v>
      </c>
      <c r="S1607">
        <f t="shared" si="409"/>
        <v>1</v>
      </c>
      <c r="T1607">
        <f t="shared" si="410"/>
        <v>0</v>
      </c>
      <c r="U1607">
        <f t="shared" si="411"/>
        <v>0</v>
      </c>
      <c r="V1607">
        <f t="shared" si="412"/>
        <v>0</v>
      </c>
      <c r="W1607">
        <f t="shared" si="413"/>
        <v>0</v>
      </c>
      <c r="X1607">
        <f t="shared" si="414"/>
        <v>0</v>
      </c>
      <c r="Y1607">
        <f t="shared" si="415"/>
        <v>0</v>
      </c>
    </row>
    <row r="1608" spans="1:25" hidden="1">
      <c r="A1608" t="str">
        <f t="shared" si="407"/>
        <v>Stewart 1970</v>
      </c>
      <c r="E1608">
        <v>4.843</v>
      </c>
      <c r="H1608">
        <f>H1607</f>
        <v>278.14999999999998</v>
      </c>
      <c r="I1608">
        <v>30.4</v>
      </c>
      <c r="J1608">
        <f t="shared" si="405"/>
        <v>0.54903839574461266</v>
      </c>
      <c r="L1608">
        <f t="shared" si="406"/>
        <v>1.9924823104460556E-2</v>
      </c>
      <c r="S1608">
        <f t="shared" si="409"/>
        <v>1</v>
      </c>
      <c r="T1608">
        <f t="shared" si="410"/>
        <v>0</v>
      </c>
      <c r="U1608">
        <f t="shared" si="411"/>
        <v>0</v>
      </c>
      <c r="V1608">
        <f t="shared" si="412"/>
        <v>0</v>
      </c>
      <c r="W1608">
        <f t="shared" si="413"/>
        <v>0</v>
      </c>
      <c r="X1608">
        <f t="shared" si="414"/>
        <v>0</v>
      </c>
      <c r="Y1608">
        <f t="shared" si="415"/>
        <v>0</v>
      </c>
    </row>
    <row r="1609" spans="1:25" hidden="1">
      <c r="A1609" t="str">
        <f t="shared" si="407"/>
        <v>Stewart 1970</v>
      </c>
      <c r="E1609">
        <v>5.601</v>
      </c>
      <c r="H1609">
        <f>H1608</f>
        <v>278.14999999999998</v>
      </c>
      <c r="I1609">
        <v>38.5</v>
      </c>
      <c r="J1609">
        <f t="shared" si="405"/>
        <v>0.54903839574461266</v>
      </c>
      <c r="L1609">
        <f t="shared" si="406"/>
        <v>2.2971710118647258E-2</v>
      </c>
      <c r="S1609">
        <f t="shared" si="409"/>
        <v>1</v>
      </c>
      <c r="T1609">
        <f t="shared" si="410"/>
        <v>0</v>
      </c>
      <c r="U1609">
        <f t="shared" si="411"/>
        <v>0</v>
      </c>
      <c r="V1609">
        <f t="shared" si="412"/>
        <v>0</v>
      </c>
      <c r="W1609">
        <f t="shared" si="413"/>
        <v>0</v>
      </c>
      <c r="X1609">
        <f t="shared" si="414"/>
        <v>0</v>
      </c>
      <c r="Y1609">
        <f t="shared" si="415"/>
        <v>0</v>
      </c>
    </row>
    <row r="1610" spans="1:25" hidden="1">
      <c r="A1610" t="str">
        <f t="shared" si="407"/>
        <v>Stewart 1970</v>
      </c>
      <c r="E1610">
        <v>0.191</v>
      </c>
      <c r="H1610">
        <v>283.14999999999998</v>
      </c>
      <c r="I1610">
        <v>1.01</v>
      </c>
      <c r="J1610">
        <f t="shared" si="405"/>
        <v>0.54903839574461266</v>
      </c>
      <c r="L1610">
        <f t="shared" si="406"/>
        <v>8.011353858868416E-4</v>
      </c>
      <c r="S1610">
        <f t="shared" si="409"/>
        <v>1</v>
      </c>
      <c r="T1610">
        <f t="shared" si="410"/>
        <v>0</v>
      </c>
      <c r="U1610">
        <f t="shared" si="411"/>
        <v>0</v>
      </c>
      <c r="V1610">
        <f t="shared" si="412"/>
        <v>0</v>
      </c>
      <c r="W1610">
        <f t="shared" si="413"/>
        <v>0</v>
      </c>
      <c r="X1610">
        <f t="shared" si="414"/>
        <v>0</v>
      </c>
      <c r="Y1610">
        <f t="shared" si="415"/>
        <v>0</v>
      </c>
    </row>
    <row r="1611" spans="1:25" hidden="1">
      <c r="A1611" t="str">
        <f t="shared" si="407"/>
        <v>Stewart 1970</v>
      </c>
      <c r="E1611">
        <v>0.88900000000000001</v>
      </c>
      <c r="H1611">
        <f>H1610</f>
        <v>283.14999999999998</v>
      </c>
      <c r="I1611">
        <v>5.07</v>
      </c>
      <c r="J1611">
        <f t="shared" si="405"/>
        <v>0.54903839574461266</v>
      </c>
      <c r="L1611">
        <f t="shared" si="406"/>
        <v>3.7179597009202388E-3</v>
      </c>
      <c r="S1611">
        <f t="shared" si="409"/>
        <v>1</v>
      </c>
      <c r="T1611">
        <f t="shared" si="410"/>
        <v>0</v>
      </c>
      <c r="U1611">
        <f t="shared" si="411"/>
        <v>0</v>
      </c>
      <c r="V1611">
        <f t="shared" si="412"/>
        <v>0</v>
      </c>
      <c r="W1611">
        <f t="shared" si="413"/>
        <v>0</v>
      </c>
      <c r="X1611">
        <f t="shared" si="414"/>
        <v>0</v>
      </c>
      <c r="Y1611">
        <f t="shared" si="415"/>
        <v>0</v>
      </c>
    </row>
    <row r="1612" spans="1:25" hidden="1">
      <c r="A1612" t="str">
        <f t="shared" si="407"/>
        <v>Stewart 1970</v>
      </c>
      <c r="E1612">
        <v>1.7010000000000001</v>
      </c>
      <c r="H1612">
        <f>H1611</f>
        <v>283.14999999999998</v>
      </c>
      <c r="I1612">
        <v>10.130000000000001</v>
      </c>
      <c r="J1612">
        <f t="shared" si="405"/>
        <v>0.54903839574461266</v>
      </c>
      <c r="L1612">
        <f t="shared" si="406"/>
        <v>7.0898148692205617E-3</v>
      </c>
      <c r="S1612">
        <f t="shared" si="409"/>
        <v>1</v>
      </c>
      <c r="T1612">
        <f t="shared" si="410"/>
        <v>0</v>
      </c>
      <c r="U1612">
        <f t="shared" si="411"/>
        <v>0</v>
      </c>
      <c r="V1612">
        <f t="shared" si="412"/>
        <v>0</v>
      </c>
      <c r="W1612">
        <f t="shared" si="413"/>
        <v>0</v>
      </c>
      <c r="X1612">
        <f t="shared" si="414"/>
        <v>0</v>
      </c>
      <c r="Y1612">
        <f t="shared" si="415"/>
        <v>0</v>
      </c>
    </row>
    <row r="1613" spans="1:25" hidden="1">
      <c r="A1613" t="str">
        <f t="shared" si="407"/>
        <v>Stewart 1970</v>
      </c>
      <c r="E1613">
        <v>3.0419999999999998</v>
      </c>
      <c r="H1613">
        <f>H1612</f>
        <v>283.14999999999998</v>
      </c>
      <c r="I1613">
        <v>20.260000000000002</v>
      </c>
      <c r="J1613">
        <f t="shared" si="405"/>
        <v>0.54903839574461266</v>
      </c>
      <c r="L1613">
        <f t="shared" si="406"/>
        <v>1.2608665888196662E-2</v>
      </c>
      <c r="S1613">
        <f t="shared" si="409"/>
        <v>1</v>
      </c>
      <c r="T1613">
        <f t="shared" si="410"/>
        <v>0</v>
      </c>
      <c r="U1613">
        <f t="shared" si="411"/>
        <v>0</v>
      </c>
      <c r="V1613">
        <f t="shared" si="412"/>
        <v>0</v>
      </c>
      <c r="W1613">
        <f t="shared" si="413"/>
        <v>0</v>
      </c>
      <c r="X1613">
        <f t="shared" si="414"/>
        <v>0</v>
      </c>
      <c r="Y1613">
        <f t="shared" si="415"/>
        <v>0</v>
      </c>
    </row>
    <row r="1614" spans="1:25" hidden="1">
      <c r="A1614" t="str">
        <f t="shared" si="407"/>
        <v>Stewart 1970</v>
      </c>
      <c r="E1614">
        <v>4.1399999999999997</v>
      </c>
      <c r="H1614">
        <f>H1613</f>
        <v>283.14999999999998</v>
      </c>
      <c r="I1614">
        <v>30.4</v>
      </c>
      <c r="J1614">
        <f t="shared" si="405"/>
        <v>0.54903839574461266</v>
      </c>
      <c r="L1614">
        <f t="shared" si="406"/>
        <v>1.708198173526821E-2</v>
      </c>
      <c r="S1614">
        <f t="shared" si="409"/>
        <v>1</v>
      </c>
      <c r="T1614">
        <f t="shared" si="410"/>
        <v>0</v>
      </c>
      <c r="U1614">
        <f t="shared" si="411"/>
        <v>0</v>
      </c>
      <c r="V1614">
        <f t="shared" si="412"/>
        <v>0</v>
      </c>
      <c r="W1614">
        <f t="shared" si="413"/>
        <v>0</v>
      </c>
      <c r="X1614">
        <f t="shared" si="414"/>
        <v>0</v>
      </c>
      <c r="Y1614">
        <f t="shared" si="415"/>
        <v>0</v>
      </c>
    </row>
    <row r="1615" spans="1:25" hidden="1">
      <c r="A1615" t="str">
        <f t="shared" si="407"/>
        <v>Stewart 1970</v>
      </c>
      <c r="E1615">
        <v>4.8010000000000002</v>
      </c>
      <c r="H1615">
        <f>H1614</f>
        <v>283.14999999999998</v>
      </c>
      <c r="I1615">
        <v>38.5</v>
      </c>
      <c r="J1615">
        <f t="shared" si="405"/>
        <v>0.54903839574461266</v>
      </c>
      <c r="L1615">
        <f t="shared" si="406"/>
        <v>1.9755442477757047E-2</v>
      </c>
      <c r="S1615">
        <f t="shared" si="409"/>
        <v>1</v>
      </c>
      <c r="T1615">
        <f t="shared" si="410"/>
        <v>0</v>
      </c>
      <c r="U1615">
        <f t="shared" si="411"/>
        <v>0</v>
      </c>
      <c r="V1615">
        <f t="shared" si="412"/>
        <v>0</v>
      </c>
      <c r="W1615">
        <f t="shared" si="413"/>
        <v>0</v>
      </c>
      <c r="X1615">
        <f t="shared" si="414"/>
        <v>0</v>
      </c>
      <c r="Y1615">
        <f t="shared" si="415"/>
        <v>0</v>
      </c>
    </row>
    <row r="1616" spans="1:25" hidden="1">
      <c r="A1616" t="str">
        <f t="shared" si="407"/>
        <v>Stewart 1970</v>
      </c>
      <c r="E1616">
        <v>0.17299999999999999</v>
      </c>
      <c r="H1616">
        <v>285.55</v>
      </c>
      <c r="I1616">
        <v>1.01</v>
      </c>
      <c r="J1616">
        <f t="shared" si="405"/>
        <v>0.54903839574461266</v>
      </c>
      <c r="L1616">
        <f t="shared" si="406"/>
        <v>7.2569050540627778E-4</v>
      </c>
      <c r="S1616">
        <f t="shared" si="409"/>
        <v>1</v>
      </c>
      <c r="T1616">
        <f t="shared" si="410"/>
        <v>0</v>
      </c>
      <c r="U1616">
        <f t="shared" si="411"/>
        <v>0</v>
      </c>
      <c r="V1616">
        <f t="shared" si="412"/>
        <v>0</v>
      </c>
      <c r="W1616">
        <f t="shared" si="413"/>
        <v>0</v>
      </c>
      <c r="X1616">
        <f t="shared" si="414"/>
        <v>0</v>
      </c>
      <c r="Y1616">
        <f t="shared" si="415"/>
        <v>0</v>
      </c>
    </row>
    <row r="1617" spans="1:25" hidden="1">
      <c r="A1617" t="str">
        <f t="shared" si="407"/>
        <v>Stewart 1970</v>
      </c>
      <c r="E1617">
        <v>0.79</v>
      </c>
      <c r="H1617">
        <f>H1616</f>
        <v>285.55</v>
      </c>
      <c r="I1617">
        <v>5.07</v>
      </c>
      <c r="J1617">
        <f t="shared" si="405"/>
        <v>0.54903839574461266</v>
      </c>
      <c r="L1617">
        <f t="shared" si="406"/>
        <v>3.3052922037177667E-3</v>
      </c>
      <c r="S1617">
        <f t="shared" si="409"/>
        <v>1</v>
      </c>
      <c r="T1617">
        <f t="shared" si="410"/>
        <v>0</v>
      </c>
      <c r="U1617">
        <f t="shared" si="411"/>
        <v>0</v>
      </c>
      <c r="V1617">
        <f t="shared" si="412"/>
        <v>0</v>
      </c>
      <c r="W1617">
        <f t="shared" si="413"/>
        <v>0</v>
      </c>
      <c r="X1617">
        <f t="shared" si="414"/>
        <v>0</v>
      </c>
      <c r="Y1617">
        <f t="shared" si="415"/>
        <v>0</v>
      </c>
    </row>
    <row r="1618" spans="1:25" hidden="1">
      <c r="A1618" t="str">
        <f t="shared" si="407"/>
        <v>Stewart 1970</v>
      </c>
      <c r="E1618">
        <v>1.5580000000000001</v>
      </c>
      <c r="H1618">
        <f>H1617</f>
        <v>285.55</v>
      </c>
      <c r="I1618">
        <v>10.130000000000001</v>
      </c>
      <c r="J1618">
        <f t="shared" si="405"/>
        <v>0.54903839574461266</v>
      </c>
      <c r="L1618">
        <f t="shared" si="406"/>
        <v>6.497659715746347E-3</v>
      </c>
      <c r="S1618">
        <f t="shared" si="409"/>
        <v>1</v>
      </c>
      <c r="T1618">
        <f t="shared" si="410"/>
        <v>0</v>
      </c>
      <c r="U1618">
        <f t="shared" si="411"/>
        <v>0</v>
      </c>
      <c r="V1618">
        <f t="shared" si="412"/>
        <v>0</v>
      </c>
      <c r="W1618">
        <f t="shared" si="413"/>
        <v>0</v>
      </c>
      <c r="X1618">
        <f t="shared" si="414"/>
        <v>0</v>
      </c>
      <c r="Y1618">
        <f t="shared" si="415"/>
        <v>0</v>
      </c>
    </row>
    <row r="1619" spans="1:25" hidden="1">
      <c r="A1619" t="str">
        <f t="shared" si="407"/>
        <v>Stewart 1970</v>
      </c>
      <c r="E1619">
        <v>2.8050000000000002</v>
      </c>
      <c r="H1619">
        <f>H1618</f>
        <v>285.55</v>
      </c>
      <c r="I1619">
        <v>20.260000000000002</v>
      </c>
      <c r="J1619">
        <f t="shared" si="405"/>
        <v>0.54903839574461266</v>
      </c>
      <c r="L1619">
        <f t="shared" si="406"/>
        <v>1.1637766079975033E-2</v>
      </c>
      <c r="S1619">
        <f t="shared" si="409"/>
        <v>1</v>
      </c>
      <c r="T1619">
        <f t="shared" si="410"/>
        <v>0</v>
      </c>
      <c r="U1619">
        <f t="shared" si="411"/>
        <v>0</v>
      </c>
      <c r="V1619">
        <f t="shared" si="412"/>
        <v>0</v>
      </c>
      <c r="W1619">
        <f t="shared" si="413"/>
        <v>0</v>
      </c>
      <c r="X1619">
        <f t="shared" si="414"/>
        <v>0</v>
      </c>
      <c r="Y1619">
        <f t="shared" si="415"/>
        <v>0</v>
      </c>
    </row>
    <row r="1620" spans="1:25" hidden="1">
      <c r="A1620" t="str">
        <f t="shared" si="407"/>
        <v>Stewart 1970</v>
      </c>
      <c r="E1620">
        <v>3.8050000000000002</v>
      </c>
      <c r="H1620">
        <f>H1619</f>
        <v>285.55</v>
      </c>
      <c r="I1620">
        <v>30.4</v>
      </c>
      <c r="J1620">
        <f t="shared" si="405"/>
        <v>0.54903839574461266</v>
      </c>
      <c r="L1620">
        <f t="shared" si="406"/>
        <v>1.5721474897332496E-2</v>
      </c>
      <c r="S1620">
        <f t="shared" si="409"/>
        <v>1</v>
      </c>
      <c r="T1620">
        <f t="shared" si="410"/>
        <v>0</v>
      </c>
      <c r="U1620">
        <f t="shared" si="411"/>
        <v>0</v>
      </c>
      <c r="V1620">
        <f t="shared" si="412"/>
        <v>0</v>
      </c>
      <c r="W1620">
        <f t="shared" si="413"/>
        <v>0</v>
      </c>
      <c r="X1620">
        <f t="shared" si="414"/>
        <v>0</v>
      </c>
      <c r="Y1620">
        <f t="shared" si="415"/>
        <v>0</v>
      </c>
    </row>
    <row r="1621" spans="1:25" hidden="1">
      <c r="A1621" t="str">
        <f t="shared" si="407"/>
        <v>Stewart 1970</v>
      </c>
      <c r="E1621">
        <v>4.8520000000000003</v>
      </c>
      <c r="H1621">
        <f>H1620</f>
        <v>285.55</v>
      </c>
      <c r="I1621">
        <v>45.6</v>
      </c>
      <c r="J1621">
        <f t="shared" si="405"/>
        <v>0.54903839574461266</v>
      </c>
      <c r="L1621">
        <f t="shared" si="406"/>
        <v>1.9961111337669066E-2</v>
      </c>
      <c r="S1621">
        <f t="shared" si="409"/>
        <v>1</v>
      </c>
      <c r="T1621">
        <f t="shared" si="410"/>
        <v>0</v>
      </c>
      <c r="U1621">
        <f t="shared" si="411"/>
        <v>0</v>
      </c>
      <c r="V1621">
        <f t="shared" si="412"/>
        <v>0</v>
      </c>
      <c r="W1621">
        <f t="shared" si="413"/>
        <v>0</v>
      </c>
      <c r="X1621">
        <f t="shared" si="414"/>
        <v>0</v>
      </c>
      <c r="Y1621">
        <f t="shared" si="415"/>
        <v>0</v>
      </c>
    </row>
    <row r="1622" spans="1:25" hidden="1">
      <c r="A1622" t="str">
        <f t="shared" si="407"/>
        <v>Stewart 1970</v>
      </c>
      <c r="E1622">
        <v>0.155</v>
      </c>
      <c r="H1622">
        <v>288.14999999999998</v>
      </c>
      <c r="I1622">
        <v>1.01</v>
      </c>
      <c r="J1622">
        <f t="shared" si="405"/>
        <v>0.54903839574461266</v>
      </c>
      <c r="L1622">
        <f t="shared" si="406"/>
        <v>6.5023423107811082E-4</v>
      </c>
      <c r="S1622">
        <f t="shared" si="409"/>
        <v>1</v>
      </c>
      <c r="T1622">
        <f t="shared" si="410"/>
        <v>0</v>
      </c>
      <c r="U1622">
        <f t="shared" si="411"/>
        <v>0</v>
      </c>
      <c r="V1622">
        <f t="shared" si="412"/>
        <v>0</v>
      </c>
      <c r="W1622">
        <f t="shared" si="413"/>
        <v>0</v>
      </c>
      <c r="X1622">
        <f t="shared" si="414"/>
        <v>0</v>
      </c>
      <c r="Y1622">
        <f t="shared" si="415"/>
        <v>0</v>
      </c>
    </row>
    <row r="1623" spans="1:25" hidden="1">
      <c r="A1623" t="str">
        <f t="shared" si="407"/>
        <v>Stewart 1970</v>
      </c>
      <c r="E1623">
        <v>0.74</v>
      </c>
      <c r="H1623">
        <f>H1622</f>
        <v>288.14999999999998</v>
      </c>
      <c r="I1623">
        <v>5.07</v>
      </c>
      <c r="J1623">
        <f t="shared" si="405"/>
        <v>0.54903839574461266</v>
      </c>
      <c r="L1623">
        <f t="shared" si="406"/>
        <v>3.0967443202456683E-3</v>
      </c>
      <c r="S1623">
        <f t="shared" si="409"/>
        <v>1</v>
      </c>
      <c r="T1623">
        <f t="shared" si="410"/>
        <v>0</v>
      </c>
      <c r="U1623">
        <f t="shared" si="411"/>
        <v>0</v>
      </c>
      <c r="V1623">
        <f t="shared" si="412"/>
        <v>0</v>
      </c>
      <c r="W1623">
        <f t="shared" si="413"/>
        <v>0</v>
      </c>
      <c r="X1623">
        <f t="shared" si="414"/>
        <v>0</v>
      </c>
      <c r="Y1623">
        <f t="shared" si="415"/>
        <v>0</v>
      </c>
    </row>
    <row r="1624" spans="1:25" hidden="1">
      <c r="A1624" t="str">
        <f t="shared" si="407"/>
        <v>Stewart 1970</v>
      </c>
      <c r="E1624">
        <v>1.411</v>
      </c>
      <c r="H1624">
        <f>H1623</f>
        <v>288.14999999999998</v>
      </c>
      <c r="I1624">
        <v>10.130000000000001</v>
      </c>
      <c r="J1624">
        <f t="shared" si="405"/>
        <v>0.54903839574461266</v>
      </c>
      <c r="L1624">
        <f t="shared" si="406"/>
        <v>5.8882041157125578E-3</v>
      </c>
      <c r="S1624">
        <f t="shared" si="409"/>
        <v>1</v>
      </c>
      <c r="T1624">
        <f t="shared" si="410"/>
        <v>0</v>
      </c>
      <c r="U1624">
        <f t="shared" si="411"/>
        <v>0</v>
      </c>
      <c r="V1624">
        <f t="shared" si="412"/>
        <v>0</v>
      </c>
      <c r="W1624">
        <f t="shared" si="413"/>
        <v>0</v>
      </c>
      <c r="X1624">
        <f t="shared" si="414"/>
        <v>0</v>
      </c>
      <c r="Y1624">
        <f t="shared" si="415"/>
        <v>0</v>
      </c>
    </row>
    <row r="1625" spans="1:25" hidden="1">
      <c r="A1625" t="str">
        <f t="shared" ref="A1625:A1648" si="416">A1624</f>
        <v>Stewart 1970</v>
      </c>
      <c r="E1625">
        <v>2.5310000000000001</v>
      </c>
      <c r="H1625">
        <f>H1624</f>
        <v>288.14999999999998</v>
      </c>
      <c r="I1625">
        <v>20.260000000000002</v>
      </c>
      <c r="J1625">
        <f t="shared" si="405"/>
        <v>0.54903839574461266</v>
      </c>
      <c r="L1625">
        <f t="shared" si="406"/>
        <v>1.0512908721599953E-2</v>
      </c>
      <c r="S1625">
        <f t="shared" si="409"/>
        <v>1</v>
      </c>
      <c r="T1625">
        <f t="shared" si="410"/>
        <v>0</v>
      </c>
      <c r="U1625">
        <f t="shared" si="411"/>
        <v>0</v>
      </c>
      <c r="V1625">
        <f t="shared" si="412"/>
        <v>0</v>
      </c>
      <c r="W1625">
        <f t="shared" si="413"/>
        <v>0</v>
      </c>
      <c r="X1625">
        <f t="shared" si="414"/>
        <v>0</v>
      </c>
      <c r="Y1625">
        <f t="shared" si="415"/>
        <v>0</v>
      </c>
    </row>
    <row r="1626" spans="1:25" hidden="1">
      <c r="A1626" t="str">
        <f t="shared" si="416"/>
        <v>Stewart 1970</v>
      </c>
      <c r="E1626">
        <v>3.4529999999999998</v>
      </c>
      <c r="H1626">
        <f>H1625</f>
        <v>288.14999999999998</v>
      </c>
      <c r="I1626">
        <v>30.4</v>
      </c>
      <c r="J1626">
        <f t="shared" si="405"/>
        <v>0.54903839574461266</v>
      </c>
      <c r="L1626">
        <f t="shared" si="406"/>
        <v>1.4287863672691879E-2</v>
      </c>
      <c r="S1626">
        <f t="shared" si="409"/>
        <v>1</v>
      </c>
      <c r="T1626">
        <f t="shared" si="410"/>
        <v>0</v>
      </c>
      <c r="U1626">
        <f t="shared" si="411"/>
        <v>0</v>
      </c>
      <c r="V1626">
        <f t="shared" si="412"/>
        <v>0</v>
      </c>
      <c r="W1626">
        <f t="shared" si="413"/>
        <v>0</v>
      </c>
      <c r="X1626">
        <f t="shared" si="414"/>
        <v>0</v>
      </c>
      <c r="Y1626">
        <f t="shared" si="415"/>
        <v>0</v>
      </c>
    </row>
    <row r="1627" spans="1:25" hidden="1">
      <c r="A1627" t="str">
        <f t="shared" si="416"/>
        <v>Stewart 1970</v>
      </c>
      <c r="E1627">
        <v>4.3789999999999996</v>
      </c>
      <c r="H1627">
        <f>H1626</f>
        <v>288.14999999999998</v>
      </c>
      <c r="I1627">
        <v>45.6</v>
      </c>
      <c r="J1627">
        <f t="shared" si="405"/>
        <v>0.54903839574461266</v>
      </c>
      <c r="L1627">
        <f t="shared" si="406"/>
        <v>1.8050315438605066E-2</v>
      </c>
      <c r="S1627">
        <f t="shared" si="409"/>
        <v>1</v>
      </c>
      <c r="T1627">
        <f t="shared" si="410"/>
        <v>0</v>
      </c>
      <c r="U1627">
        <f t="shared" si="411"/>
        <v>0</v>
      </c>
      <c r="V1627">
        <f t="shared" si="412"/>
        <v>0</v>
      </c>
      <c r="W1627">
        <f t="shared" si="413"/>
        <v>0</v>
      </c>
      <c r="X1627">
        <f t="shared" si="414"/>
        <v>0</v>
      </c>
      <c r="Y1627">
        <f t="shared" si="415"/>
        <v>0</v>
      </c>
    </row>
    <row r="1628" spans="1:25" hidden="1">
      <c r="A1628" t="str">
        <f t="shared" si="416"/>
        <v>Stewart 1970</v>
      </c>
      <c r="E1628">
        <v>0.11</v>
      </c>
      <c r="H1628">
        <v>298.14999999999998</v>
      </c>
      <c r="I1628">
        <v>1.01</v>
      </c>
      <c r="J1628">
        <f t="shared" si="405"/>
        <v>0.54903839574461266</v>
      </c>
      <c r="L1628">
        <f t="shared" si="406"/>
        <v>4.6154368023286013E-4</v>
      </c>
      <c r="S1628">
        <f t="shared" ref="S1628:Y1628" si="417">S1621</f>
        <v>1</v>
      </c>
      <c r="T1628">
        <f t="shared" si="417"/>
        <v>0</v>
      </c>
      <c r="U1628">
        <f t="shared" si="417"/>
        <v>0</v>
      </c>
      <c r="V1628">
        <f t="shared" si="417"/>
        <v>0</v>
      </c>
      <c r="W1628">
        <f t="shared" si="417"/>
        <v>0</v>
      </c>
      <c r="X1628">
        <f t="shared" si="417"/>
        <v>0</v>
      </c>
      <c r="Y1628">
        <f t="shared" si="417"/>
        <v>0</v>
      </c>
    </row>
    <row r="1629" spans="1:25" hidden="1">
      <c r="A1629" t="str">
        <f t="shared" si="416"/>
        <v>Stewart 1970</v>
      </c>
      <c r="E1629">
        <v>0.55100000000000005</v>
      </c>
      <c r="H1629">
        <f>H1628</f>
        <v>298.14999999999998</v>
      </c>
      <c r="I1629">
        <v>5.07</v>
      </c>
      <c r="J1629">
        <f t="shared" si="405"/>
        <v>0.54903839574461266</v>
      </c>
      <c r="L1629">
        <f t="shared" si="406"/>
        <v>2.3076442557799265E-3</v>
      </c>
      <c r="S1629">
        <f t="shared" ref="S1629:S1660" si="418">S1628</f>
        <v>1</v>
      </c>
      <c r="T1629">
        <f t="shared" ref="T1629:T1660" si="419">T1628</f>
        <v>0</v>
      </c>
      <c r="U1629">
        <f t="shared" ref="U1629:U1660" si="420">U1628</f>
        <v>0</v>
      </c>
      <c r="V1629">
        <f t="shared" ref="V1629:V1660" si="421">V1628</f>
        <v>0</v>
      </c>
      <c r="W1629">
        <f t="shared" ref="W1629:W1660" si="422">W1628</f>
        <v>0</v>
      </c>
      <c r="X1629">
        <f t="shared" ref="X1629:X1660" si="423">X1628</f>
        <v>0</v>
      </c>
      <c r="Y1629">
        <f t="shared" ref="Y1629:Y1660" si="424">Y1628</f>
        <v>0</v>
      </c>
    </row>
    <row r="1630" spans="1:25" hidden="1">
      <c r="A1630" t="str">
        <f t="shared" si="416"/>
        <v>Stewart 1970</v>
      </c>
      <c r="E1630">
        <v>1.0229999999999999</v>
      </c>
      <c r="H1630">
        <f>H1629</f>
        <v>298.14999999999998</v>
      </c>
      <c r="I1630">
        <v>10.130000000000001</v>
      </c>
      <c r="J1630">
        <f t="shared" si="405"/>
        <v>0.54903839574461266</v>
      </c>
      <c r="L1630">
        <f t="shared" si="406"/>
        <v>4.2759757645606158E-3</v>
      </c>
      <c r="S1630">
        <f t="shared" si="418"/>
        <v>1</v>
      </c>
      <c r="T1630">
        <f t="shared" si="419"/>
        <v>0</v>
      </c>
      <c r="U1630">
        <f t="shared" si="420"/>
        <v>0</v>
      </c>
      <c r="V1630">
        <f t="shared" si="421"/>
        <v>0</v>
      </c>
      <c r="W1630">
        <f t="shared" si="422"/>
        <v>0</v>
      </c>
      <c r="X1630">
        <f t="shared" si="423"/>
        <v>0</v>
      </c>
      <c r="Y1630">
        <f t="shared" si="424"/>
        <v>0</v>
      </c>
    </row>
    <row r="1631" spans="1:25" hidden="1">
      <c r="A1631" t="str">
        <f t="shared" si="416"/>
        <v>Stewart 1970</v>
      </c>
      <c r="E1631">
        <v>1.8220000000000001</v>
      </c>
      <c r="H1631">
        <f>H1630</f>
        <v>298.14999999999998</v>
      </c>
      <c r="I1631">
        <v>20.260000000000002</v>
      </c>
      <c r="J1631">
        <f t="shared" si="405"/>
        <v>0.54903839574461266</v>
      </c>
      <c r="L1631">
        <f t="shared" si="406"/>
        <v>7.5903181679577523E-3</v>
      </c>
      <c r="S1631">
        <f t="shared" si="418"/>
        <v>1</v>
      </c>
      <c r="T1631">
        <f t="shared" si="419"/>
        <v>0</v>
      </c>
      <c r="U1631">
        <f t="shared" si="420"/>
        <v>0</v>
      </c>
      <c r="V1631">
        <f t="shared" si="421"/>
        <v>0</v>
      </c>
      <c r="W1631">
        <f t="shared" si="422"/>
        <v>0</v>
      </c>
      <c r="X1631">
        <f t="shared" si="423"/>
        <v>0</v>
      </c>
      <c r="Y1631">
        <f t="shared" si="424"/>
        <v>0</v>
      </c>
    </row>
    <row r="1632" spans="1:25" hidden="1">
      <c r="A1632" t="str">
        <f t="shared" si="416"/>
        <v>Stewart 1970</v>
      </c>
      <c r="E1632">
        <v>2.3969999999999998</v>
      </c>
      <c r="H1632">
        <f>H1631</f>
        <v>298.14999999999998</v>
      </c>
      <c r="I1632">
        <v>30.4</v>
      </c>
      <c r="J1632">
        <f t="shared" si="405"/>
        <v>0.54903839574461266</v>
      </c>
      <c r="L1632">
        <f t="shared" si="406"/>
        <v>9.9618632077943768E-3</v>
      </c>
      <c r="S1632">
        <f t="shared" si="418"/>
        <v>1</v>
      </c>
      <c r="T1632">
        <f t="shared" si="419"/>
        <v>0</v>
      </c>
      <c r="U1632">
        <f t="shared" si="420"/>
        <v>0</v>
      </c>
      <c r="V1632">
        <f t="shared" si="421"/>
        <v>0</v>
      </c>
      <c r="W1632">
        <f t="shared" si="422"/>
        <v>0</v>
      </c>
      <c r="X1632">
        <f t="shared" si="423"/>
        <v>0</v>
      </c>
      <c r="Y1632">
        <f t="shared" si="424"/>
        <v>0</v>
      </c>
    </row>
    <row r="1633" spans="1:25" hidden="1">
      <c r="A1633" t="str">
        <f t="shared" si="416"/>
        <v>Stewart 1970</v>
      </c>
      <c r="E1633">
        <v>3.09</v>
      </c>
      <c r="H1633">
        <f>H1632</f>
        <v>298.14999999999998</v>
      </c>
      <c r="I1633">
        <v>45.6</v>
      </c>
      <c r="J1633">
        <f t="shared" si="405"/>
        <v>0.54903839574461266</v>
      </c>
      <c r="L1633">
        <f t="shared" si="406"/>
        <v>1.2805071584747514E-2</v>
      </c>
      <c r="S1633">
        <f t="shared" si="418"/>
        <v>1</v>
      </c>
      <c r="T1633">
        <f t="shared" si="419"/>
        <v>0</v>
      </c>
      <c r="U1633">
        <f t="shared" si="420"/>
        <v>0</v>
      </c>
      <c r="V1633">
        <f t="shared" si="421"/>
        <v>0</v>
      </c>
      <c r="W1633">
        <f t="shared" si="422"/>
        <v>0</v>
      </c>
      <c r="X1633">
        <f t="shared" si="423"/>
        <v>0</v>
      </c>
      <c r="Y1633">
        <f t="shared" si="424"/>
        <v>0</v>
      </c>
    </row>
    <row r="1634" spans="1:25" hidden="1">
      <c r="A1634" t="str">
        <f t="shared" si="416"/>
        <v>Stewart 1970</v>
      </c>
      <c r="E1634">
        <v>2.149</v>
      </c>
      <c r="H1634">
        <v>273.14999999999998</v>
      </c>
      <c r="I1634">
        <v>10.130000000000001</v>
      </c>
      <c r="J1634">
        <f t="shared" ref="J1634:J1642" si="425">1000*( (79.554/58.44) + (7.341/95.21) + (9.915/120.37) + (3.423/110.98) + (2.175/74.55) + (0.606/84.01) + (0.249/102.89) )/896.737</f>
        <v>1.7735633027008608</v>
      </c>
      <c r="L1634">
        <f t="shared" ref="L1634:L1642" si="426">(10*E1634/44.01) / ( (10*E1634/44.01) + (896.737/18.015) + (79.554/58.44) + (7.341/95.21) + (9.915/120.37) + (3.423/110.98) + (2.175/74.55) + (0.606/84.01) + (0.249/102.89)  )</f>
        <v>9.4164320203151807E-3</v>
      </c>
      <c r="S1634">
        <f t="shared" si="418"/>
        <v>1</v>
      </c>
      <c r="T1634">
        <f t="shared" si="419"/>
        <v>0</v>
      </c>
      <c r="U1634">
        <f t="shared" si="420"/>
        <v>0</v>
      </c>
      <c r="V1634">
        <f t="shared" si="421"/>
        <v>0</v>
      </c>
      <c r="W1634">
        <f t="shared" si="422"/>
        <v>0</v>
      </c>
      <c r="X1634">
        <f t="shared" si="423"/>
        <v>0</v>
      </c>
      <c r="Y1634">
        <f t="shared" si="424"/>
        <v>0</v>
      </c>
    </row>
    <row r="1635" spans="1:25" hidden="1">
      <c r="A1635" t="str">
        <f t="shared" si="416"/>
        <v>Stewart 1970</v>
      </c>
      <c r="E1635">
        <v>3.8919999999999999</v>
      </c>
      <c r="H1635">
        <f>H1634</f>
        <v>273.14999999999998</v>
      </c>
      <c r="I1635">
        <v>20.260000000000002</v>
      </c>
      <c r="J1635">
        <f t="shared" si="425"/>
        <v>1.7735633027008608</v>
      </c>
      <c r="L1635">
        <f t="shared" si="426"/>
        <v>1.6924603349977814E-2</v>
      </c>
      <c r="S1635">
        <f t="shared" si="418"/>
        <v>1</v>
      </c>
      <c r="T1635">
        <f t="shared" si="419"/>
        <v>0</v>
      </c>
      <c r="U1635">
        <f t="shared" si="420"/>
        <v>0</v>
      </c>
      <c r="V1635">
        <f t="shared" si="421"/>
        <v>0</v>
      </c>
      <c r="W1635">
        <f t="shared" si="422"/>
        <v>0</v>
      </c>
      <c r="X1635">
        <f t="shared" si="423"/>
        <v>0</v>
      </c>
      <c r="Y1635">
        <f t="shared" si="424"/>
        <v>0</v>
      </c>
    </row>
    <row r="1636" spans="1:25" hidden="1">
      <c r="A1636" t="str">
        <f t="shared" si="416"/>
        <v>Stewart 1970</v>
      </c>
      <c r="E1636">
        <v>5.4509999999999996</v>
      </c>
      <c r="H1636">
        <f>H1635</f>
        <v>273.14999999999998</v>
      </c>
      <c r="I1636">
        <v>34.450000000000003</v>
      </c>
      <c r="J1636">
        <f t="shared" si="425"/>
        <v>1.7735633027008608</v>
      </c>
      <c r="L1636">
        <f t="shared" si="426"/>
        <v>2.3544394466043048E-2</v>
      </c>
      <c r="S1636">
        <f t="shared" si="418"/>
        <v>1</v>
      </c>
      <c r="T1636">
        <f t="shared" si="419"/>
        <v>0</v>
      </c>
      <c r="U1636">
        <f t="shared" si="420"/>
        <v>0</v>
      </c>
      <c r="V1636">
        <f t="shared" si="421"/>
        <v>0</v>
      </c>
      <c r="W1636">
        <f t="shared" si="422"/>
        <v>0</v>
      </c>
      <c r="X1636">
        <f t="shared" si="423"/>
        <v>0</v>
      </c>
      <c r="Y1636">
        <f t="shared" si="424"/>
        <v>0</v>
      </c>
    </row>
    <row r="1637" spans="1:25" hidden="1">
      <c r="A1637" t="str">
        <f t="shared" si="416"/>
        <v>Stewart 1970</v>
      </c>
      <c r="E1637">
        <v>1.351</v>
      </c>
      <c r="H1637">
        <v>285.55</v>
      </c>
      <c r="I1637">
        <v>10.130000000000001</v>
      </c>
      <c r="J1637">
        <f t="shared" si="425"/>
        <v>1.7735633027008608</v>
      </c>
      <c r="L1637">
        <f t="shared" si="426"/>
        <v>5.9405485337590339E-3</v>
      </c>
      <c r="S1637">
        <f t="shared" si="418"/>
        <v>1</v>
      </c>
      <c r="T1637">
        <f t="shared" si="419"/>
        <v>0</v>
      </c>
      <c r="U1637">
        <f t="shared" si="420"/>
        <v>0</v>
      </c>
      <c r="V1637">
        <f t="shared" si="421"/>
        <v>0</v>
      </c>
      <c r="W1637">
        <f t="shared" si="422"/>
        <v>0</v>
      </c>
      <c r="X1637">
        <f t="shared" si="423"/>
        <v>0</v>
      </c>
      <c r="Y1637">
        <f t="shared" si="424"/>
        <v>0</v>
      </c>
    </row>
    <row r="1638" spans="1:25" hidden="1">
      <c r="A1638" t="str">
        <f t="shared" si="416"/>
        <v>Stewart 1970</v>
      </c>
      <c r="E1638">
        <v>2.411</v>
      </c>
      <c r="H1638">
        <f>H1637</f>
        <v>285.55</v>
      </c>
      <c r="I1638">
        <v>20.260000000000002</v>
      </c>
      <c r="J1638">
        <f t="shared" si="425"/>
        <v>1.7735633027008608</v>
      </c>
      <c r="L1638">
        <f t="shared" si="426"/>
        <v>1.0552342420769708E-2</v>
      </c>
      <c r="S1638">
        <f t="shared" si="418"/>
        <v>1</v>
      </c>
      <c r="T1638">
        <f t="shared" si="419"/>
        <v>0</v>
      </c>
      <c r="U1638">
        <f t="shared" si="420"/>
        <v>0</v>
      </c>
      <c r="V1638">
        <f t="shared" si="421"/>
        <v>0</v>
      </c>
      <c r="W1638">
        <f t="shared" si="422"/>
        <v>0</v>
      </c>
      <c r="X1638">
        <f t="shared" si="423"/>
        <v>0</v>
      </c>
      <c r="Y1638">
        <f t="shared" si="424"/>
        <v>0</v>
      </c>
    </row>
    <row r="1639" spans="1:25" hidden="1">
      <c r="A1639" t="str">
        <f t="shared" si="416"/>
        <v>Stewart 1970</v>
      </c>
      <c r="E1639">
        <v>4.0519999999999996</v>
      </c>
      <c r="H1639">
        <f>H1638</f>
        <v>285.55</v>
      </c>
      <c r="I1639">
        <v>45.6</v>
      </c>
      <c r="J1639">
        <f t="shared" si="425"/>
        <v>1.7735633027008608</v>
      </c>
      <c r="L1639">
        <f t="shared" si="426"/>
        <v>1.760812207015058E-2</v>
      </c>
      <c r="S1639">
        <f t="shared" si="418"/>
        <v>1</v>
      </c>
      <c r="T1639">
        <f t="shared" si="419"/>
        <v>0</v>
      </c>
      <c r="U1639">
        <f t="shared" si="420"/>
        <v>0</v>
      </c>
      <c r="V1639">
        <f t="shared" si="421"/>
        <v>0</v>
      </c>
      <c r="W1639">
        <f t="shared" si="422"/>
        <v>0</v>
      </c>
      <c r="X1639">
        <f t="shared" si="423"/>
        <v>0</v>
      </c>
      <c r="Y1639">
        <f t="shared" si="424"/>
        <v>0</v>
      </c>
    </row>
    <row r="1640" spans="1:25" hidden="1">
      <c r="A1640" t="str">
        <f t="shared" si="416"/>
        <v>Stewart 1970</v>
      </c>
      <c r="E1640">
        <v>0.90700000000000003</v>
      </c>
      <c r="H1640">
        <v>298.14999999999998</v>
      </c>
      <c r="I1640">
        <v>10.130000000000001</v>
      </c>
      <c r="J1640">
        <f t="shared" si="425"/>
        <v>1.7735633027008608</v>
      </c>
      <c r="L1640">
        <f t="shared" si="426"/>
        <v>3.9960158591646139E-3</v>
      </c>
      <c r="S1640">
        <f t="shared" si="418"/>
        <v>1</v>
      </c>
      <c r="T1640">
        <f t="shared" si="419"/>
        <v>0</v>
      </c>
      <c r="U1640">
        <f t="shared" si="420"/>
        <v>0</v>
      </c>
      <c r="V1640">
        <f t="shared" si="421"/>
        <v>0</v>
      </c>
      <c r="W1640">
        <f t="shared" si="422"/>
        <v>0</v>
      </c>
      <c r="X1640">
        <f t="shared" si="423"/>
        <v>0</v>
      </c>
      <c r="Y1640">
        <f t="shared" si="424"/>
        <v>0</v>
      </c>
    </row>
    <row r="1641" spans="1:25" hidden="1">
      <c r="A1641" t="str">
        <f t="shared" si="416"/>
        <v>Stewart 1970</v>
      </c>
      <c r="E1641">
        <v>1.6120000000000001</v>
      </c>
      <c r="H1641">
        <f>H1640</f>
        <v>298.14999999999998</v>
      </c>
      <c r="I1641">
        <v>20.260000000000002</v>
      </c>
      <c r="J1641">
        <f t="shared" si="425"/>
        <v>1.7735633027008608</v>
      </c>
      <c r="L1641">
        <f t="shared" si="426"/>
        <v>7.0800789734626031E-3</v>
      </c>
      <c r="S1641">
        <f t="shared" si="418"/>
        <v>1</v>
      </c>
      <c r="T1641">
        <f t="shared" si="419"/>
        <v>0</v>
      </c>
      <c r="U1641">
        <f t="shared" si="420"/>
        <v>0</v>
      </c>
      <c r="V1641">
        <f t="shared" si="421"/>
        <v>0</v>
      </c>
      <c r="W1641">
        <f t="shared" si="422"/>
        <v>0</v>
      </c>
      <c r="X1641">
        <f t="shared" si="423"/>
        <v>0</v>
      </c>
      <c r="Y1641">
        <f t="shared" si="424"/>
        <v>0</v>
      </c>
    </row>
    <row r="1642" spans="1:25" hidden="1">
      <c r="A1642" t="str">
        <f t="shared" si="416"/>
        <v>Stewart 1970</v>
      </c>
      <c r="E1642">
        <v>2.7509999999999999</v>
      </c>
      <c r="H1642">
        <f>H1641</f>
        <v>298.14999999999998</v>
      </c>
      <c r="I1642">
        <v>45.6</v>
      </c>
      <c r="J1642">
        <f t="shared" si="425"/>
        <v>1.7735633027008608</v>
      </c>
      <c r="L1642">
        <f t="shared" si="426"/>
        <v>1.2022546474616239E-2</v>
      </c>
      <c r="S1642">
        <f t="shared" si="418"/>
        <v>1</v>
      </c>
      <c r="T1642">
        <f t="shared" si="419"/>
        <v>0</v>
      </c>
      <c r="U1642">
        <f t="shared" si="420"/>
        <v>0</v>
      </c>
      <c r="V1642">
        <f t="shared" si="421"/>
        <v>0</v>
      </c>
      <c r="W1642">
        <f t="shared" si="422"/>
        <v>0</v>
      </c>
      <c r="X1642">
        <f t="shared" si="423"/>
        <v>0</v>
      </c>
      <c r="Y1642">
        <f t="shared" si="424"/>
        <v>0</v>
      </c>
    </row>
    <row r="1643" spans="1:25" hidden="1">
      <c r="A1643" t="str">
        <f t="shared" si="416"/>
        <v>Stewart 1970</v>
      </c>
      <c r="E1643">
        <v>2.0430000000000001</v>
      </c>
      <c r="H1643">
        <v>273.14999999999998</v>
      </c>
      <c r="I1643">
        <v>10.130000000000001</v>
      </c>
      <c r="J1643">
        <f t="shared" ref="J1643:J1648" si="427">1000*( (132.59/58.44) + (12.235/95.21) + (16.525/120.37) + (5.705/110.98) + (3.625/74.55) + (1.01/84.01) + (0.415/102.89) )/827.895</f>
        <v>3.2017341880593997</v>
      </c>
      <c r="L1643">
        <f t="shared" ref="L1643:L1648" si="428">(10*E1643/44.01) / ( (10*E1643/44.01) + (827.895/18.015) + (132.59/58.44) + (12.235/95.21) + (16.525/120.37) + (5.705/110.98) + (3.625/74.55) + (1.01/84.01) + (0.415/102.89)  )</f>
        <v>9.4600626924073727E-3</v>
      </c>
      <c r="S1643">
        <f t="shared" si="418"/>
        <v>1</v>
      </c>
      <c r="T1643">
        <f t="shared" si="419"/>
        <v>0</v>
      </c>
      <c r="U1643">
        <f t="shared" si="420"/>
        <v>0</v>
      </c>
      <c r="V1643">
        <f t="shared" si="421"/>
        <v>0</v>
      </c>
      <c r="W1643">
        <f t="shared" si="422"/>
        <v>0</v>
      </c>
      <c r="X1643">
        <f t="shared" si="423"/>
        <v>0</v>
      </c>
      <c r="Y1643">
        <f t="shared" si="424"/>
        <v>0</v>
      </c>
    </row>
    <row r="1644" spans="1:25" hidden="1">
      <c r="A1644" t="str">
        <f t="shared" si="416"/>
        <v>Stewart 1970</v>
      </c>
      <c r="E1644">
        <v>3.552</v>
      </c>
      <c r="H1644">
        <f>H1643</f>
        <v>273.14999999999998</v>
      </c>
      <c r="I1644">
        <v>20.260000000000002</v>
      </c>
      <c r="J1644">
        <f t="shared" si="427"/>
        <v>3.2017341880593997</v>
      </c>
      <c r="L1644">
        <f t="shared" si="428"/>
        <v>1.6333323863648167E-2</v>
      </c>
      <c r="S1644">
        <f t="shared" si="418"/>
        <v>1</v>
      </c>
      <c r="T1644">
        <f t="shared" si="419"/>
        <v>0</v>
      </c>
      <c r="U1644">
        <f t="shared" si="420"/>
        <v>0</v>
      </c>
      <c r="V1644">
        <f t="shared" si="421"/>
        <v>0</v>
      </c>
      <c r="W1644">
        <f t="shared" si="422"/>
        <v>0</v>
      </c>
      <c r="X1644">
        <f t="shared" si="423"/>
        <v>0</v>
      </c>
      <c r="Y1644">
        <f t="shared" si="424"/>
        <v>0</v>
      </c>
    </row>
    <row r="1645" spans="1:25" hidden="1">
      <c r="A1645" t="str">
        <f t="shared" si="416"/>
        <v>Stewart 1970</v>
      </c>
      <c r="E1645">
        <v>5.2530000000000001</v>
      </c>
      <c r="H1645">
        <f>H1644</f>
        <v>273.14999999999998</v>
      </c>
      <c r="I1645">
        <v>34.450000000000003</v>
      </c>
      <c r="J1645">
        <f t="shared" si="427"/>
        <v>3.2017341880593997</v>
      </c>
      <c r="L1645">
        <f t="shared" si="428"/>
        <v>2.3967640117239786E-2</v>
      </c>
      <c r="S1645">
        <f t="shared" si="418"/>
        <v>1</v>
      </c>
      <c r="T1645">
        <f t="shared" si="419"/>
        <v>0</v>
      </c>
      <c r="U1645">
        <f t="shared" si="420"/>
        <v>0</v>
      </c>
      <c r="V1645">
        <f t="shared" si="421"/>
        <v>0</v>
      </c>
      <c r="W1645">
        <f t="shared" si="422"/>
        <v>0</v>
      </c>
      <c r="X1645">
        <f t="shared" si="423"/>
        <v>0</v>
      </c>
      <c r="Y1645">
        <f t="shared" si="424"/>
        <v>0</v>
      </c>
    </row>
    <row r="1646" spans="1:25" hidden="1">
      <c r="A1646" t="str">
        <f t="shared" si="416"/>
        <v>Stewart 1970</v>
      </c>
      <c r="E1646">
        <v>1.214</v>
      </c>
      <c r="H1646">
        <v>285.55</v>
      </c>
      <c r="I1646">
        <v>10.130000000000001</v>
      </c>
      <c r="J1646">
        <f t="shared" si="427"/>
        <v>3.2017341880593997</v>
      </c>
      <c r="L1646">
        <f t="shared" si="428"/>
        <v>5.6430598118200276E-3</v>
      </c>
      <c r="S1646">
        <f t="shared" si="418"/>
        <v>1</v>
      </c>
      <c r="T1646">
        <f t="shared" si="419"/>
        <v>0</v>
      </c>
      <c r="U1646">
        <f t="shared" si="420"/>
        <v>0</v>
      </c>
      <c r="V1646">
        <f t="shared" si="421"/>
        <v>0</v>
      </c>
      <c r="W1646">
        <f t="shared" si="422"/>
        <v>0</v>
      </c>
      <c r="X1646">
        <f t="shared" si="423"/>
        <v>0</v>
      </c>
      <c r="Y1646">
        <f t="shared" si="424"/>
        <v>0</v>
      </c>
    </row>
    <row r="1647" spans="1:25" hidden="1">
      <c r="A1647" t="str">
        <f t="shared" si="416"/>
        <v>Stewart 1970</v>
      </c>
      <c r="E1647">
        <v>2.1920000000000002</v>
      </c>
      <c r="H1647">
        <f>H1646</f>
        <v>285.55</v>
      </c>
      <c r="I1647">
        <v>20.260000000000002</v>
      </c>
      <c r="J1647">
        <f t="shared" si="427"/>
        <v>3.2017341880593997</v>
      </c>
      <c r="L1647">
        <f t="shared" si="428"/>
        <v>1.0143005557981028E-2</v>
      </c>
      <c r="S1647">
        <f t="shared" si="418"/>
        <v>1</v>
      </c>
      <c r="T1647">
        <f t="shared" si="419"/>
        <v>0</v>
      </c>
      <c r="U1647">
        <f t="shared" si="420"/>
        <v>0</v>
      </c>
      <c r="V1647">
        <f t="shared" si="421"/>
        <v>0</v>
      </c>
      <c r="W1647">
        <f t="shared" si="422"/>
        <v>0</v>
      </c>
      <c r="X1647">
        <f t="shared" si="423"/>
        <v>0</v>
      </c>
      <c r="Y1647">
        <f t="shared" si="424"/>
        <v>0</v>
      </c>
    </row>
    <row r="1648" spans="1:25" hidden="1">
      <c r="A1648" t="str">
        <f t="shared" si="416"/>
        <v>Stewart 1970</v>
      </c>
      <c r="E1648">
        <v>3.6720000000000002</v>
      </c>
      <c r="H1648">
        <f>H1647</f>
        <v>285.55</v>
      </c>
      <c r="I1648">
        <v>45.6</v>
      </c>
      <c r="J1648">
        <f t="shared" si="427"/>
        <v>3.2017341880593997</v>
      </c>
      <c r="L1648">
        <f t="shared" si="428"/>
        <v>1.6875813246770673E-2</v>
      </c>
      <c r="S1648">
        <f t="shared" si="418"/>
        <v>1</v>
      </c>
      <c r="T1648">
        <f t="shared" si="419"/>
        <v>0</v>
      </c>
      <c r="U1648">
        <f t="shared" si="420"/>
        <v>0</v>
      </c>
      <c r="V1648">
        <f t="shared" si="421"/>
        <v>0</v>
      </c>
      <c r="W1648">
        <f t="shared" si="422"/>
        <v>0</v>
      </c>
      <c r="X1648">
        <f t="shared" si="423"/>
        <v>0</v>
      </c>
      <c r="Y1648">
        <f t="shared" si="424"/>
        <v>0</v>
      </c>
    </row>
    <row r="1649" spans="1:25" hidden="1">
      <c r="A1649" t="s">
        <v>86</v>
      </c>
      <c r="C1649">
        <v>500</v>
      </c>
      <c r="E1649">
        <v>0.55000000000000004</v>
      </c>
      <c r="H1649">
        <v>299.8</v>
      </c>
      <c r="I1649">
        <f t="shared" ref="I1649:I1680" si="429">ROUND(C1649/14.504,2)</f>
        <v>34.47</v>
      </c>
      <c r="J1649">
        <f t="shared" ref="J1649:J1680" si="430">J1648</f>
        <v>3.2017341880593997</v>
      </c>
      <c r="O1649">
        <f t="shared" ref="O1649:O1656" si="431">E1649/(E1649+1260.7)</f>
        <v>4.3607532210109023E-4</v>
      </c>
      <c r="S1649">
        <f t="shared" si="418"/>
        <v>1</v>
      </c>
      <c r="T1649">
        <f t="shared" si="419"/>
        <v>0</v>
      </c>
      <c r="U1649">
        <f t="shared" si="420"/>
        <v>0</v>
      </c>
      <c r="V1649">
        <f t="shared" si="421"/>
        <v>0</v>
      </c>
      <c r="W1649">
        <f t="shared" si="422"/>
        <v>0</v>
      </c>
      <c r="X1649">
        <f t="shared" si="423"/>
        <v>0</v>
      </c>
      <c r="Y1649">
        <f t="shared" si="424"/>
        <v>0</v>
      </c>
    </row>
    <row r="1650" spans="1:25" hidden="1">
      <c r="A1650" t="str">
        <f t="shared" ref="A1650:A1681" si="432">A1649</f>
        <v>Suciu 1951</v>
      </c>
      <c r="C1650">
        <f t="shared" ref="C1650:C1655" si="433">C1649</f>
        <v>500</v>
      </c>
      <c r="E1650">
        <v>0.7</v>
      </c>
      <c r="H1650">
        <v>324.3</v>
      </c>
      <c r="I1650">
        <f t="shared" si="429"/>
        <v>34.47</v>
      </c>
      <c r="J1650">
        <f t="shared" si="430"/>
        <v>3.2017341880593997</v>
      </c>
      <c r="O1650">
        <f t="shared" si="431"/>
        <v>5.5493895671476128E-4</v>
      </c>
      <c r="S1650">
        <f t="shared" si="418"/>
        <v>1</v>
      </c>
      <c r="T1650">
        <f t="shared" si="419"/>
        <v>0</v>
      </c>
      <c r="U1650">
        <f t="shared" si="420"/>
        <v>0</v>
      </c>
      <c r="V1650">
        <f t="shared" si="421"/>
        <v>0</v>
      </c>
      <c r="W1650">
        <f t="shared" si="422"/>
        <v>0</v>
      </c>
      <c r="X1650">
        <f t="shared" si="423"/>
        <v>0</v>
      </c>
      <c r="Y1650">
        <f t="shared" si="424"/>
        <v>0</v>
      </c>
    </row>
    <row r="1651" spans="1:25" hidden="1">
      <c r="A1651" t="str">
        <f t="shared" si="432"/>
        <v>Suciu 1951</v>
      </c>
      <c r="C1651">
        <f t="shared" si="433"/>
        <v>500</v>
      </c>
      <c r="E1651">
        <v>0.56999999999999995</v>
      </c>
      <c r="H1651">
        <v>366.5</v>
      </c>
      <c r="I1651">
        <f t="shared" si="429"/>
        <v>34.47</v>
      </c>
      <c r="J1651">
        <f t="shared" si="430"/>
        <v>3.2017341880593997</v>
      </c>
      <c r="O1651">
        <f t="shared" si="431"/>
        <v>4.5192544023087838E-4</v>
      </c>
      <c r="S1651">
        <f t="shared" si="418"/>
        <v>1</v>
      </c>
      <c r="T1651">
        <f t="shared" si="419"/>
        <v>0</v>
      </c>
      <c r="U1651">
        <f t="shared" si="420"/>
        <v>0</v>
      </c>
      <c r="V1651">
        <f t="shared" si="421"/>
        <v>0</v>
      </c>
      <c r="W1651">
        <f t="shared" si="422"/>
        <v>0</v>
      </c>
      <c r="X1651">
        <f t="shared" si="423"/>
        <v>0</v>
      </c>
      <c r="Y1651">
        <f t="shared" si="424"/>
        <v>0</v>
      </c>
    </row>
    <row r="1652" spans="1:25" hidden="1">
      <c r="A1652" t="str">
        <f t="shared" si="432"/>
        <v>Suciu 1951</v>
      </c>
      <c r="C1652">
        <f t="shared" si="433"/>
        <v>500</v>
      </c>
      <c r="E1652">
        <v>0.59</v>
      </c>
      <c r="H1652">
        <v>422</v>
      </c>
      <c r="I1652">
        <f t="shared" si="429"/>
        <v>34.47</v>
      </c>
      <c r="J1652">
        <f t="shared" si="430"/>
        <v>3.2017341880593997</v>
      </c>
      <c r="O1652">
        <f t="shared" si="431"/>
        <v>4.6777505569694518E-4</v>
      </c>
      <c r="S1652">
        <f t="shared" si="418"/>
        <v>1</v>
      </c>
      <c r="T1652">
        <f t="shared" si="419"/>
        <v>0</v>
      </c>
      <c r="U1652">
        <f t="shared" si="420"/>
        <v>0</v>
      </c>
      <c r="V1652">
        <f t="shared" si="421"/>
        <v>0</v>
      </c>
      <c r="W1652">
        <f t="shared" si="422"/>
        <v>0</v>
      </c>
      <c r="X1652">
        <f t="shared" si="423"/>
        <v>0</v>
      </c>
      <c r="Y1652">
        <f t="shared" si="424"/>
        <v>0</v>
      </c>
    </row>
    <row r="1653" spans="1:25" hidden="1">
      <c r="A1653" t="str">
        <f t="shared" si="432"/>
        <v>Suciu 1951</v>
      </c>
      <c r="C1653">
        <f t="shared" si="433"/>
        <v>500</v>
      </c>
      <c r="E1653">
        <v>0.57999999999999996</v>
      </c>
      <c r="H1653">
        <v>449.8</v>
      </c>
      <c r="I1653">
        <f t="shared" si="429"/>
        <v>34.47</v>
      </c>
      <c r="J1653">
        <f t="shared" si="430"/>
        <v>3.2017341880593997</v>
      </c>
      <c r="O1653">
        <f t="shared" si="431"/>
        <v>4.5985031079538247E-4</v>
      </c>
      <c r="S1653">
        <f t="shared" si="418"/>
        <v>1</v>
      </c>
      <c r="T1653">
        <f t="shared" si="419"/>
        <v>0</v>
      </c>
      <c r="U1653">
        <f t="shared" si="420"/>
        <v>0</v>
      </c>
      <c r="V1653">
        <f t="shared" si="421"/>
        <v>0</v>
      </c>
      <c r="W1653">
        <f t="shared" si="422"/>
        <v>0</v>
      </c>
      <c r="X1653">
        <f t="shared" si="423"/>
        <v>0</v>
      </c>
      <c r="Y1653">
        <f t="shared" si="424"/>
        <v>0</v>
      </c>
    </row>
    <row r="1654" spans="1:25" hidden="1">
      <c r="A1654" t="str">
        <f t="shared" si="432"/>
        <v>Suciu 1951</v>
      </c>
      <c r="C1654">
        <f t="shared" si="433"/>
        <v>500</v>
      </c>
      <c r="E1654">
        <v>0.5</v>
      </c>
      <c r="H1654">
        <v>477.6</v>
      </c>
      <c r="I1654">
        <f t="shared" si="429"/>
        <v>34.47</v>
      </c>
      <c r="J1654">
        <f t="shared" si="430"/>
        <v>3.2017341880593997</v>
      </c>
      <c r="O1654">
        <f t="shared" si="431"/>
        <v>3.964478274659055E-4</v>
      </c>
      <c r="S1654">
        <f t="shared" si="418"/>
        <v>1</v>
      </c>
      <c r="T1654">
        <f t="shared" si="419"/>
        <v>0</v>
      </c>
      <c r="U1654">
        <f t="shared" si="420"/>
        <v>0</v>
      </c>
      <c r="V1654">
        <f t="shared" si="421"/>
        <v>0</v>
      </c>
      <c r="W1654">
        <f t="shared" si="422"/>
        <v>0</v>
      </c>
      <c r="X1654">
        <f t="shared" si="423"/>
        <v>0</v>
      </c>
      <c r="Y1654">
        <f t="shared" si="424"/>
        <v>0</v>
      </c>
    </row>
    <row r="1655" spans="1:25" hidden="1">
      <c r="A1655" t="str">
        <f t="shared" si="432"/>
        <v>Suciu 1951</v>
      </c>
      <c r="C1655">
        <f t="shared" si="433"/>
        <v>500</v>
      </c>
      <c r="E1655">
        <v>0.27</v>
      </c>
      <c r="H1655">
        <v>502.6</v>
      </c>
      <c r="I1655">
        <f t="shared" si="429"/>
        <v>34.47</v>
      </c>
      <c r="J1655">
        <f t="shared" si="430"/>
        <v>3.2017341880593997</v>
      </c>
      <c r="O1655">
        <f t="shared" si="431"/>
        <v>2.1412087519925139E-4</v>
      </c>
      <c r="S1655">
        <f t="shared" si="418"/>
        <v>1</v>
      </c>
      <c r="T1655">
        <f t="shared" si="419"/>
        <v>0</v>
      </c>
      <c r="U1655">
        <f t="shared" si="420"/>
        <v>0</v>
      </c>
      <c r="V1655">
        <f t="shared" si="421"/>
        <v>0</v>
      </c>
      <c r="W1655">
        <f t="shared" si="422"/>
        <v>0</v>
      </c>
      <c r="X1655">
        <f t="shared" si="423"/>
        <v>0</v>
      </c>
      <c r="Y1655">
        <f t="shared" si="424"/>
        <v>0</v>
      </c>
    </row>
    <row r="1656" spans="1:25" hidden="1">
      <c r="A1656" t="str">
        <f t="shared" si="432"/>
        <v>Suciu 1951</v>
      </c>
      <c r="C1656">
        <v>1000</v>
      </c>
      <c r="E1656">
        <v>0.84699999999999998</v>
      </c>
      <c r="H1656">
        <v>273.14999999999998</v>
      </c>
      <c r="I1656">
        <f t="shared" si="429"/>
        <v>68.95</v>
      </c>
      <c r="J1656">
        <f t="shared" si="430"/>
        <v>3.2017341880593997</v>
      </c>
      <c r="O1656">
        <f t="shared" si="431"/>
        <v>6.7139789480693147E-4</v>
      </c>
      <c r="S1656">
        <f t="shared" si="418"/>
        <v>1</v>
      </c>
      <c r="T1656">
        <f t="shared" si="419"/>
        <v>0</v>
      </c>
      <c r="U1656">
        <f t="shared" si="420"/>
        <v>0</v>
      </c>
      <c r="V1656">
        <f t="shared" si="421"/>
        <v>0</v>
      </c>
      <c r="W1656">
        <f t="shared" si="422"/>
        <v>0</v>
      </c>
      <c r="X1656">
        <f t="shared" si="423"/>
        <v>0</v>
      </c>
      <c r="Y1656">
        <f t="shared" si="424"/>
        <v>0</v>
      </c>
    </row>
    <row r="1657" spans="1:25" hidden="1">
      <c r="A1657" t="str">
        <f t="shared" si="432"/>
        <v>Suciu 1951</v>
      </c>
      <c r="C1657">
        <f t="shared" ref="C1657:C1679" si="434">C1656</f>
        <v>1000</v>
      </c>
      <c r="H1657">
        <v>297.60000000000002</v>
      </c>
      <c r="I1657">
        <f t="shared" si="429"/>
        <v>68.95</v>
      </c>
      <c r="J1657">
        <f t="shared" si="430"/>
        <v>3.2017341880593997</v>
      </c>
      <c r="S1657">
        <f t="shared" si="418"/>
        <v>1</v>
      </c>
      <c r="T1657">
        <f t="shared" si="419"/>
        <v>0</v>
      </c>
      <c r="U1657">
        <f t="shared" si="420"/>
        <v>0</v>
      </c>
      <c r="V1657">
        <f t="shared" si="421"/>
        <v>0</v>
      </c>
      <c r="W1657">
        <f t="shared" si="422"/>
        <v>0</v>
      </c>
      <c r="X1657">
        <f t="shared" si="423"/>
        <v>0</v>
      </c>
      <c r="Y1657">
        <f t="shared" si="424"/>
        <v>0</v>
      </c>
    </row>
    <row r="1658" spans="1:25" hidden="1">
      <c r="A1658" t="str">
        <f t="shared" si="432"/>
        <v>Suciu 1951</v>
      </c>
      <c r="C1658">
        <f t="shared" si="434"/>
        <v>1000</v>
      </c>
      <c r="E1658">
        <v>1.1970000000000001</v>
      </c>
      <c r="H1658">
        <v>298.14999999999998</v>
      </c>
      <c r="I1658">
        <f t="shared" si="429"/>
        <v>68.95</v>
      </c>
      <c r="J1658">
        <f t="shared" si="430"/>
        <v>3.2017341880593997</v>
      </c>
      <c r="O1658">
        <f>E1658/(E1658+1260.7)</f>
        <v>9.4857187234774324E-4</v>
      </c>
      <c r="S1658">
        <f t="shared" si="418"/>
        <v>1</v>
      </c>
      <c r="T1658">
        <f t="shared" si="419"/>
        <v>0</v>
      </c>
      <c r="U1658">
        <f t="shared" si="420"/>
        <v>0</v>
      </c>
      <c r="V1658">
        <f t="shared" si="421"/>
        <v>0</v>
      </c>
      <c r="W1658">
        <f t="shared" si="422"/>
        <v>0</v>
      </c>
      <c r="X1658">
        <f t="shared" si="423"/>
        <v>0</v>
      </c>
      <c r="Y1658">
        <f t="shared" si="424"/>
        <v>0</v>
      </c>
    </row>
    <row r="1659" spans="1:25" hidden="1">
      <c r="A1659" t="str">
        <f t="shared" si="432"/>
        <v>Suciu 1951</v>
      </c>
      <c r="C1659">
        <f t="shared" si="434"/>
        <v>1000</v>
      </c>
      <c r="F1659">
        <v>6.7000000000000002E-3</v>
      </c>
      <c r="H1659">
        <v>298.7</v>
      </c>
      <c r="I1659">
        <f t="shared" si="429"/>
        <v>68.95</v>
      </c>
      <c r="J1659">
        <f t="shared" si="430"/>
        <v>3.2017341880593997</v>
      </c>
      <c r="K1659">
        <f>F1659</f>
        <v>6.7000000000000002E-3</v>
      </c>
      <c r="S1659">
        <f t="shared" si="418"/>
        <v>1</v>
      </c>
      <c r="T1659">
        <f t="shared" si="419"/>
        <v>0</v>
      </c>
      <c r="U1659">
        <f t="shared" si="420"/>
        <v>0</v>
      </c>
      <c r="V1659">
        <f t="shared" si="421"/>
        <v>0</v>
      </c>
      <c r="W1659">
        <f t="shared" si="422"/>
        <v>0</v>
      </c>
      <c r="X1659">
        <f t="shared" si="423"/>
        <v>0</v>
      </c>
      <c r="Y1659">
        <f t="shared" si="424"/>
        <v>0</v>
      </c>
    </row>
    <row r="1660" spans="1:25" hidden="1">
      <c r="A1660" t="str">
        <f t="shared" si="432"/>
        <v>Suciu 1951</v>
      </c>
      <c r="C1660">
        <f t="shared" si="434"/>
        <v>1000</v>
      </c>
      <c r="E1660">
        <v>1.17</v>
      </c>
      <c r="H1660">
        <v>312.60000000000002</v>
      </c>
      <c r="I1660">
        <f t="shared" si="429"/>
        <v>68.95</v>
      </c>
      <c r="J1660">
        <f t="shared" si="430"/>
        <v>3.2017341880593997</v>
      </c>
      <c r="O1660">
        <f>E1660/(E1660+1260.7)</f>
        <v>9.2719535292859001E-4</v>
      </c>
      <c r="S1660">
        <f t="shared" si="418"/>
        <v>1</v>
      </c>
      <c r="T1660">
        <f t="shared" si="419"/>
        <v>0</v>
      </c>
      <c r="U1660">
        <f t="shared" si="420"/>
        <v>0</v>
      </c>
      <c r="V1660">
        <f t="shared" si="421"/>
        <v>0</v>
      </c>
      <c r="W1660">
        <f t="shared" si="422"/>
        <v>0</v>
      </c>
      <c r="X1660">
        <f t="shared" si="423"/>
        <v>0</v>
      </c>
      <c r="Y1660">
        <f t="shared" si="424"/>
        <v>0</v>
      </c>
    </row>
    <row r="1661" spans="1:25" hidden="1">
      <c r="A1661" t="str">
        <f t="shared" si="432"/>
        <v>Suciu 1951</v>
      </c>
      <c r="C1661">
        <f t="shared" si="434"/>
        <v>1000</v>
      </c>
      <c r="E1661">
        <v>1.095</v>
      </c>
      <c r="H1661">
        <v>317.60000000000002</v>
      </c>
      <c r="I1661">
        <f t="shared" si="429"/>
        <v>68.95</v>
      </c>
      <c r="J1661">
        <f t="shared" si="430"/>
        <v>3.2017341880593997</v>
      </c>
      <c r="O1661">
        <f>E1661/(E1661+1260.7)</f>
        <v>8.6781133226871234E-4</v>
      </c>
      <c r="S1661">
        <f t="shared" ref="S1661:S1692" si="435">S1660</f>
        <v>1</v>
      </c>
      <c r="T1661">
        <f t="shared" ref="T1661:T1692" si="436">T1660</f>
        <v>0</v>
      </c>
      <c r="U1661">
        <f t="shared" ref="U1661:U1692" si="437">U1660</f>
        <v>0</v>
      </c>
      <c r="V1661">
        <f t="shared" ref="V1661:V1692" si="438">V1660</f>
        <v>0</v>
      </c>
      <c r="W1661">
        <f t="shared" ref="W1661:W1692" si="439">W1660</f>
        <v>0</v>
      </c>
      <c r="X1661">
        <f t="shared" ref="X1661:X1692" si="440">X1660</f>
        <v>0</v>
      </c>
      <c r="Y1661">
        <f t="shared" ref="Y1661:Y1692" si="441">Y1660</f>
        <v>0</v>
      </c>
    </row>
    <row r="1662" spans="1:25" hidden="1">
      <c r="A1662" t="str">
        <f t="shared" si="432"/>
        <v>Suciu 1951</v>
      </c>
      <c r="C1662">
        <f t="shared" si="434"/>
        <v>1000</v>
      </c>
      <c r="H1662">
        <v>334.8</v>
      </c>
      <c r="I1662">
        <f t="shared" si="429"/>
        <v>68.95</v>
      </c>
      <c r="J1662">
        <f t="shared" si="430"/>
        <v>3.2017341880593997</v>
      </c>
      <c r="S1662">
        <f t="shared" si="435"/>
        <v>1</v>
      </c>
      <c r="T1662">
        <f t="shared" si="436"/>
        <v>0</v>
      </c>
      <c r="U1662">
        <f t="shared" si="437"/>
        <v>0</v>
      </c>
      <c r="V1662">
        <f t="shared" si="438"/>
        <v>0</v>
      </c>
      <c r="W1662">
        <f t="shared" si="439"/>
        <v>0</v>
      </c>
      <c r="X1662">
        <f t="shared" si="440"/>
        <v>0</v>
      </c>
      <c r="Y1662">
        <f t="shared" si="441"/>
        <v>0</v>
      </c>
    </row>
    <row r="1663" spans="1:25" hidden="1">
      <c r="A1663" t="str">
        <f t="shared" si="432"/>
        <v>Suciu 1951</v>
      </c>
      <c r="C1663">
        <f t="shared" si="434"/>
        <v>1000</v>
      </c>
      <c r="E1663">
        <v>0.95099999999999996</v>
      </c>
      <c r="F1663">
        <v>1.4500000000000001E-2</v>
      </c>
      <c r="H1663">
        <v>335.9</v>
      </c>
      <c r="I1663">
        <f t="shared" si="429"/>
        <v>68.95</v>
      </c>
      <c r="J1663">
        <f t="shared" si="430"/>
        <v>3.2017341880593997</v>
      </c>
      <c r="K1663">
        <f>F1663</f>
        <v>1.4500000000000001E-2</v>
      </c>
      <c r="O1663">
        <f>E1663/(E1663+1260.7)</f>
        <v>7.5377422123867844E-4</v>
      </c>
      <c r="S1663">
        <f t="shared" si="435"/>
        <v>1</v>
      </c>
      <c r="T1663">
        <f t="shared" si="436"/>
        <v>0</v>
      </c>
      <c r="U1663">
        <f t="shared" si="437"/>
        <v>0</v>
      </c>
      <c r="V1663">
        <f t="shared" si="438"/>
        <v>0</v>
      </c>
      <c r="W1663">
        <f t="shared" si="439"/>
        <v>0</v>
      </c>
      <c r="X1663">
        <f t="shared" si="440"/>
        <v>0</v>
      </c>
      <c r="Y1663">
        <f t="shared" si="441"/>
        <v>0</v>
      </c>
    </row>
    <row r="1664" spans="1:25" hidden="1">
      <c r="A1664" t="str">
        <f t="shared" si="432"/>
        <v>Suciu 1951</v>
      </c>
      <c r="C1664">
        <f t="shared" si="434"/>
        <v>1000</v>
      </c>
      <c r="F1664">
        <v>1.34E-2</v>
      </c>
      <c r="H1664">
        <v>341.5</v>
      </c>
      <c r="I1664">
        <f t="shared" si="429"/>
        <v>68.95</v>
      </c>
      <c r="J1664">
        <f t="shared" si="430"/>
        <v>3.2017341880593997</v>
      </c>
      <c r="K1664">
        <f>F1664</f>
        <v>1.34E-2</v>
      </c>
      <c r="S1664">
        <f t="shared" si="435"/>
        <v>1</v>
      </c>
      <c r="T1664">
        <f t="shared" si="436"/>
        <v>0</v>
      </c>
      <c r="U1664">
        <f t="shared" si="437"/>
        <v>0</v>
      </c>
      <c r="V1664">
        <f t="shared" si="438"/>
        <v>0</v>
      </c>
      <c r="W1664">
        <f t="shared" si="439"/>
        <v>0</v>
      </c>
      <c r="X1664">
        <f t="shared" si="440"/>
        <v>0</v>
      </c>
      <c r="Y1664">
        <f t="shared" si="441"/>
        <v>0</v>
      </c>
    </row>
    <row r="1665" spans="1:25" hidden="1">
      <c r="A1665" t="str">
        <f t="shared" si="432"/>
        <v>Suciu 1951</v>
      </c>
      <c r="C1665">
        <f t="shared" si="434"/>
        <v>1000</v>
      </c>
      <c r="E1665">
        <v>1.1100000000000001</v>
      </c>
      <c r="F1665">
        <v>2.1999999999999999E-2</v>
      </c>
      <c r="H1665">
        <v>362</v>
      </c>
      <c r="I1665">
        <f t="shared" si="429"/>
        <v>68.95</v>
      </c>
      <c r="J1665">
        <f t="shared" si="430"/>
        <v>3.2017341880593997</v>
      </c>
      <c r="K1665">
        <f>F1665</f>
        <v>2.1999999999999999E-2</v>
      </c>
      <c r="O1665">
        <f>E1665/(E1665+1260.7)</f>
        <v>8.7968870115152052E-4</v>
      </c>
      <c r="S1665">
        <f t="shared" si="435"/>
        <v>1</v>
      </c>
      <c r="T1665">
        <f t="shared" si="436"/>
        <v>0</v>
      </c>
      <c r="U1665">
        <f t="shared" si="437"/>
        <v>0</v>
      </c>
      <c r="V1665">
        <f t="shared" si="438"/>
        <v>0</v>
      </c>
      <c r="W1665">
        <f t="shared" si="439"/>
        <v>0</v>
      </c>
      <c r="X1665">
        <f t="shared" si="440"/>
        <v>0</v>
      </c>
      <c r="Y1665">
        <f t="shared" si="441"/>
        <v>0</v>
      </c>
    </row>
    <row r="1666" spans="1:25" hidden="1">
      <c r="A1666" t="str">
        <f t="shared" si="432"/>
        <v>Suciu 1951</v>
      </c>
      <c r="C1666">
        <f t="shared" si="434"/>
        <v>1000</v>
      </c>
      <c r="H1666">
        <v>391.5</v>
      </c>
      <c r="I1666">
        <f t="shared" si="429"/>
        <v>68.95</v>
      </c>
      <c r="J1666">
        <f t="shared" si="430"/>
        <v>3.2017341880593997</v>
      </c>
      <c r="S1666">
        <f t="shared" si="435"/>
        <v>1</v>
      </c>
      <c r="T1666">
        <f t="shared" si="436"/>
        <v>0</v>
      </c>
      <c r="U1666">
        <f t="shared" si="437"/>
        <v>0</v>
      </c>
      <c r="V1666">
        <f t="shared" si="438"/>
        <v>0</v>
      </c>
      <c r="W1666">
        <f t="shared" si="439"/>
        <v>0</v>
      </c>
      <c r="X1666">
        <f t="shared" si="440"/>
        <v>0</v>
      </c>
      <c r="Y1666">
        <f t="shared" si="441"/>
        <v>0</v>
      </c>
    </row>
    <row r="1667" spans="1:25" hidden="1">
      <c r="A1667" t="str">
        <f t="shared" si="432"/>
        <v>Suciu 1951</v>
      </c>
      <c r="C1667">
        <f t="shared" si="434"/>
        <v>1000</v>
      </c>
      <c r="F1667">
        <v>3.1E-2</v>
      </c>
      <c r="H1667">
        <v>392</v>
      </c>
      <c r="I1667">
        <f t="shared" si="429"/>
        <v>68.95</v>
      </c>
      <c r="J1667">
        <f t="shared" si="430"/>
        <v>3.2017341880593997</v>
      </c>
      <c r="K1667">
        <f>F1667</f>
        <v>3.1E-2</v>
      </c>
      <c r="S1667">
        <f t="shared" si="435"/>
        <v>1</v>
      </c>
      <c r="T1667">
        <f t="shared" si="436"/>
        <v>0</v>
      </c>
      <c r="U1667">
        <f t="shared" si="437"/>
        <v>0</v>
      </c>
      <c r="V1667">
        <f t="shared" si="438"/>
        <v>0</v>
      </c>
      <c r="W1667">
        <f t="shared" si="439"/>
        <v>0</v>
      </c>
      <c r="X1667">
        <f t="shared" si="440"/>
        <v>0</v>
      </c>
      <c r="Y1667">
        <f t="shared" si="441"/>
        <v>0</v>
      </c>
    </row>
    <row r="1668" spans="1:25" hidden="1">
      <c r="A1668" t="str">
        <f t="shared" si="432"/>
        <v>Suciu 1951</v>
      </c>
      <c r="C1668">
        <f t="shared" si="434"/>
        <v>1000</v>
      </c>
      <c r="E1668">
        <v>1.3</v>
      </c>
      <c r="H1668">
        <v>393.15</v>
      </c>
      <c r="I1668">
        <f t="shared" si="429"/>
        <v>68.95</v>
      </c>
      <c r="J1668">
        <f t="shared" si="430"/>
        <v>3.2017341880593997</v>
      </c>
      <c r="O1668">
        <f>E1668/(E1668+1260.7)</f>
        <v>1.0301109350237718E-3</v>
      </c>
      <c r="S1668">
        <f t="shared" si="435"/>
        <v>1</v>
      </c>
      <c r="T1668">
        <f t="shared" si="436"/>
        <v>0</v>
      </c>
      <c r="U1668">
        <f t="shared" si="437"/>
        <v>0</v>
      </c>
      <c r="V1668">
        <f t="shared" si="438"/>
        <v>0</v>
      </c>
      <c r="W1668">
        <f t="shared" si="439"/>
        <v>0</v>
      </c>
      <c r="X1668">
        <f t="shared" si="440"/>
        <v>0</v>
      </c>
      <c r="Y1668">
        <f t="shared" si="441"/>
        <v>0</v>
      </c>
    </row>
    <row r="1669" spans="1:25" hidden="1">
      <c r="A1669" t="str">
        <f t="shared" si="432"/>
        <v>Suciu 1951</v>
      </c>
      <c r="C1669">
        <f t="shared" si="434"/>
        <v>1000</v>
      </c>
      <c r="E1669">
        <v>1.64</v>
      </c>
      <c r="H1669">
        <v>420.4</v>
      </c>
      <c r="I1669">
        <f t="shared" si="429"/>
        <v>68.95</v>
      </c>
      <c r="J1669">
        <f t="shared" si="430"/>
        <v>3.2017341880593997</v>
      </c>
      <c r="O1669">
        <f>E1669/(E1669+1260.7)</f>
        <v>1.2991745488537159E-3</v>
      </c>
      <c r="S1669">
        <f t="shared" si="435"/>
        <v>1</v>
      </c>
      <c r="T1669">
        <f t="shared" si="436"/>
        <v>0</v>
      </c>
      <c r="U1669">
        <f t="shared" si="437"/>
        <v>0</v>
      </c>
      <c r="V1669">
        <f t="shared" si="438"/>
        <v>0</v>
      </c>
      <c r="W1669">
        <f t="shared" si="439"/>
        <v>0</v>
      </c>
      <c r="X1669">
        <f t="shared" si="440"/>
        <v>0</v>
      </c>
      <c r="Y1669">
        <f t="shared" si="441"/>
        <v>0</v>
      </c>
    </row>
    <row r="1670" spans="1:25" hidden="1">
      <c r="A1670" t="str">
        <f t="shared" si="432"/>
        <v>Suciu 1951</v>
      </c>
      <c r="C1670">
        <f t="shared" si="434"/>
        <v>1000</v>
      </c>
      <c r="F1670">
        <v>6.7000000000000004E-2</v>
      </c>
      <c r="H1670">
        <v>420.9</v>
      </c>
      <c r="I1670">
        <f t="shared" si="429"/>
        <v>68.95</v>
      </c>
      <c r="J1670">
        <f t="shared" si="430"/>
        <v>3.2017341880593997</v>
      </c>
      <c r="K1670">
        <f>F1670</f>
        <v>6.7000000000000004E-2</v>
      </c>
      <c r="S1670">
        <f t="shared" si="435"/>
        <v>1</v>
      </c>
      <c r="T1670">
        <f t="shared" si="436"/>
        <v>0</v>
      </c>
      <c r="U1670">
        <f t="shared" si="437"/>
        <v>0</v>
      </c>
      <c r="V1670">
        <f t="shared" si="438"/>
        <v>0</v>
      </c>
      <c r="W1670">
        <f t="shared" si="439"/>
        <v>0</v>
      </c>
      <c r="X1670">
        <f t="shared" si="440"/>
        <v>0</v>
      </c>
      <c r="Y1670">
        <f t="shared" si="441"/>
        <v>0</v>
      </c>
    </row>
    <row r="1671" spans="1:25" hidden="1">
      <c r="A1671" t="str">
        <f t="shared" si="432"/>
        <v>Suciu 1951</v>
      </c>
      <c r="C1671">
        <f t="shared" si="434"/>
        <v>1000</v>
      </c>
      <c r="H1671">
        <v>423.15</v>
      </c>
      <c r="I1671">
        <f t="shared" si="429"/>
        <v>68.95</v>
      </c>
      <c r="J1671">
        <f t="shared" si="430"/>
        <v>3.2017341880593997</v>
      </c>
      <c r="S1671">
        <f t="shared" si="435"/>
        <v>1</v>
      </c>
      <c r="T1671">
        <f t="shared" si="436"/>
        <v>0</v>
      </c>
      <c r="U1671">
        <f t="shared" si="437"/>
        <v>0</v>
      </c>
      <c r="V1671">
        <f t="shared" si="438"/>
        <v>0</v>
      </c>
      <c r="W1671">
        <f t="shared" si="439"/>
        <v>0</v>
      </c>
      <c r="X1671">
        <f t="shared" si="440"/>
        <v>0</v>
      </c>
      <c r="Y1671">
        <f t="shared" si="441"/>
        <v>0</v>
      </c>
    </row>
    <row r="1672" spans="1:25" hidden="1">
      <c r="A1672" t="str">
        <f t="shared" si="432"/>
        <v>Suciu 1951</v>
      </c>
      <c r="C1672">
        <f t="shared" si="434"/>
        <v>1000</v>
      </c>
      <c r="E1672">
        <v>1.9</v>
      </c>
      <c r="H1672">
        <v>452.6</v>
      </c>
      <c r="I1672">
        <f t="shared" si="429"/>
        <v>68.95</v>
      </c>
      <c r="J1672">
        <f t="shared" si="430"/>
        <v>3.2017341880593997</v>
      </c>
      <c r="O1672">
        <f>E1672/(E1672+1260.7)</f>
        <v>1.5048313004910499E-3</v>
      </c>
      <c r="S1672">
        <f t="shared" si="435"/>
        <v>1</v>
      </c>
      <c r="T1672">
        <f t="shared" si="436"/>
        <v>0</v>
      </c>
      <c r="U1672">
        <f t="shared" si="437"/>
        <v>0</v>
      </c>
      <c r="V1672">
        <f t="shared" si="438"/>
        <v>0</v>
      </c>
      <c r="W1672">
        <f t="shared" si="439"/>
        <v>0</v>
      </c>
      <c r="X1672">
        <f t="shared" si="440"/>
        <v>0</v>
      </c>
      <c r="Y1672">
        <f t="shared" si="441"/>
        <v>0</v>
      </c>
    </row>
    <row r="1673" spans="1:25" hidden="1">
      <c r="A1673" t="str">
        <f t="shared" si="432"/>
        <v>Suciu 1951</v>
      </c>
      <c r="C1673">
        <f t="shared" si="434"/>
        <v>1000</v>
      </c>
      <c r="F1673">
        <v>0.15</v>
      </c>
      <c r="H1673">
        <v>454.8</v>
      </c>
      <c r="I1673">
        <f t="shared" si="429"/>
        <v>68.95</v>
      </c>
      <c r="J1673">
        <f t="shared" si="430"/>
        <v>3.2017341880593997</v>
      </c>
      <c r="K1673">
        <f>F1673</f>
        <v>0.15</v>
      </c>
      <c r="S1673">
        <f t="shared" si="435"/>
        <v>1</v>
      </c>
      <c r="T1673">
        <f t="shared" si="436"/>
        <v>0</v>
      </c>
      <c r="U1673">
        <f t="shared" si="437"/>
        <v>0</v>
      </c>
      <c r="V1673">
        <f t="shared" si="438"/>
        <v>0</v>
      </c>
      <c r="W1673">
        <f t="shared" si="439"/>
        <v>0</v>
      </c>
      <c r="X1673">
        <f t="shared" si="440"/>
        <v>0</v>
      </c>
      <c r="Y1673">
        <f t="shared" si="441"/>
        <v>0</v>
      </c>
    </row>
    <row r="1674" spans="1:25" hidden="1">
      <c r="A1674" t="str">
        <f t="shared" si="432"/>
        <v>Suciu 1951</v>
      </c>
      <c r="C1674">
        <f t="shared" si="434"/>
        <v>1000</v>
      </c>
      <c r="E1674">
        <v>2.1</v>
      </c>
      <c r="F1674">
        <v>0.26300000000000001</v>
      </c>
      <c r="H1674">
        <v>477.6</v>
      </c>
      <c r="I1674">
        <f t="shared" si="429"/>
        <v>68.95</v>
      </c>
      <c r="J1674">
        <f t="shared" si="430"/>
        <v>3.2017341880593997</v>
      </c>
      <c r="K1674">
        <f>F1674</f>
        <v>0.26300000000000001</v>
      </c>
      <c r="O1674">
        <f>E1674/(E1674+1260.7)</f>
        <v>1.6629711751662973E-3</v>
      </c>
      <c r="S1674">
        <f t="shared" si="435"/>
        <v>1</v>
      </c>
      <c r="T1674">
        <f t="shared" si="436"/>
        <v>0</v>
      </c>
      <c r="U1674">
        <f t="shared" si="437"/>
        <v>0</v>
      </c>
      <c r="V1674">
        <f t="shared" si="438"/>
        <v>0</v>
      </c>
      <c r="W1674">
        <f t="shared" si="439"/>
        <v>0</v>
      </c>
      <c r="X1674">
        <f t="shared" si="440"/>
        <v>0</v>
      </c>
      <c r="Y1674">
        <f t="shared" si="441"/>
        <v>0</v>
      </c>
    </row>
    <row r="1675" spans="1:25" hidden="1">
      <c r="A1675" t="str">
        <f t="shared" si="432"/>
        <v>Suciu 1951</v>
      </c>
      <c r="C1675">
        <f t="shared" si="434"/>
        <v>1000</v>
      </c>
      <c r="E1675">
        <v>1.94</v>
      </c>
      <c r="F1675">
        <v>0.48899999999999999</v>
      </c>
      <c r="H1675">
        <v>508.15</v>
      </c>
      <c r="I1675">
        <f t="shared" si="429"/>
        <v>68.95</v>
      </c>
      <c r="J1675">
        <f t="shared" si="430"/>
        <v>3.2017341880593997</v>
      </c>
      <c r="K1675">
        <f>F1675</f>
        <v>0.48899999999999999</v>
      </c>
      <c r="O1675">
        <f>E1675/(E1675+1260.7)</f>
        <v>1.5364632832794778E-3</v>
      </c>
      <c r="S1675">
        <f t="shared" si="435"/>
        <v>1</v>
      </c>
      <c r="T1675">
        <f t="shared" si="436"/>
        <v>0</v>
      </c>
      <c r="U1675">
        <f t="shared" si="437"/>
        <v>0</v>
      </c>
      <c r="V1675">
        <f t="shared" si="438"/>
        <v>0</v>
      </c>
      <c r="W1675">
        <f t="shared" si="439"/>
        <v>0</v>
      </c>
      <c r="X1675">
        <f t="shared" si="440"/>
        <v>0</v>
      </c>
      <c r="Y1675">
        <f t="shared" si="441"/>
        <v>0</v>
      </c>
    </row>
    <row r="1676" spans="1:25" hidden="1">
      <c r="A1676" t="str">
        <f t="shared" si="432"/>
        <v>Suciu 1951</v>
      </c>
      <c r="C1676">
        <f t="shared" si="434"/>
        <v>1000</v>
      </c>
      <c r="E1676">
        <v>1.64</v>
      </c>
      <c r="H1676">
        <v>531.5</v>
      </c>
      <c r="I1676">
        <f t="shared" si="429"/>
        <v>68.95</v>
      </c>
      <c r="J1676">
        <f t="shared" si="430"/>
        <v>3.2017341880593997</v>
      </c>
      <c r="O1676">
        <f>E1676/(E1676+1260.7)</f>
        <v>1.2991745488537159E-3</v>
      </c>
      <c r="S1676">
        <f t="shared" si="435"/>
        <v>1</v>
      </c>
      <c r="T1676">
        <f t="shared" si="436"/>
        <v>0</v>
      </c>
      <c r="U1676">
        <f t="shared" si="437"/>
        <v>0</v>
      </c>
      <c r="V1676">
        <f t="shared" si="438"/>
        <v>0</v>
      </c>
      <c r="W1676">
        <f t="shared" si="439"/>
        <v>0</v>
      </c>
      <c r="X1676">
        <f t="shared" si="440"/>
        <v>0</v>
      </c>
      <c r="Y1676">
        <f t="shared" si="441"/>
        <v>0</v>
      </c>
    </row>
    <row r="1677" spans="1:25" hidden="1">
      <c r="A1677" t="str">
        <f t="shared" si="432"/>
        <v>Suciu 1951</v>
      </c>
      <c r="C1677">
        <f t="shared" si="434"/>
        <v>1000</v>
      </c>
      <c r="F1677">
        <v>0.66100000000000003</v>
      </c>
      <c r="H1677">
        <v>533.15</v>
      </c>
      <c r="I1677">
        <f t="shared" si="429"/>
        <v>68.95</v>
      </c>
      <c r="J1677">
        <f t="shared" si="430"/>
        <v>3.2017341880593997</v>
      </c>
      <c r="K1677">
        <f>F1677</f>
        <v>0.66100000000000003</v>
      </c>
      <c r="S1677">
        <f t="shared" si="435"/>
        <v>1</v>
      </c>
      <c r="T1677">
        <f t="shared" si="436"/>
        <v>0</v>
      </c>
      <c r="U1677">
        <f t="shared" si="437"/>
        <v>0</v>
      </c>
      <c r="V1677">
        <f t="shared" si="438"/>
        <v>0</v>
      </c>
      <c r="W1677">
        <f t="shared" si="439"/>
        <v>0</v>
      </c>
      <c r="X1677">
        <f t="shared" si="440"/>
        <v>0</v>
      </c>
      <c r="Y1677">
        <f t="shared" si="441"/>
        <v>0</v>
      </c>
    </row>
    <row r="1678" spans="1:25" hidden="1">
      <c r="A1678" t="str">
        <f t="shared" si="432"/>
        <v>Suciu 1951</v>
      </c>
      <c r="C1678">
        <f t="shared" si="434"/>
        <v>1000</v>
      </c>
      <c r="F1678">
        <v>0.75</v>
      </c>
      <c r="H1678">
        <v>542.6</v>
      </c>
      <c r="I1678">
        <f t="shared" si="429"/>
        <v>68.95</v>
      </c>
      <c r="J1678">
        <f t="shared" si="430"/>
        <v>3.2017341880593997</v>
      </c>
      <c r="K1678">
        <f>F1678</f>
        <v>0.75</v>
      </c>
      <c r="S1678">
        <f t="shared" si="435"/>
        <v>1</v>
      </c>
      <c r="T1678">
        <f t="shared" si="436"/>
        <v>0</v>
      </c>
      <c r="U1678">
        <f t="shared" si="437"/>
        <v>0</v>
      </c>
      <c r="V1678">
        <f t="shared" si="438"/>
        <v>0</v>
      </c>
      <c r="W1678">
        <f t="shared" si="439"/>
        <v>0</v>
      </c>
      <c r="X1678">
        <f t="shared" si="440"/>
        <v>0</v>
      </c>
      <c r="Y1678">
        <f t="shared" si="441"/>
        <v>0</v>
      </c>
    </row>
    <row r="1679" spans="1:25" hidden="1">
      <c r="A1679" t="str">
        <f t="shared" si="432"/>
        <v>Suciu 1951</v>
      </c>
      <c r="C1679">
        <f t="shared" si="434"/>
        <v>1000</v>
      </c>
      <c r="E1679">
        <v>1.2</v>
      </c>
      <c r="H1679">
        <v>544.29999999999995</v>
      </c>
      <c r="I1679">
        <f t="shared" si="429"/>
        <v>68.95</v>
      </c>
      <c r="J1679">
        <f t="shared" si="430"/>
        <v>3.2017341880593997</v>
      </c>
      <c r="O1679">
        <f t="shared" ref="O1679:O1689" si="442">E1679/(E1679+1260.7)</f>
        <v>9.5094698470560258E-4</v>
      </c>
      <c r="S1679">
        <f t="shared" si="435"/>
        <v>1</v>
      </c>
      <c r="T1679">
        <f t="shared" si="436"/>
        <v>0</v>
      </c>
      <c r="U1679">
        <f t="shared" si="437"/>
        <v>0</v>
      </c>
      <c r="V1679">
        <f t="shared" si="438"/>
        <v>0</v>
      </c>
      <c r="W1679">
        <f t="shared" si="439"/>
        <v>0</v>
      </c>
      <c r="X1679">
        <f t="shared" si="440"/>
        <v>0</v>
      </c>
      <c r="Y1679">
        <f t="shared" si="441"/>
        <v>0</v>
      </c>
    </row>
    <row r="1680" spans="1:25" hidden="1">
      <c r="A1680" t="str">
        <f t="shared" si="432"/>
        <v>Suciu 1951</v>
      </c>
      <c r="C1680">
        <v>1500</v>
      </c>
      <c r="E1680">
        <v>1.82</v>
      </c>
      <c r="H1680">
        <v>298.14999999999998</v>
      </c>
      <c r="I1680">
        <f t="shared" si="429"/>
        <v>103.42</v>
      </c>
      <c r="J1680">
        <f t="shared" si="430"/>
        <v>3.2017341880593997</v>
      </c>
      <c r="O1680">
        <f t="shared" si="442"/>
        <v>1.4415613218008428E-3</v>
      </c>
      <c r="S1680">
        <f t="shared" si="435"/>
        <v>1</v>
      </c>
      <c r="T1680">
        <f t="shared" si="436"/>
        <v>0</v>
      </c>
      <c r="U1680">
        <f t="shared" si="437"/>
        <v>0</v>
      </c>
      <c r="V1680">
        <f t="shared" si="438"/>
        <v>0</v>
      </c>
      <c r="W1680">
        <f t="shared" si="439"/>
        <v>0</v>
      </c>
      <c r="X1680">
        <f t="shared" si="440"/>
        <v>0</v>
      </c>
      <c r="Y1680">
        <f t="shared" si="441"/>
        <v>0</v>
      </c>
    </row>
    <row r="1681" spans="1:25" hidden="1">
      <c r="A1681" t="str">
        <f t="shared" si="432"/>
        <v>Suciu 1951</v>
      </c>
      <c r="C1681">
        <f t="shared" ref="C1681:C1686" si="443">C1680</f>
        <v>1500</v>
      </c>
      <c r="E1681">
        <v>1.7</v>
      </c>
      <c r="H1681">
        <v>324.8</v>
      </c>
      <c r="I1681">
        <f t="shared" ref="I1681:I1712" si="444">ROUND(C1681/14.504,2)</f>
        <v>103.42</v>
      </c>
      <c r="J1681">
        <f t="shared" ref="J1681:J1712" si="445">J1680</f>
        <v>3.2017341880593997</v>
      </c>
      <c r="O1681">
        <f t="shared" si="442"/>
        <v>1.3466413181242077E-3</v>
      </c>
      <c r="S1681">
        <f t="shared" si="435"/>
        <v>1</v>
      </c>
      <c r="T1681">
        <f t="shared" si="436"/>
        <v>0</v>
      </c>
      <c r="U1681">
        <f t="shared" si="437"/>
        <v>0</v>
      </c>
      <c r="V1681">
        <f t="shared" si="438"/>
        <v>0</v>
      </c>
      <c r="W1681">
        <f t="shared" si="439"/>
        <v>0</v>
      </c>
      <c r="X1681">
        <f t="shared" si="440"/>
        <v>0</v>
      </c>
      <c r="Y1681">
        <f t="shared" si="441"/>
        <v>0</v>
      </c>
    </row>
    <row r="1682" spans="1:25" hidden="1">
      <c r="A1682" t="str">
        <f t="shared" ref="A1682:A1713" si="446">A1681</f>
        <v>Suciu 1951</v>
      </c>
      <c r="C1682">
        <f t="shared" si="443"/>
        <v>1500</v>
      </c>
      <c r="E1682">
        <v>1.7</v>
      </c>
      <c r="H1682">
        <v>341.5</v>
      </c>
      <c r="I1682">
        <f t="shared" si="444"/>
        <v>103.42</v>
      </c>
      <c r="J1682">
        <f t="shared" si="445"/>
        <v>3.2017341880593997</v>
      </c>
      <c r="O1682">
        <f t="shared" si="442"/>
        <v>1.3466413181242077E-3</v>
      </c>
      <c r="S1682">
        <f t="shared" si="435"/>
        <v>1</v>
      </c>
      <c r="T1682">
        <f t="shared" si="436"/>
        <v>0</v>
      </c>
      <c r="U1682">
        <f t="shared" si="437"/>
        <v>0</v>
      </c>
      <c r="V1682">
        <f t="shared" si="438"/>
        <v>0</v>
      </c>
      <c r="W1682">
        <f t="shared" si="439"/>
        <v>0</v>
      </c>
      <c r="X1682">
        <f t="shared" si="440"/>
        <v>0</v>
      </c>
      <c r="Y1682">
        <f t="shared" si="441"/>
        <v>0</v>
      </c>
    </row>
    <row r="1683" spans="1:25" hidden="1">
      <c r="A1683" t="str">
        <f t="shared" si="446"/>
        <v>Suciu 1951</v>
      </c>
      <c r="C1683">
        <f t="shared" si="443"/>
        <v>1500</v>
      </c>
      <c r="E1683">
        <v>2.17</v>
      </c>
      <c r="H1683">
        <v>391.5</v>
      </c>
      <c r="I1683">
        <f t="shared" si="444"/>
        <v>103.42</v>
      </c>
      <c r="J1683">
        <f t="shared" si="445"/>
        <v>3.2017341880593997</v>
      </c>
      <c r="O1683">
        <f t="shared" si="442"/>
        <v>1.7183082977661991E-3</v>
      </c>
      <c r="S1683">
        <f t="shared" si="435"/>
        <v>1</v>
      </c>
      <c r="T1683">
        <f t="shared" si="436"/>
        <v>0</v>
      </c>
      <c r="U1683">
        <f t="shared" si="437"/>
        <v>0</v>
      </c>
      <c r="V1683">
        <f t="shared" si="438"/>
        <v>0</v>
      </c>
      <c r="W1683">
        <f t="shared" si="439"/>
        <v>0</v>
      </c>
      <c r="X1683">
        <f t="shared" si="440"/>
        <v>0</v>
      </c>
      <c r="Y1683">
        <f t="shared" si="441"/>
        <v>0</v>
      </c>
    </row>
    <row r="1684" spans="1:25" hidden="1">
      <c r="A1684" t="str">
        <f t="shared" si="446"/>
        <v>Suciu 1951</v>
      </c>
      <c r="C1684">
        <f t="shared" si="443"/>
        <v>1500</v>
      </c>
      <c r="E1684">
        <v>3.41</v>
      </c>
      <c r="H1684">
        <v>483.15</v>
      </c>
      <c r="I1684">
        <f t="shared" si="444"/>
        <v>103.42</v>
      </c>
      <c r="J1684">
        <f t="shared" si="445"/>
        <v>3.2017341880593997</v>
      </c>
      <c r="O1684">
        <f t="shared" si="442"/>
        <v>2.6975500549793925E-3</v>
      </c>
      <c r="S1684">
        <f t="shared" si="435"/>
        <v>1</v>
      </c>
      <c r="T1684">
        <f t="shared" si="436"/>
        <v>0</v>
      </c>
      <c r="U1684">
        <f t="shared" si="437"/>
        <v>0</v>
      </c>
      <c r="V1684">
        <f t="shared" si="438"/>
        <v>0</v>
      </c>
      <c r="W1684">
        <f t="shared" si="439"/>
        <v>0</v>
      </c>
      <c r="X1684">
        <f t="shared" si="440"/>
        <v>0</v>
      </c>
      <c r="Y1684">
        <f t="shared" si="441"/>
        <v>0</v>
      </c>
    </row>
    <row r="1685" spans="1:25" hidden="1">
      <c r="A1685" t="str">
        <f t="shared" si="446"/>
        <v>Suciu 1951</v>
      </c>
      <c r="C1685">
        <f t="shared" si="443"/>
        <v>1500</v>
      </c>
      <c r="E1685">
        <v>3.88</v>
      </c>
      <c r="H1685">
        <v>537.6</v>
      </c>
      <c r="I1685">
        <f t="shared" si="444"/>
        <v>103.42</v>
      </c>
      <c r="J1685">
        <f t="shared" si="445"/>
        <v>3.2017341880593997</v>
      </c>
      <c r="O1685">
        <f t="shared" si="442"/>
        <v>3.0682123709057547E-3</v>
      </c>
      <c r="S1685">
        <f t="shared" si="435"/>
        <v>1</v>
      </c>
      <c r="T1685">
        <f t="shared" si="436"/>
        <v>0</v>
      </c>
      <c r="U1685">
        <f t="shared" si="437"/>
        <v>0</v>
      </c>
      <c r="V1685">
        <f t="shared" si="438"/>
        <v>0</v>
      </c>
      <c r="W1685">
        <f t="shared" si="439"/>
        <v>0</v>
      </c>
      <c r="X1685">
        <f t="shared" si="440"/>
        <v>0</v>
      </c>
      <c r="Y1685">
        <f t="shared" si="441"/>
        <v>0</v>
      </c>
    </row>
    <row r="1686" spans="1:25" hidden="1">
      <c r="A1686" t="str">
        <f t="shared" si="446"/>
        <v>Suciu 1951</v>
      </c>
      <c r="C1686">
        <f t="shared" si="443"/>
        <v>1500</v>
      </c>
      <c r="E1686">
        <v>2.58</v>
      </c>
      <c r="H1686">
        <v>563.70000000000005</v>
      </c>
      <c r="I1686">
        <f t="shared" si="444"/>
        <v>103.42</v>
      </c>
      <c r="J1686">
        <f t="shared" si="445"/>
        <v>3.2017341880593997</v>
      </c>
      <c r="O1686">
        <f t="shared" si="442"/>
        <v>2.0423025774175163E-3</v>
      </c>
      <c r="S1686">
        <f t="shared" si="435"/>
        <v>1</v>
      </c>
      <c r="T1686">
        <f t="shared" si="436"/>
        <v>0</v>
      </c>
      <c r="U1686">
        <f t="shared" si="437"/>
        <v>0</v>
      </c>
      <c r="V1686">
        <f t="shared" si="438"/>
        <v>0</v>
      </c>
      <c r="W1686">
        <f t="shared" si="439"/>
        <v>0</v>
      </c>
      <c r="X1686">
        <f t="shared" si="440"/>
        <v>0</v>
      </c>
      <c r="Y1686">
        <f t="shared" si="441"/>
        <v>0</v>
      </c>
    </row>
    <row r="1687" spans="1:25" hidden="1">
      <c r="A1687" t="str">
        <f t="shared" si="446"/>
        <v>Suciu 1951</v>
      </c>
      <c r="C1687">
        <v>2000</v>
      </c>
      <c r="E1687">
        <v>0.98099999999999998</v>
      </c>
      <c r="H1687">
        <v>273.14999999999998</v>
      </c>
      <c r="I1687">
        <f t="shared" si="444"/>
        <v>137.88999999999999</v>
      </c>
      <c r="J1687">
        <f t="shared" si="445"/>
        <v>3.2017341880593997</v>
      </c>
      <c r="O1687">
        <f t="shared" si="442"/>
        <v>7.7753409934840892E-4</v>
      </c>
      <c r="S1687">
        <f t="shared" si="435"/>
        <v>1</v>
      </c>
      <c r="T1687">
        <f t="shared" si="436"/>
        <v>0</v>
      </c>
      <c r="U1687">
        <f t="shared" si="437"/>
        <v>0</v>
      </c>
      <c r="V1687">
        <f t="shared" si="438"/>
        <v>0</v>
      </c>
      <c r="W1687">
        <f t="shared" si="439"/>
        <v>0</v>
      </c>
      <c r="X1687">
        <f t="shared" si="440"/>
        <v>0</v>
      </c>
      <c r="Y1687">
        <f t="shared" si="441"/>
        <v>0</v>
      </c>
    </row>
    <row r="1688" spans="1:25" hidden="1">
      <c r="A1688" t="str">
        <f t="shared" si="446"/>
        <v>Suciu 1951</v>
      </c>
      <c r="C1688">
        <f t="shared" ref="C1688:C1712" si="447">C1687</f>
        <v>2000</v>
      </c>
      <c r="E1688">
        <v>2.34</v>
      </c>
      <c r="H1688">
        <v>302.60000000000002</v>
      </c>
      <c r="I1688">
        <f t="shared" si="444"/>
        <v>137.88999999999999</v>
      </c>
      <c r="J1688">
        <f t="shared" si="445"/>
        <v>3.2017341880593997</v>
      </c>
      <c r="O1688">
        <f t="shared" si="442"/>
        <v>1.8526729161388396E-3</v>
      </c>
      <c r="S1688">
        <f t="shared" si="435"/>
        <v>1</v>
      </c>
      <c r="T1688">
        <f t="shared" si="436"/>
        <v>0</v>
      </c>
      <c r="U1688">
        <f t="shared" si="437"/>
        <v>0</v>
      </c>
      <c r="V1688">
        <f t="shared" si="438"/>
        <v>0</v>
      </c>
      <c r="W1688">
        <f t="shared" si="439"/>
        <v>0</v>
      </c>
      <c r="X1688">
        <f t="shared" si="440"/>
        <v>0</v>
      </c>
      <c r="Y1688">
        <f t="shared" si="441"/>
        <v>0</v>
      </c>
    </row>
    <row r="1689" spans="1:25" hidden="1">
      <c r="A1689" t="str">
        <f t="shared" si="446"/>
        <v>Suciu 1951</v>
      </c>
      <c r="C1689">
        <f t="shared" si="447"/>
        <v>2000</v>
      </c>
      <c r="E1689">
        <v>3.15</v>
      </c>
      <c r="H1689">
        <v>324.8</v>
      </c>
      <c r="I1689">
        <f t="shared" si="444"/>
        <v>137.88999999999999</v>
      </c>
      <c r="J1689">
        <f t="shared" si="445"/>
        <v>3.2017341880593997</v>
      </c>
      <c r="O1689">
        <f t="shared" si="442"/>
        <v>2.4923843810578782E-3</v>
      </c>
      <c r="S1689">
        <f t="shared" si="435"/>
        <v>1</v>
      </c>
      <c r="T1689">
        <f t="shared" si="436"/>
        <v>0</v>
      </c>
      <c r="U1689">
        <f t="shared" si="437"/>
        <v>0</v>
      </c>
      <c r="V1689">
        <f t="shared" si="438"/>
        <v>0</v>
      </c>
      <c r="W1689">
        <f t="shared" si="439"/>
        <v>0</v>
      </c>
      <c r="X1689">
        <f t="shared" si="440"/>
        <v>0</v>
      </c>
      <c r="Y1689">
        <f t="shared" si="441"/>
        <v>0</v>
      </c>
    </row>
    <row r="1690" spans="1:25" hidden="1">
      <c r="A1690" t="str">
        <f t="shared" si="446"/>
        <v>Suciu 1951</v>
      </c>
      <c r="C1690">
        <f t="shared" si="447"/>
        <v>2000</v>
      </c>
      <c r="H1690">
        <v>366.5</v>
      </c>
      <c r="I1690">
        <f t="shared" si="444"/>
        <v>137.88999999999999</v>
      </c>
      <c r="J1690">
        <f t="shared" si="445"/>
        <v>3.2017341880593997</v>
      </c>
      <c r="S1690">
        <f t="shared" si="435"/>
        <v>1</v>
      </c>
      <c r="T1690">
        <f t="shared" si="436"/>
        <v>0</v>
      </c>
      <c r="U1690">
        <f t="shared" si="437"/>
        <v>0</v>
      </c>
      <c r="V1690">
        <f t="shared" si="438"/>
        <v>0</v>
      </c>
      <c r="W1690">
        <f t="shared" si="439"/>
        <v>0</v>
      </c>
      <c r="X1690">
        <f t="shared" si="440"/>
        <v>0</v>
      </c>
      <c r="Y1690">
        <f t="shared" si="441"/>
        <v>0</v>
      </c>
    </row>
    <row r="1691" spans="1:25" hidden="1">
      <c r="A1691" t="str">
        <f t="shared" si="446"/>
        <v>Suciu 1951</v>
      </c>
      <c r="C1691">
        <f t="shared" si="447"/>
        <v>2000</v>
      </c>
      <c r="E1691">
        <v>3.07</v>
      </c>
      <c r="H1691">
        <v>367</v>
      </c>
      <c r="I1691">
        <f t="shared" si="444"/>
        <v>137.88999999999999</v>
      </c>
      <c r="J1691">
        <f t="shared" si="445"/>
        <v>3.2017341880593997</v>
      </c>
      <c r="O1691">
        <f>E1691/(E1691+1260.7)</f>
        <v>2.4292394976934092E-3</v>
      </c>
      <c r="S1691">
        <f t="shared" si="435"/>
        <v>1</v>
      </c>
      <c r="T1691">
        <f t="shared" si="436"/>
        <v>0</v>
      </c>
      <c r="U1691">
        <f t="shared" si="437"/>
        <v>0</v>
      </c>
      <c r="V1691">
        <f t="shared" si="438"/>
        <v>0</v>
      </c>
      <c r="W1691">
        <f t="shared" si="439"/>
        <v>0</v>
      </c>
      <c r="X1691">
        <f t="shared" si="440"/>
        <v>0</v>
      </c>
      <c r="Y1691">
        <f t="shared" si="441"/>
        <v>0</v>
      </c>
    </row>
    <row r="1692" spans="1:25" hidden="1">
      <c r="A1692" t="str">
        <f t="shared" si="446"/>
        <v>Suciu 1951</v>
      </c>
      <c r="C1692">
        <f t="shared" si="447"/>
        <v>2000</v>
      </c>
      <c r="F1692">
        <v>6.4999999999999997E-3</v>
      </c>
      <c r="H1692">
        <v>367.6</v>
      </c>
      <c r="I1692">
        <f t="shared" si="444"/>
        <v>137.88999999999999</v>
      </c>
      <c r="J1692">
        <f t="shared" si="445"/>
        <v>3.2017341880593997</v>
      </c>
      <c r="K1692">
        <f>F1692</f>
        <v>6.4999999999999997E-3</v>
      </c>
      <c r="S1692">
        <f t="shared" si="435"/>
        <v>1</v>
      </c>
      <c r="T1692">
        <f t="shared" si="436"/>
        <v>0</v>
      </c>
      <c r="U1692">
        <f t="shared" si="437"/>
        <v>0</v>
      </c>
      <c r="V1692">
        <f t="shared" si="438"/>
        <v>0</v>
      </c>
      <c r="W1692">
        <f t="shared" si="439"/>
        <v>0</v>
      </c>
      <c r="X1692">
        <f t="shared" si="440"/>
        <v>0</v>
      </c>
      <c r="Y1692">
        <f t="shared" si="441"/>
        <v>0</v>
      </c>
    </row>
    <row r="1693" spans="1:25" hidden="1">
      <c r="A1693" t="str">
        <f t="shared" si="446"/>
        <v>Suciu 1951</v>
      </c>
      <c r="C1693">
        <f t="shared" si="447"/>
        <v>2000</v>
      </c>
      <c r="E1693">
        <v>2.94</v>
      </c>
      <c r="H1693">
        <v>395.4</v>
      </c>
      <c r="I1693">
        <f t="shared" si="444"/>
        <v>137.88999999999999</v>
      </c>
      <c r="J1693">
        <f t="shared" si="445"/>
        <v>3.2017341880593997</v>
      </c>
      <c r="O1693">
        <f>E1693/(E1693+1260.7)</f>
        <v>2.3266120097496122E-3</v>
      </c>
      <c r="S1693">
        <f t="shared" ref="S1693:S1724" si="448">S1692</f>
        <v>1</v>
      </c>
      <c r="T1693">
        <f t="shared" ref="T1693:T1724" si="449">T1692</f>
        <v>0</v>
      </c>
      <c r="U1693">
        <f t="shared" ref="U1693:U1724" si="450">U1692</f>
        <v>0</v>
      </c>
      <c r="V1693">
        <f t="shared" ref="V1693:V1724" si="451">V1692</f>
        <v>0</v>
      </c>
      <c r="W1693">
        <f t="shared" ref="W1693:W1724" si="452">W1692</f>
        <v>0</v>
      </c>
      <c r="X1693">
        <f t="shared" ref="X1693:X1724" si="453">X1692</f>
        <v>0</v>
      </c>
      <c r="Y1693">
        <f t="shared" ref="Y1693:Y1724" si="454">Y1692</f>
        <v>0</v>
      </c>
    </row>
    <row r="1694" spans="1:25" hidden="1">
      <c r="A1694" t="str">
        <f t="shared" si="446"/>
        <v>Suciu 1951</v>
      </c>
      <c r="C1694">
        <f t="shared" si="447"/>
        <v>2000</v>
      </c>
      <c r="F1694">
        <v>1.89E-2</v>
      </c>
      <c r="H1694">
        <v>396.5</v>
      </c>
      <c r="I1694">
        <f t="shared" si="444"/>
        <v>137.88999999999999</v>
      </c>
      <c r="J1694">
        <f t="shared" si="445"/>
        <v>3.2017341880593997</v>
      </c>
      <c r="K1694">
        <f>F1694</f>
        <v>1.89E-2</v>
      </c>
      <c r="S1694">
        <f t="shared" si="448"/>
        <v>1</v>
      </c>
      <c r="T1694">
        <f t="shared" si="449"/>
        <v>0</v>
      </c>
      <c r="U1694">
        <f t="shared" si="450"/>
        <v>0</v>
      </c>
      <c r="V1694">
        <f t="shared" si="451"/>
        <v>0</v>
      </c>
      <c r="W1694">
        <f t="shared" si="452"/>
        <v>0</v>
      </c>
      <c r="X1694">
        <f t="shared" si="453"/>
        <v>0</v>
      </c>
      <c r="Y1694">
        <f t="shared" si="454"/>
        <v>0</v>
      </c>
    </row>
    <row r="1695" spans="1:25" hidden="1">
      <c r="A1695" t="str">
        <f t="shared" si="446"/>
        <v>Suciu 1951</v>
      </c>
      <c r="C1695">
        <f t="shared" si="447"/>
        <v>2000</v>
      </c>
      <c r="F1695">
        <v>0.04</v>
      </c>
      <c r="H1695">
        <v>422</v>
      </c>
      <c r="I1695">
        <f t="shared" si="444"/>
        <v>137.88999999999999</v>
      </c>
      <c r="J1695">
        <f t="shared" si="445"/>
        <v>3.2017341880593997</v>
      </c>
      <c r="K1695">
        <f>F1695</f>
        <v>0.04</v>
      </c>
      <c r="S1695">
        <f t="shared" si="448"/>
        <v>1</v>
      </c>
      <c r="T1695">
        <f t="shared" si="449"/>
        <v>0</v>
      </c>
      <c r="U1695">
        <f t="shared" si="450"/>
        <v>0</v>
      </c>
      <c r="V1695">
        <f t="shared" si="451"/>
        <v>0</v>
      </c>
      <c r="W1695">
        <f t="shared" si="452"/>
        <v>0</v>
      </c>
      <c r="X1695">
        <f t="shared" si="453"/>
        <v>0</v>
      </c>
      <c r="Y1695">
        <f t="shared" si="454"/>
        <v>0</v>
      </c>
    </row>
    <row r="1696" spans="1:25" hidden="1">
      <c r="A1696" t="str">
        <f t="shared" si="446"/>
        <v>Suciu 1951</v>
      </c>
      <c r="C1696">
        <f t="shared" si="447"/>
        <v>2000</v>
      </c>
      <c r="H1696">
        <v>423.15</v>
      </c>
      <c r="I1696">
        <f t="shared" si="444"/>
        <v>137.88999999999999</v>
      </c>
      <c r="J1696">
        <f t="shared" si="445"/>
        <v>3.2017341880593997</v>
      </c>
      <c r="S1696">
        <f t="shared" si="448"/>
        <v>1</v>
      </c>
      <c r="T1696">
        <f t="shared" si="449"/>
        <v>0</v>
      </c>
      <c r="U1696">
        <f t="shared" si="450"/>
        <v>0</v>
      </c>
      <c r="V1696">
        <f t="shared" si="451"/>
        <v>0</v>
      </c>
      <c r="W1696">
        <f t="shared" si="452"/>
        <v>0</v>
      </c>
      <c r="X1696">
        <f t="shared" si="453"/>
        <v>0</v>
      </c>
      <c r="Y1696">
        <f t="shared" si="454"/>
        <v>0</v>
      </c>
    </row>
    <row r="1697" spans="1:25" hidden="1">
      <c r="A1697" t="str">
        <f t="shared" si="446"/>
        <v>Suciu 1951</v>
      </c>
      <c r="C1697">
        <f t="shared" si="447"/>
        <v>2000</v>
      </c>
      <c r="E1697">
        <v>3.34</v>
      </c>
      <c r="H1697">
        <v>424.8</v>
      </c>
      <c r="I1697">
        <f t="shared" si="444"/>
        <v>137.88999999999999</v>
      </c>
      <c r="J1697">
        <f t="shared" si="445"/>
        <v>3.2017341880593997</v>
      </c>
      <c r="O1697">
        <f>E1697/(E1697+1260.7)</f>
        <v>2.6423214455238756E-3</v>
      </c>
      <c r="S1697">
        <f t="shared" si="448"/>
        <v>1</v>
      </c>
      <c r="T1697">
        <f t="shared" si="449"/>
        <v>0</v>
      </c>
      <c r="U1697">
        <f t="shared" si="450"/>
        <v>0</v>
      </c>
      <c r="V1697">
        <f t="shared" si="451"/>
        <v>0</v>
      </c>
      <c r="W1697">
        <f t="shared" si="452"/>
        <v>0</v>
      </c>
      <c r="X1697">
        <f t="shared" si="453"/>
        <v>0</v>
      </c>
      <c r="Y1697">
        <f t="shared" si="454"/>
        <v>0</v>
      </c>
    </row>
    <row r="1698" spans="1:25" hidden="1">
      <c r="A1698" t="str">
        <f t="shared" si="446"/>
        <v>Suciu 1951</v>
      </c>
      <c r="C1698">
        <f t="shared" si="447"/>
        <v>2000</v>
      </c>
      <c r="H1698">
        <v>477.6</v>
      </c>
      <c r="I1698">
        <f t="shared" si="444"/>
        <v>137.88999999999999</v>
      </c>
      <c r="J1698">
        <f t="shared" si="445"/>
        <v>3.2017341880593997</v>
      </c>
      <c r="S1698">
        <f t="shared" si="448"/>
        <v>1</v>
      </c>
      <c r="T1698">
        <f t="shared" si="449"/>
        <v>0</v>
      </c>
      <c r="U1698">
        <f t="shared" si="450"/>
        <v>0</v>
      </c>
      <c r="V1698">
        <f t="shared" si="451"/>
        <v>0</v>
      </c>
      <c r="W1698">
        <f t="shared" si="452"/>
        <v>0</v>
      </c>
      <c r="X1698">
        <f t="shared" si="453"/>
        <v>0</v>
      </c>
      <c r="Y1698">
        <f t="shared" si="454"/>
        <v>0</v>
      </c>
    </row>
    <row r="1699" spans="1:25" hidden="1">
      <c r="A1699" t="str">
        <f t="shared" si="446"/>
        <v>Suciu 1951</v>
      </c>
      <c r="C1699">
        <f t="shared" si="447"/>
        <v>2000</v>
      </c>
      <c r="F1699">
        <v>0.13100000000000001</v>
      </c>
      <c r="H1699">
        <v>478.15</v>
      </c>
      <c r="I1699">
        <f t="shared" si="444"/>
        <v>137.88999999999999</v>
      </c>
      <c r="J1699">
        <f t="shared" si="445"/>
        <v>3.2017341880593997</v>
      </c>
      <c r="K1699">
        <f>F1699</f>
        <v>0.13100000000000001</v>
      </c>
      <c r="S1699">
        <f t="shared" si="448"/>
        <v>1</v>
      </c>
      <c r="T1699">
        <f t="shared" si="449"/>
        <v>0</v>
      </c>
      <c r="U1699">
        <f t="shared" si="450"/>
        <v>0</v>
      </c>
      <c r="V1699">
        <f t="shared" si="451"/>
        <v>0</v>
      </c>
      <c r="W1699">
        <f t="shared" si="452"/>
        <v>0</v>
      </c>
      <c r="X1699">
        <f t="shared" si="453"/>
        <v>0</v>
      </c>
      <c r="Y1699">
        <f t="shared" si="454"/>
        <v>0</v>
      </c>
    </row>
    <row r="1700" spans="1:25" hidden="1">
      <c r="A1700" t="str">
        <f t="shared" si="446"/>
        <v>Suciu 1951</v>
      </c>
      <c r="C1700">
        <f t="shared" si="447"/>
        <v>2000</v>
      </c>
      <c r="F1700">
        <v>0.14399999999999999</v>
      </c>
      <c r="H1700">
        <v>478.7</v>
      </c>
      <c r="I1700">
        <f t="shared" si="444"/>
        <v>137.88999999999999</v>
      </c>
      <c r="J1700">
        <f t="shared" si="445"/>
        <v>3.2017341880593997</v>
      </c>
      <c r="K1700">
        <f>F1700</f>
        <v>0.14399999999999999</v>
      </c>
      <c r="S1700">
        <f t="shared" si="448"/>
        <v>1</v>
      </c>
      <c r="T1700">
        <f t="shared" si="449"/>
        <v>0</v>
      </c>
      <c r="U1700">
        <f t="shared" si="450"/>
        <v>0</v>
      </c>
      <c r="V1700">
        <f t="shared" si="451"/>
        <v>0</v>
      </c>
      <c r="W1700">
        <f t="shared" si="452"/>
        <v>0</v>
      </c>
      <c r="X1700">
        <f t="shared" si="453"/>
        <v>0</v>
      </c>
      <c r="Y1700">
        <f t="shared" si="454"/>
        <v>0</v>
      </c>
    </row>
    <row r="1701" spans="1:25" hidden="1">
      <c r="A1701" t="str">
        <f t="shared" si="446"/>
        <v>Suciu 1951</v>
      </c>
      <c r="C1701">
        <f t="shared" si="447"/>
        <v>2000</v>
      </c>
      <c r="E1701">
        <v>4.6900000000000004</v>
      </c>
      <c r="H1701">
        <v>479.3</v>
      </c>
      <c r="I1701">
        <f t="shared" si="444"/>
        <v>137.88999999999999</v>
      </c>
      <c r="J1701">
        <f t="shared" si="445"/>
        <v>3.2017341880593997</v>
      </c>
      <c r="O1701">
        <f>E1701/(E1701+1260.7)</f>
        <v>3.7063672069480554E-3</v>
      </c>
      <c r="S1701">
        <f t="shared" si="448"/>
        <v>1</v>
      </c>
      <c r="T1701">
        <f t="shared" si="449"/>
        <v>0</v>
      </c>
      <c r="U1701">
        <f t="shared" si="450"/>
        <v>0</v>
      </c>
      <c r="V1701">
        <f t="shared" si="451"/>
        <v>0</v>
      </c>
      <c r="W1701">
        <f t="shared" si="452"/>
        <v>0</v>
      </c>
      <c r="X1701">
        <f t="shared" si="453"/>
        <v>0</v>
      </c>
      <c r="Y1701">
        <f t="shared" si="454"/>
        <v>0</v>
      </c>
    </row>
    <row r="1702" spans="1:25" hidden="1">
      <c r="A1702" t="str">
        <f t="shared" si="446"/>
        <v>Suciu 1951</v>
      </c>
      <c r="C1702">
        <f t="shared" si="447"/>
        <v>2000</v>
      </c>
      <c r="H1702">
        <v>523.70000000000005</v>
      </c>
      <c r="I1702">
        <f t="shared" si="444"/>
        <v>137.88999999999999</v>
      </c>
      <c r="J1702">
        <f t="shared" si="445"/>
        <v>3.2017341880593997</v>
      </c>
      <c r="S1702">
        <f t="shared" si="448"/>
        <v>1</v>
      </c>
      <c r="T1702">
        <f t="shared" si="449"/>
        <v>0</v>
      </c>
      <c r="U1702">
        <f t="shared" si="450"/>
        <v>0</v>
      </c>
      <c r="V1702">
        <f t="shared" si="451"/>
        <v>0</v>
      </c>
      <c r="W1702">
        <f t="shared" si="452"/>
        <v>0</v>
      </c>
      <c r="X1702">
        <f t="shared" si="453"/>
        <v>0</v>
      </c>
      <c r="Y1702">
        <f t="shared" si="454"/>
        <v>0</v>
      </c>
    </row>
    <row r="1703" spans="1:25" hidden="1">
      <c r="A1703" t="str">
        <f t="shared" si="446"/>
        <v>Suciu 1951</v>
      </c>
      <c r="C1703">
        <f t="shared" si="447"/>
        <v>2000</v>
      </c>
      <c r="F1703">
        <v>0.29499999999999998</v>
      </c>
      <c r="H1703">
        <v>525.9</v>
      </c>
      <c r="I1703">
        <f t="shared" si="444"/>
        <v>137.88999999999999</v>
      </c>
      <c r="J1703">
        <f t="shared" si="445"/>
        <v>3.2017341880593997</v>
      </c>
      <c r="K1703">
        <f>F1703</f>
        <v>0.29499999999999998</v>
      </c>
      <c r="S1703">
        <f t="shared" si="448"/>
        <v>1</v>
      </c>
      <c r="T1703">
        <f t="shared" si="449"/>
        <v>0</v>
      </c>
      <c r="U1703">
        <f t="shared" si="450"/>
        <v>0</v>
      </c>
      <c r="V1703">
        <f t="shared" si="451"/>
        <v>0</v>
      </c>
      <c r="W1703">
        <f t="shared" si="452"/>
        <v>0</v>
      </c>
      <c r="X1703">
        <f t="shared" si="453"/>
        <v>0</v>
      </c>
      <c r="Y1703">
        <f t="shared" si="454"/>
        <v>0</v>
      </c>
    </row>
    <row r="1704" spans="1:25" hidden="1">
      <c r="A1704" t="str">
        <f t="shared" si="446"/>
        <v>Suciu 1951</v>
      </c>
      <c r="C1704">
        <f t="shared" si="447"/>
        <v>2000</v>
      </c>
      <c r="E1704">
        <v>5.86</v>
      </c>
      <c r="H1704">
        <v>526.5</v>
      </c>
      <c r="I1704">
        <f t="shared" si="444"/>
        <v>137.88999999999999</v>
      </c>
      <c r="J1704">
        <f t="shared" si="445"/>
        <v>3.2017341880593997</v>
      </c>
      <c r="O1704">
        <f>E1704/(E1704+1260.7)</f>
        <v>4.6267054067710969E-3</v>
      </c>
      <c r="S1704">
        <f t="shared" si="448"/>
        <v>1</v>
      </c>
      <c r="T1704">
        <f t="shared" si="449"/>
        <v>0</v>
      </c>
      <c r="U1704">
        <f t="shared" si="450"/>
        <v>0</v>
      </c>
      <c r="V1704">
        <f t="shared" si="451"/>
        <v>0</v>
      </c>
      <c r="W1704">
        <f t="shared" si="452"/>
        <v>0</v>
      </c>
      <c r="X1704">
        <f t="shared" si="453"/>
        <v>0</v>
      </c>
      <c r="Y1704">
        <f t="shared" si="454"/>
        <v>0</v>
      </c>
    </row>
    <row r="1705" spans="1:25" hidden="1">
      <c r="A1705" t="str">
        <f t="shared" si="446"/>
        <v>Suciu 1951</v>
      </c>
      <c r="C1705">
        <f t="shared" si="447"/>
        <v>2000</v>
      </c>
      <c r="E1705">
        <v>6.11</v>
      </c>
      <c r="F1705">
        <v>0.34499999999999997</v>
      </c>
      <c r="H1705">
        <v>533.15</v>
      </c>
      <c r="I1705">
        <f t="shared" si="444"/>
        <v>137.88999999999999</v>
      </c>
      <c r="J1705">
        <f t="shared" si="445"/>
        <v>3.2017341880593997</v>
      </c>
      <c r="K1705">
        <f>F1705</f>
        <v>0.34499999999999997</v>
      </c>
      <c r="S1705">
        <f t="shared" si="448"/>
        <v>1</v>
      </c>
      <c r="T1705">
        <f t="shared" si="449"/>
        <v>0</v>
      </c>
      <c r="U1705">
        <f t="shared" si="450"/>
        <v>0</v>
      </c>
      <c r="V1705">
        <f t="shared" si="451"/>
        <v>0</v>
      </c>
      <c r="W1705">
        <f t="shared" si="452"/>
        <v>0</v>
      </c>
      <c r="X1705">
        <f t="shared" si="453"/>
        <v>0</v>
      </c>
      <c r="Y1705">
        <f t="shared" si="454"/>
        <v>0</v>
      </c>
    </row>
    <row r="1706" spans="1:25" hidden="1">
      <c r="A1706" t="str">
        <f t="shared" si="446"/>
        <v>Suciu 1951</v>
      </c>
      <c r="C1706">
        <f t="shared" si="447"/>
        <v>2000</v>
      </c>
      <c r="E1706">
        <v>6.3</v>
      </c>
      <c r="H1706">
        <v>558.15</v>
      </c>
      <c r="I1706">
        <f t="shared" si="444"/>
        <v>137.88999999999999</v>
      </c>
      <c r="J1706">
        <f t="shared" si="445"/>
        <v>3.2017341880593997</v>
      </c>
      <c r="O1706">
        <f>E1706/1000</f>
        <v>6.3E-3</v>
      </c>
      <c r="S1706">
        <f t="shared" si="448"/>
        <v>1</v>
      </c>
      <c r="T1706">
        <f t="shared" si="449"/>
        <v>0</v>
      </c>
      <c r="U1706">
        <f t="shared" si="450"/>
        <v>0</v>
      </c>
      <c r="V1706">
        <f t="shared" si="451"/>
        <v>0</v>
      </c>
      <c r="W1706">
        <f t="shared" si="452"/>
        <v>0</v>
      </c>
      <c r="X1706">
        <f t="shared" si="453"/>
        <v>0</v>
      </c>
      <c r="Y1706">
        <f t="shared" si="454"/>
        <v>0</v>
      </c>
    </row>
    <row r="1707" spans="1:25" hidden="1">
      <c r="A1707" t="str">
        <f t="shared" si="446"/>
        <v>Suciu 1951</v>
      </c>
      <c r="C1707">
        <f t="shared" si="447"/>
        <v>2000</v>
      </c>
      <c r="F1707">
        <v>0.53500000000000003</v>
      </c>
      <c r="H1707">
        <v>570.4</v>
      </c>
      <c r="I1707">
        <f t="shared" si="444"/>
        <v>137.88999999999999</v>
      </c>
      <c r="J1707">
        <f t="shared" si="445"/>
        <v>3.2017341880593997</v>
      </c>
      <c r="K1707">
        <f>F1707</f>
        <v>0.53500000000000003</v>
      </c>
      <c r="S1707">
        <f t="shared" si="448"/>
        <v>1</v>
      </c>
      <c r="T1707">
        <f t="shared" si="449"/>
        <v>0</v>
      </c>
      <c r="U1707">
        <f t="shared" si="450"/>
        <v>0</v>
      </c>
      <c r="V1707">
        <f t="shared" si="451"/>
        <v>0</v>
      </c>
      <c r="W1707">
        <f t="shared" si="452"/>
        <v>0</v>
      </c>
      <c r="X1707">
        <f t="shared" si="453"/>
        <v>0</v>
      </c>
      <c r="Y1707">
        <f t="shared" si="454"/>
        <v>0</v>
      </c>
    </row>
    <row r="1708" spans="1:25" hidden="1">
      <c r="A1708" t="str">
        <f t="shared" si="446"/>
        <v>Suciu 1951</v>
      </c>
      <c r="C1708">
        <f t="shared" si="447"/>
        <v>2000</v>
      </c>
      <c r="E1708">
        <v>6.07</v>
      </c>
      <c r="H1708">
        <v>574.79999999999995</v>
      </c>
      <c r="I1708">
        <f t="shared" si="444"/>
        <v>137.88999999999999</v>
      </c>
      <c r="J1708">
        <f t="shared" si="445"/>
        <v>3.2017341880593997</v>
      </c>
      <c r="O1708">
        <f>E1708/1000</f>
        <v>6.0699999999999999E-3</v>
      </c>
      <c r="S1708">
        <f t="shared" si="448"/>
        <v>1</v>
      </c>
      <c r="T1708">
        <f t="shared" si="449"/>
        <v>0</v>
      </c>
      <c r="U1708">
        <f t="shared" si="450"/>
        <v>0</v>
      </c>
      <c r="V1708">
        <f t="shared" si="451"/>
        <v>0</v>
      </c>
      <c r="W1708">
        <f t="shared" si="452"/>
        <v>0</v>
      </c>
      <c r="X1708">
        <f t="shared" si="453"/>
        <v>0</v>
      </c>
      <c r="Y1708">
        <f t="shared" si="454"/>
        <v>0</v>
      </c>
    </row>
    <row r="1709" spans="1:25" hidden="1">
      <c r="A1709" t="str">
        <f t="shared" si="446"/>
        <v>Suciu 1951</v>
      </c>
      <c r="C1709">
        <f t="shared" si="447"/>
        <v>2000</v>
      </c>
      <c r="F1709">
        <v>0.69499999999999995</v>
      </c>
      <c r="H1709">
        <v>575.9</v>
      </c>
      <c r="I1709">
        <f t="shared" si="444"/>
        <v>137.88999999999999</v>
      </c>
      <c r="J1709">
        <f t="shared" si="445"/>
        <v>3.2017341880593997</v>
      </c>
      <c r="K1709">
        <f>F1709</f>
        <v>0.69499999999999995</v>
      </c>
      <c r="S1709">
        <f t="shared" si="448"/>
        <v>1</v>
      </c>
      <c r="T1709">
        <f t="shared" si="449"/>
        <v>0</v>
      </c>
      <c r="U1709">
        <f t="shared" si="450"/>
        <v>0</v>
      </c>
      <c r="V1709">
        <f t="shared" si="451"/>
        <v>0</v>
      </c>
      <c r="W1709">
        <f t="shared" si="452"/>
        <v>0</v>
      </c>
      <c r="X1709">
        <f t="shared" si="453"/>
        <v>0</v>
      </c>
      <c r="Y1709">
        <f t="shared" si="454"/>
        <v>0</v>
      </c>
    </row>
    <row r="1710" spans="1:25" hidden="1">
      <c r="A1710" t="str">
        <f t="shared" si="446"/>
        <v>Suciu 1951</v>
      </c>
      <c r="C1710">
        <f t="shared" si="447"/>
        <v>2000</v>
      </c>
      <c r="F1710">
        <v>0.78200000000000003</v>
      </c>
      <c r="H1710">
        <v>599.79999999999995</v>
      </c>
      <c r="I1710">
        <f t="shared" si="444"/>
        <v>137.88999999999999</v>
      </c>
      <c r="J1710">
        <f t="shared" si="445"/>
        <v>3.2017341880593997</v>
      </c>
      <c r="K1710">
        <f>F1710</f>
        <v>0.78200000000000003</v>
      </c>
      <c r="S1710">
        <f t="shared" si="448"/>
        <v>1</v>
      </c>
      <c r="T1710">
        <f t="shared" si="449"/>
        <v>0</v>
      </c>
      <c r="U1710">
        <f t="shared" si="450"/>
        <v>0</v>
      </c>
      <c r="V1710">
        <f t="shared" si="451"/>
        <v>0</v>
      </c>
      <c r="W1710">
        <f t="shared" si="452"/>
        <v>0</v>
      </c>
      <c r="X1710">
        <f t="shared" si="453"/>
        <v>0</v>
      </c>
      <c r="Y1710">
        <f t="shared" si="454"/>
        <v>0</v>
      </c>
    </row>
    <row r="1711" spans="1:25" hidden="1">
      <c r="A1711" t="str">
        <f t="shared" si="446"/>
        <v>Suciu 1951</v>
      </c>
      <c r="C1711">
        <f t="shared" si="447"/>
        <v>2000</v>
      </c>
      <c r="E1711">
        <v>2.5</v>
      </c>
      <c r="H1711">
        <v>600.9</v>
      </c>
      <c r="I1711">
        <f t="shared" si="444"/>
        <v>137.88999999999999</v>
      </c>
      <c r="J1711">
        <f t="shared" si="445"/>
        <v>3.2017341880593997</v>
      </c>
      <c r="O1711">
        <f>E1711/1000</f>
        <v>2.5000000000000001E-3</v>
      </c>
      <c r="S1711">
        <f t="shared" si="448"/>
        <v>1</v>
      </c>
      <c r="T1711">
        <f t="shared" si="449"/>
        <v>0</v>
      </c>
      <c r="U1711">
        <f t="shared" si="450"/>
        <v>0</v>
      </c>
      <c r="V1711">
        <f t="shared" si="451"/>
        <v>0</v>
      </c>
      <c r="W1711">
        <f t="shared" si="452"/>
        <v>0</v>
      </c>
      <c r="X1711">
        <f t="shared" si="453"/>
        <v>0</v>
      </c>
      <c r="Y1711">
        <f t="shared" si="454"/>
        <v>0</v>
      </c>
    </row>
    <row r="1712" spans="1:25" hidden="1">
      <c r="A1712" t="str">
        <f t="shared" si="446"/>
        <v>Suciu 1951</v>
      </c>
      <c r="C1712">
        <f t="shared" si="447"/>
        <v>2000</v>
      </c>
      <c r="H1712">
        <v>609.29999999999995</v>
      </c>
      <c r="I1712">
        <f t="shared" si="444"/>
        <v>137.88999999999999</v>
      </c>
      <c r="J1712">
        <f t="shared" si="445"/>
        <v>3.2017341880593997</v>
      </c>
      <c r="S1712">
        <f t="shared" si="448"/>
        <v>1</v>
      </c>
      <c r="T1712">
        <f t="shared" si="449"/>
        <v>0</v>
      </c>
      <c r="U1712">
        <f t="shared" si="450"/>
        <v>0</v>
      </c>
      <c r="V1712">
        <f t="shared" si="451"/>
        <v>0</v>
      </c>
      <c r="W1712">
        <f t="shared" si="452"/>
        <v>0</v>
      </c>
      <c r="X1712">
        <f t="shared" si="453"/>
        <v>0</v>
      </c>
      <c r="Y1712">
        <f t="shared" si="454"/>
        <v>0</v>
      </c>
    </row>
    <row r="1713" spans="1:25" hidden="1">
      <c r="A1713" t="str">
        <f t="shared" si="446"/>
        <v>Suciu 1951</v>
      </c>
      <c r="C1713">
        <v>3000</v>
      </c>
      <c r="E1713">
        <v>1.2150000000000001</v>
      </c>
      <c r="H1713">
        <v>273.14999999999998</v>
      </c>
      <c r="I1713">
        <f t="shared" ref="I1713:I1727" si="455">ROUND(C1713/14.504,2)</f>
        <v>206.84</v>
      </c>
      <c r="J1713">
        <f t="shared" ref="J1713:J1727" si="456">J1712</f>
        <v>3.2017341880593997</v>
      </c>
      <c r="O1713">
        <f t="shared" ref="O1713:O1721" si="457">E1713/1000</f>
        <v>1.2150000000000002E-3</v>
      </c>
      <c r="S1713">
        <f t="shared" si="448"/>
        <v>1</v>
      </c>
      <c r="T1713">
        <f t="shared" si="449"/>
        <v>0</v>
      </c>
      <c r="U1713">
        <f t="shared" si="450"/>
        <v>0</v>
      </c>
      <c r="V1713">
        <f t="shared" si="451"/>
        <v>0</v>
      </c>
      <c r="W1713">
        <f t="shared" si="452"/>
        <v>0</v>
      </c>
      <c r="X1713">
        <f t="shared" si="453"/>
        <v>0</v>
      </c>
      <c r="Y1713">
        <f t="shared" si="454"/>
        <v>0</v>
      </c>
    </row>
    <row r="1714" spans="1:25" hidden="1">
      <c r="A1714" t="str">
        <f t="shared" ref="A1714:A1727" si="458">A1713</f>
        <v>Suciu 1951</v>
      </c>
      <c r="C1714">
        <f t="shared" ref="C1714:C1727" si="459">C1713</f>
        <v>3000</v>
      </c>
      <c r="E1714">
        <v>3.4</v>
      </c>
      <c r="H1714">
        <v>304.8</v>
      </c>
      <c r="I1714">
        <f t="shared" si="455"/>
        <v>206.84</v>
      </c>
      <c r="J1714">
        <f t="shared" si="456"/>
        <v>3.2017341880593997</v>
      </c>
      <c r="O1714">
        <f t="shared" si="457"/>
        <v>3.3999999999999998E-3</v>
      </c>
      <c r="S1714">
        <f t="shared" si="448"/>
        <v>1</v>
      </c>
      <c r="T1714">
        <f t="shared" si="449"/>
        <v>0</v>
      </c>
      <c r="U1714">
        <f t="shared" si="450"/>
        <v>0</v>
      </c>
      <c r="V1714">
        <f t="shared" si="451"/>
        <v>0</v>
      </c>
      <c r="W1714">
        <f t="shared" si="452"/>
        <v>0</v>
      </c>
      <c r="X1714">
        <f t="shared" si="453"/>
        <v>0</v>
      </c>
      <c r="Y1714">
        <f t="shared" si="454"/>
        <v>0</v>
      </c>
    </row>
    <row r="1715" spans="1:25" hidden="1">
      <c r="A1715" t="str">
        <f t="shared" si="458"/>
        <v>Suciu 1951</v>
      </c>
      <c r="C1715">
        <f t="shared" si="459"/>
        <v>3000</v>
      </c>
      <c r="E1715">
        <v>3.39</v>
      </c>
      <c r="H1715">
        <v>319.3</v>
      </c>
      <c r="I1715">
        <f t="shared" si="455"/>
        <v>206.84</v>
      </c>
      <c r="J1715">
        <f t="shared" si="456"/>
        <v>3.2017341880593997</v>
      </c>
      <c r="O1715">
        <f t="shared" si="457"/>
        <v>3.3900000000000002E-3</v>
      </c>
      <c r="S1715">
        <f t="shared" si="448"/>
        <v>1</v>
      </c>
      <c r="T1715">
        <f t="shared" si="449"/>
        <v>0</v>
      </c>
      <c r="U1715">
        <f t="shared" si="450"/>
        <v>0</v>
      </c>
      <c r="V1715">
        <f t="shared" si="451"/>
        <v>0</v>
      </c>
      <c r="W1715">
        <f t="shared" si="452"/>
        <v>0</v>
      </c>
      <c r="X1715">
        <f t="shared" si="453"/>
        <v>0</v>
      </c>
      <c r="Y1715">
        <f t="shared" si="454"/>
        <v>0</v>
      </c>
    </row>
    <row r="1716" spans="1:25" hidden="1">
      <c r="A1716" t="str">
        <f t="shared" si="458"/>
        <v>Suciu 1951</v>
      </c>
      <c r="C1716">
        <f t="shared" si="459"/>
        <v>3000</v>
      </c>
      <c r="E1716">
        <v>3.38</v>
      </c>
      <c r="H1716">
        <v>326.5</v>
      </c>
      <c r="I1716">
        <f t="shared" si="455"/>
        <v>206.84</v>
      </c>
      <c r="J1716">
        <f t="shared" si="456"/>
        <v>3.2017341880593997</v>
      </c>
      <c r="O1716">
        <f t="shared" si="457"/>
        <v>3.3799999999999998E-3</v>
      </c>
      <c r="S1716">
        <f t="shared" si="448"/>
        <v>1</v>
      </c>
      <c r="T1716">
        <f t="shared" si="449"/>
        <v>0</v>
      </c>
      <c r="U1716">
        <f t="shared" si="450"/>
        <v>0</v>
      </c>
      <c r="V1716">
        <f t="shared" si="451"/>
        <v>0</v>
      </c>
      <c r="W1716">
        <f t="shared" si="452"/>
        <v>0</v>
      </c>
      <c r="X1716">
        <f t="shared" si="453"/>
        <v>0</v>
      </c>
      <c r="Y1716">
        <f t="shared" si="454"/>
        <v>0</v>
      </c>
    </row>
    <row r="1717" spans="1:25" hidden="1">
      <c r="A1717" t="str">
        <f t="shared" si="458"/>
        <v>Suciu 1951</v>
      </c>
      <c r="C1717">
        <f t="shared" si="459"/>
        <v>3000</v>
      </c>
      <c r="E1717">
        <v>3.45</v>
      </c>
      <c r="H1717">
        <v>334.3</v>
      </c>
      <c r="I1717">
        <f t="shared" si="455"/>
        <v>206.84</v>
      </c>
      <c r="J1717">
        <f t="shared" si="456"/>
        <v>3.2017341880593997</v>
      </c>
      <c r="O1717">
        <f t="shared" si="457"/>
        <v>3.4500000000000004E-3</v>
      </c>
      <c r="S1717">
        <f t="shared" si="448"/>
        <v>1</v>
      </c>
      <c r="T1717">
        <f t="shared" si="449"/>
        <v>0</v>
      </c>
      <c r="U1717">
        <f t="shared" si="450"/>
        <v>0</v>
      </c>
      <c r="V1717">
        <f t="shared" si="451"/>
        <v>0</v>
      </c>
      <c r="W1717">
        <f t="shared" si="452"/>
        <v>0</v>
      </c>
      <c r="X1717">
        <f t="shared" si="453"/>
        <v>0</v>
      </c>
      <c r="Y1717">
        <f t="shared" si="454"/>
        <v>0</v>
      </c>
    </row>
    <row r="1718" spans="1:25" hidden="1">
      <c r="A1718" t="str">
        <f t="shared" si="458"/>
        <v>Suciu 1951</v>
      </c>
      <c r="C1718">
        <f t="shared" si="459"/>
        <v>3000</v>
      </c>
      <c r="E1718">
        <v>3.42</v>
      </c>
      <c r="H1718">
        <v>339.3</v>
      </c>
      <c r="I1718">
        <f t="shared" si="455"/>
        <v>206.84</v>
      </c>
      <c r="J1718">
        <f t="shared" si="456"/>
        <v>3.2017341880593997</v>
      </c>
      <c r="O1718">
        <f t="shared" si="457"/>
        <v>3.4199999999999999E-3</v>
      </c>
      <c r="S1718">
        <f t="shared" si="448"/>
        <v>1</v>
      </c>
      <c r="T1718">
        <f t="shared" si="449"/>
        <v>0</v>
      </c>
      <c r="U1718">
        <f t="shared" si="450"/>
        <v>0</v>
      </c>
      <c r="V1718">
        <f t="shared" si="451"/>
        <v>0</v>
      </c>
      <c r="W1718">
        <f t="shared" si="452"/>
        <v>0</v>
      </c>
      <c r="X1718">
        <f t="shared" si="453"/>
        <v>0</v>
      </c>
      <c r="Y1718">
        <f t="shared" si="454"/>
        <v>0</v>
      </c>
    </row>
    <row r="1719" spans="1:25" hidden="1">
      <c r="A1719" t="str">
        <f t="shared" si="458"/>
        <v>Suciu 1951</v>
      </c>
      <c r="C1719">
        <f t="shared" si="459"/>
        <v>3000</v>
      </c>
      <c r="E1719">
        <v>3.86</v>
      </c>
      <c r="H1719">
        <v>367</v>
      </c>
      <c r="I1719">
        <f t="shared" si="455"/>
        <v>206.84</v>
      </c>
      <c r="J1719">
        <f t="shared" si="456"/>
        <v>3.2017341880593997</v>
      </c>
      <c r="O1719">
        <f t="shared" si="457"/>
        <v>3.8599999999999997E-3</v>
      </c>
      <c r="S1719">
        <f t="shared" si="448"/>
        <v>1</v>
      </c>
      <c r="T1719">
        <f t="shared" si="449"/>
        <v>0</v>
      </c>
      <c r="U1719">
        <f t="shared" si="450"/>
        <v>0</v>
      </c>
      <c r="V1719">
        <f t="shared" si="451"/>
        <v>0</v>
      </c>
      <c r="W1719">
        <f t="shared" si="452"/>
        <v>0</v>
      </c>
      <c r="X1719">
        <f t="shared" si="453"/>
        <v>0</v>
      </c>
      <c r="Y1719">
        <f t="shared" si="454"/>
        <v>0</v>
      </c>
    </row>
    <row r="1720" spans="1:25" hidden="1">
      <c r="A1720" t="str">
        <f t="shared" si="458"/>
        <v>Suciu 1951</v>
      </c>
      <c r="C1720">
        <f t="shared" si="459"/>
        <v>3000</v>
      </c>
      <c r="E1720">
        <v>4.28</v>
      </c>
      <c r="H1720">
        <v>387.6</v>
      </c>
      <c r="I1720">
        <f t="shared" si="455"/>
        <v>206.84</v>
      </c>
      <c r="J1720">
        <f t="shared" si="456"/>
        <v>3.2017341880593997</v>
      </c>
      <c r="O1720">
        <f t="shared" si="457"/>
        <v>4.28E-3</v>
      </c>
      <c r="S1720">
        <f t="shared" si="448"/>
        <v>1</v>
      </c>
      <c r="T1720">
        <f t="shared" si="449"/>
        <v>0</v>
      </c>
      <c r="U1720">
        <f t="shared" si="450"/>
        <v>0</v>
      </c>
      <c r="V1720">
        <f t="shared" si="451"/>
        <v>0</v>
      </c>
      <c r="W1720">
        <f t="shared" si="452"/>
        <v>0</v>
      </c>
      <c r="X1720">
        <f t="shared" si="453"/>
        <v>0</v>
      </c>
      <c r="Y1720">
        <f t="shared" si="454"/>
        <v>0</v>
      </c>
    </row>
    <row r="1721" spans="1:25" hidden="1">
      <c r="A1721" t="str">
        <f t="shared" si="458"/>
        <v>Suciu 1951</v>
      </c>
      <c r="C1721">
        <f t="shared" si="459"/>
        <v>3000</v>
      </c>
      <c r="E1721">
        <v>5.18</v>
      </c>
      <c r="H1721">
        <v>424.8</v>
      </c>
      <c r="I1721">
        <f t="shared" si="455"/>
        <v>206.84</v>
      </c>
      <c r="J1721">
        <f t="shared" si="456"/>
        <v>3.2017341880593997</v>
      </c>
      <c r="O1721">
        <f t="shared" si="457"/>
        <v>5.1799999999999997E-3</v>
      </c>
      <c r="S1721">
        <f t="shared" si="448"/>
        <v>1</v>
      </c>
      <c r="T1721">
        <f t="shared" si="449"/>
        <v>0</v>
      </c>
      <c r="U1721">
        <f t="shared" si="450"/>
        <v>0</v>
      </c>
      <c r="V1721">
        <f t="shared" si="451"/>
        <v>0</v>
      </c>
      <c r="W1721">
        <f t="shared" si="452"/>
        <v>0</v>
      </c>
      <c r="X1721">
        <f t="shared" si="453"/>
        <v>0</v>
      </c>
      <c r="Y1721">
        <f t="shared" si="454"/>
        <v>0</v>
      </c>
    </row>
    <row r="1722" spans="1:25" hidden="1">
      <c r="A1722" t="str">
        <f t="shared" si="458"/>
        <v>Suciu 1951</v>
      </c>
      <c r="C1722">
        <f t="shared" si="459"/>
        <v>3000</v>
      </c>
      <c r="F1722">
        <v>3.5000000000000003E-2</v>
      </c>
      <c r="H1722">
        <v>444.3</v>
      </c>
      <c r="I1722">
        <f t="shared" si="455"/>
        <v>206.84</v>
      </c>
      <c r="J1722">
        <f t="shared" si="456"/>
        <v>3.2017341880593997</v>
      </c>
      <c r="K1722">
        <f>F1722</f>
        <v>3.5000000000000003E-2</v>
      </c>
      <c r="S1722">
        <f t="shared" si="448"/>
        <v>1</v>
      </c>
      <c r="T1722">
        <f t="shared" si="449"/>
        <v>0</v>
      </c>
      <c r="U1722">
        <f t="shared" si="450"/>
        <v>0</v>
      </c>
      <c r="V1722">
        <f t="shared" si="451"/>
        <v>0</v>
      </c>
      <c r="W1722">
        <f t="shared" si="452"/>
        <v>0</v>
      </c>
      <c r="X1722">
        <f t="shared" si="453"/>
        <v>0</v>
      </c>
      <c r="Y1722">
        <f t="shared" si="454"/>
        <v>0</v>
      </c>
    </row>
    <row r="1723" spans="1:25" hidden="1">
      <c r="A1723" t="str">
        <f t="shared" si="458"/>
        <v>Suciu 1951</v>
      </c>
      <c r="C1723">
        <f t="shared" si="459"/>
        <v>3000</v>
      </c>
      <c r="E1723">
        <v>7.18</v>
      </c>
      <c r="F1723">
        <v>0.10100000000000001</v>
      </c>
      <c r="H1723">
        <v>480.4</v>
      </c>
      <c r="I1723">
        <f t="shared" si="455"/>
        <v>206.84</v>
      </c>
      <c r="J1723">
        <f t="shared" si="456"/>
        <v>3.2017341880593997</v>
      </c>
      <c r="K1723">
        <f>F1723</f>
        <v>0.10100000000000001</v>
      </c>
      <c r="O1723">
        <f>E1723/1000</f>
        <v>7.1799999999999998E-3</v>
      </c>
      <c r="S1723">
        <f t="shared" si="448"/>
        <v>1</v>
      </c>
      <c r="T1723">
        <f t="shared" si="449"/>
        <v>0</v>
      </c>
      <c r="U1723">
        <f t="shared" si="450"/>
        <v>0</v>
      </c>
      <c r="V1723">
        <f t="shared" si="451"/>
        <v>0</v>
      </c>
      <c r="W1723">
        <f t="shared" si="452"/>
        <v>0</v>
      </c>
      <c r="X1723">
        <f t="shared" si="453"/>
        <v>0</v>
      </c>
      <c r="Y1723">
        <f t="shared" si="454"/>
        <v>0</v>
      </c>
    </row>
    <row r="1724" spans="1:25" hidden="1">
      <c r="A1724" t="str">
        <f t="shared" si="458"/>
        <v>Suciu 1951</v>
      </c>
      <c r="C1724">
        <f t="shared" si="459"/>
        <v>3000</v>
      </c>
      <c r="F1724">
        <v>0.17499999999999999</v>
      </c>
      <c r="H1724">
        <v>538.70000000000005</v>
      </c>
      <c r="I1724">
        <f t="shared" si="455"/>
        <v>206.84</v>
      </c>
      <c r="J1724">
        <f t="shared" si="456"/>
        <v>3.2017341880593997</v>
      </c>
      <c r="K1724">
        <f>F1724</f>
        <v>0.17499999999999999</v>
      </c>
      <c r="S1724">
        <f t="shared" si="448"/>
        <v>1</v>
      </c>
      <c r="T1724">
        <f t="shared" si="449"/>
        <v>0</v>
      </c>
      <c r="U1724">
        <f t="shared" si="450"/>
        <v>0</v>
      </c>
      <c r="V1724">
        <f t="shared" si="451"/>
        <v>0</v>
      </c>
      <c r="W1724">
        <f t="shared" si="452"/>
        <v>0</v>
      </c>
      <c r="X1724">
        <f t="shared" si="453"/>
        <v>0</v>
      </c>
      <c r="Y1724">
        <f t="shared" si="454"/>
        <v>0</v>
      </c>
    </row>
    <row r="1725" spans="1:25" hidden="1">
      <c r="A1725" t="str">
        <f t="shared" si="458"/>
        <v>Suciu 1951</v>
      </c>
      <c r="C1725">
        <f t="shared" si="459"/>
        <v>3000</v>
      </c>
      <c r="E1725">
        <v>10.029999999999999</v>
      </c>
      <c r="H1725">
        <v>545.9</v>
      </c>
      <c r="I1725">
        <f t="shared" si="455"/>
        <v>206.84</v>
      </c>
      <c r="J1725">
        <f t="shared" si="456"/>
        <v>3.2017341880593997</v>
      </c>
      <c r="O1725">
        <f>E1725/1000</f>
        <v>1.0029999999999999E-2</v>
      </c>
      <c r="S1725">
        <f t="shared" ref="S1725:S1756" si="460">S1724</f>
        <v>1</v>
      </c>
      <c r="T1725">
        <f t="shared" ref="T1725:T1756" si="461">T1724</f>
        <v>0</v>
      </c>
      <c r="U1725">
        <f t="shared" ref="U1725:U1756" si="462">U1724</f>
        <v>0</v>
      </c>
      <c r="V1725">
        <f t="shared" ref="V1725:V1756" si="463">V1724</f>
        <v>0</v>
      </c>
      <c r="W1725">
        <f t="shared" ref="W1725:W1756" si="464">W1724</f>
        <v>0</v>
      </c>
      <c r="X1725">
        <f t="shared" ref="X1725:X1756" si="465">X1724</f>
        <v>0</v>
      </c>
      <c r="Y1725">
        <f t="shared" ref="Y1725:Y1756" si="466">Y1724</f>
        <v>0</v>
      </c>
    </row>
    <row r="1726" spans="1:25" hidden="1">
      <c r="A1726" t="str">
        <f t="shared" si="458"/>
        <v>Suciu 1951</v>
      </c>
      <c r="C1726">
        <f t="shared" si="459"/>
        <v>3000</v>
      </c>
      <c r="E1726">
        <v>10.45</v>
      </c>
      <c r="F1726">
        <v>0.218</v>
      </c>
      <c r="H1726">
        <v>574.79999999999995</v>
      </c>
      <c r="I1726">
        <f t="shared" si="455"/>
        <v>206.84</v>
      </c>
      <c r="J1726">
        <f t="shared" si="456"/>
        <v>3.2017341880593997</v>
      </c>
      <c r="K1726">
        <f>F1726</f>
        <v>0.218</v>
      </c>
      <c r="O1726">
        <f>E1726/1000</f>
        <v>1.0449999999999999E-2</v>
      </c>
      <c r="S1726">
        <f t="shared" si="460"/>
        <v>1</v>
      </c>
      <c r="T1726">
        <f t="shared" si="461"/>
        <v>0</v>
      </c>
      <c r="U1726">
        <f t="shared" si="462"/>
        <v>0</v>
      </c>
      <c r="V1726">
        <f t="shared" si="463"/>
        <v>0</v>
      </c>
      <c r="W1726">
        <f t="shared" si="464"/>
        <v>0</v>
      </c>
      <c r="X1726">
        <f t="shared" si="465"/>
        <v>0</v>
      </c>
      <c r="Y1726">
        <f t="shared" si="466"/>
        <v>0</v>
      </c>
    </row>
    <row r="1727" spans="1:25" hidden="1">
      <c r="A1727" t="str">
        <f t="shared" si="458"/>
        <v>Suciu 1951</v>
      </c>
      <c r="C1727">
        <f t="shared" si="459"/>
        <v>3000</v>
      </c>
      <c r="E1727">
        <v>10.5</v>
      </c>
      <c r="F1727">
        <v>0.26600000000000001</v>
      </c>
      <c r="H1727">
        <v>606.5</v>
      </c>
      <c r="I1727">
        <f t="shared" si="455"/>
        <v>206.84</v>
      </c>
      <c r="J1727">
        <f t="shared" si="456"/>
        <v>3.2017341880593997</v>
      </c>
      <c r="K1727">
        <f>F1727</f>
        <v>0.26600000000000001</v>
      </c>
      <c r="O1727">
        <f>E1727/1000</f>
        <v>1.0500000000000001E-2</v>
      </c>
      <c r="S1727">
        <f t="shared" si="460"/>
        <v>1</v>
      </c>
      <c r="T1727">
        <f t="shared" si="461"/>
        <v>0</v>
      </c>
      <c r="U1727">
        <f t="shared" si="462"/>
        <v>0</v>
      </c>
      <c r="V1727">
        <f t="shared" si="463"/>
        <v>0</v>
      </c>
      <c r="W1727">
        <f t="shared" si="464"/>
        <v>0</v>
      </c>
      <c r="X1727">
        <f t="shared" si="465"/>
        <v>0</v>
      </c>
      <c r="Y1727">
        <f t="shared" si="466"/>
        <v>0</v>
      </c>
    </row>
    <row r="1728" spans="1:25" hidden="1">
      <c r="A1728" t="s">
        <v>73</v>
      </c>
      <c r="D1728">
        <v>0.94</v>
      </c>
      <c r="E1728">
        <v>1E-3</v>
      </c>
      <c r="H1728">
        <v>423.2</v>
      </c>
      <c r="I1728">
        <v>9.81</v>
      </c>
      <c r="J1728">
        <v>0</v>
      </c>
      <c r="K1728">
        <f t="shared" ref="K1728:K1756" si="467">1-D1728</f>
        <v>6.0000000000000053E-2</v>
      </c>
      <c r="P1728">
        <f t="shared" ref="P1728:P1759" si="468">E1728</f>
        <v>1E-3</v>
      </c>
      <c r="S1728">
        <f t="shared" si="460"/>
        <v>1</v>
      </c>
      <c r="T1728">
        <f t="shared" si="461"/>
        <v>0</v>
      </c>
      <c r="U1728">
        <f t="shared" si="462"/>
        <v>0</v>
      </c>
      <c r="V1728">
        <f t="shared" si="463"/>
        <v>0</v>
      </c>
      <c r="W1728">
        <f t="shared" si="464"/>
        <v>0</v>
      </c>
      <c r="X1728">
        <f t="shared" si="465"/>
        <v>0</v>
      </c>
      <c r="Y1728">
        <f t="shared" si="466"/>
        <v>0</v>
      </c>
    </row>
    <row r="1729" spans="1:25" hidden="1">
      <c r="A1729" t="str">
        <f t="shared" ref="A1729:A1760" si="469">A1728</f>
        <v>Sultanov 1972</v>
      </c>
      <c r="D1729">
        <v>0.96299999999999997</v>
      </c>
      <c r="E1729">
        <v>1.8E-3</v>
      </c>
      <c r="H1729">
        <f>H1728</f>
        <v>423.2</v>
      </c>
      <c r="I1729">
        <v>19.61</v>
      </c>
      <c r="J1729">
        <v>0</v>
      </c>
      <c r="K1729">
        <f t="shared" si="467"/>
        <v>3.7000000000000033E-2</v>
      </c>
      <c r="P1729">
        <f t="shared" si="468"/>
        <v>1.8E-3</v>
      </c>
      <c r="S1729">
        <f t="shared" si="460"/>
        <v>1</v>
      </c>
      <c r="T1729">
        <f t="shared" si="461"/>
        <v>0</v>
      </c>
      <c r="U1729">
        <f t="shared" si="462"/>
        <v>0</v>
      </c>
      <c r="V1729">
        <f t="shared" si="463"/>
        <v>0</v>
      </c>
      <c r="W1729">
        <f t="shared" si="464"/>
        <v>0</v>
      </c>
      <c r="X1729">
        <f t="shared" si="465"/>
        <v>0</v>
      </c>
      <c r="Y1729">
        <f t="shared" si="466"/>
        <v>0</v>
      </c>
    </row>
    <row r="1730" spans="1:25" hidden="1">
      <c r="A1730" t="str">
        <f t="shared" si="469"/>
        <v>Sultanov 1972</v>
      </c>
      <c r="D1730">
        <v>0.97799999999999998</v>
      </c>
      <c r="E1730">
        <v>3.0000000000000001E-3</v>
      </c>
      <c r="H1730">
        <f>H1729</f>
        <v>423.2</v>
      </c>
      <c r="I1730">
        <v>39.229999999999997</v>
      </c>
      <c r="J1730">
        <v>0</v>
      </c>
      <c r="K1730">
        <f t="shared" si="467"/>
        <v>2.200000000000002E-2</v>
      </c>
      <c r="P1730">
        <f t="shared" si="468"/>
        <v>3.0000000000000001E-3</v>
      </c>
      <c r="S1730">
        <f t="shared" si="460"/>
        <v>1</v>
      </c>
      <c r="T1730">
        <f t="shared" si="461"/>
        <v>0</v>
      </c>
      <c r="U1730">
        <f t="shared" si="462"/>
        <v>0</v>
      </c>
      <c r="V1730">
        <f t="shared" si="463"/>
        <v>0</v>
      </c>
      <c r="W1730">
        <f t="shared" si="464"/>
        <v>0</v>
      </c>
      <c r="X1730">
        <f t="shared" si="465"/>
        <v>0</v>
      </c>
      <c r="Y1730">
        <f t="shared" si="466"/>
        <v>0</v>
      </c>
    </row>
    <row r="1731" spans="1:25" hidden="1">
      <c r="A1731" t="str">
        <f t="shared" si="469"/>
        <v>Sultanov 1972</v>
      </c>
      <c r="D1731">
        <v>0.98299999999999998</v>
      </c>
      <c r="E1731">
        <v>4.5999999999999999E-3</v>
      </c>
      <c r="H1731">
        <f>H1730</f>
        <v>423.2</v>
      </c>
      <c r="I1731">
        <v>58.84</v>
      </c>
      <c r="J1731">
        <v>0</v>
      </c>
      <c r="K1731">
        <f t="shared" si="467"/>
        <v>1.7000000000000015E-2</v>
      </c>
      <c r="P1731">
        <f t="shared" si="468"/>
        <v>4.5999999999999999E-3</v>
      </c>
      <c r="S1731">
        <f t="shared" si="460"/>
        <v>1</v>
      </c>
      <c r="T1731">
        <f t="shared" si="461"/>
        <v>0</v>
      </c>
      <c r="U1731">
        <f t="shared" si="462"/>
        <v>0</v>
      </c>
      <c r="V1731">
        <f t="shared" si="463"/>
        <v>0</v>
      </c>
      <c r="W1731">
        <f t="shared" si="464"/>
        <v>0</v>
      </c>
      <c r="X1731">
        <f t="shared" si="465"/>
        <v>0</v>
      </c>
      <c r="Y1731">
        <f t="shared" si="466"/>
        <v>0</v>
      </c>
    </row>
    <row r="1732" spans="1:25" hidden="1">
      <c r="A1732" t="str">
        <f t="shared" si="469"/>
        <v>Sultanov 1972</v>
      </c>
      <c r="D1732">
        <v>0.98350000000000004</v>
      </c>
      <c r="E1732">
        <v>5.5999999999999999E-3</v>
      </c>
      <c r="H1732">
        <f>H1731</f>
        <v>423.2</v>
      </c>
      <c r="I1732">
        <v>78.45</v>
      </c>
      <c r="J1732">
        <v>0</v>
      </c>
      <c r="K1732">
        <f t="shared" si="467"/>
        <v>1.6499999999999959E-2</v>
      </c>
      <c r="P1732">
        <f t="shared" si="468"/>
        <v>5.5999999999999999E-3</v>
      </c>
      <c r="S1732">
        <f t="shared" si="460"/>
        <v>1</v>
      </c>
      <c r="T1732">
        <f t="shared" si="461"/>
        <v>0</v>
      </c>
      <c r="U1732">
        <f t="shared" si="462"/>
        <v>0</v>
      </c>
      <c r="V1732">
        <f t="shared" si="463"/>
        <v>0</v>
      </c>
      <c r="W1732">
        <f t="shared" si="464"/>
        <v>0</v>
      </c>
      <c r="X1732">
        <f t="shared" si="465"/>
        <v>0</v>
      </c>
      <c r="Y1732">
        <f t="shared" si="466"/>
        <v>0</v>
      </c>
    </row>
    <row r="1733" spans="1:25" hidden="1">
      <c r="A1733" t="str">
        <f t="shared" si="469"/>
        <v>Sultanov 1972</v>
      </c>
      <c r="D1733">
        <v>0.98499999999999999</v>
      </c>
      <c r="E1733">
        <v>5.5999999999999999E-3</v>
      </c>
      <c r="H1733">
        <f>H1732</f>
        <v>423.2</v>
      </c>
      <c r="I1733">
        <v>98.07</v>
      </c>
      <c r="J1733">
        <v>0</v>
      </c>
      <c r="K1733">
        <f t="shared" si="467"/>
        <v>1.5000000000000013E-2</v>
      </c>
      <c r="P1733">
        <f t="shared" si="468"/>
        <v>5.5999999999999999E-3</v>
      </c>
      <c r="S1733">
        <f t="shared" si="460"/>
        <v>1</v>
      </c>
      <c r="T1733">
        <f t="shared" si="461"/>
        <v>0</v>
      </c>
      <c r="U1733">
        <f t="shared" si="462"/>
        <v>0</v>
      </c>
      <c r="V1733">
        <f t="shared" si="463"/>
        <v>0</v>
      </c>
      <c r="W1733">
        <f t="shared" si="464"/>
        <v>0</v>
      </c>
      <c r="X1733">
        <f t="shared" si="465"/>
        <v>0</v>
      </c>
      <c r="Y1733">
        <f t="shared" si="466"/>
        <v>0</v>
      </c>
    </row>
    <row r="1734" spans="1:25" hidden="1">
      <c r="A1734" t="str">
        <f t="shared" si="469"/>
        <v>Sultanov 1972</v>
      </c>
      <c r="D1734">
        <v>0.81</v>
      </c>
      <c r="E1734">
        <v>2E-3</v>
      </c>
      <c r="H1734">
        <v>473.2</v>
      </c>
      <c r="I1734">
        <f t="shared" ref="I1734:I1751" si="470">I1728</f>
        <v>9.81</v>
      </c>
      <c r="J1734">
        <v>0</v>
      </c>
      <c r="K1734">
        <f t="shared" si="467"/>
        <v>0.18999999999999995</v>
      </c>
      <c r="P1734">
        <f t="shared" si="468"/>
        <v>2E-3</v>
      </c>
      <c r="S1734">
        <f t="shared" si="460"/>
        <v>1</v>
      </c>
      <c r="T1734">
        <f t="shared" si="461"/>
        <v>0</v>
      </c>
      <c r="U1734">
        <f t="shared" si="462"/>
        <v>0</v>
      </c>
      <c r="V1734">
        <f t="shared" si="463"/>
        <v>0</v>
      </c>
      <c r="W1734">
        <f t="shared" si="464"/>
        <v>0</v>
      </c>
      <c r="X1734">
        <f t="shared" si="465"/>
        <v>0</v>
      </c>
      <c r="Y1734">
        <f t="shared" si="466"/>
        <v>0</v>
      </c>
    </row>
    <row r="1735" spans="1:25" hidden="1">
      <c r="A1735" t="str">
        <f t="shared" si="469"/>
        <v>Sultanov 1972</v>
      </c>
      <c r="D1735">
        <v>0.89149999999999996</v>
      </c>
      <c r="E1735">
        <v>3.8E-3</v>
      </c>
      <c r="H1735">
        <f>H1734</f>
        <v>473.2</v>
      </c>
      <c r="I1735">
        <f t="shared" si="470"/>
        <v>19.61</v>
      </c>
      <c r="J1735">
        <v>0</v>
      </c>
      <c r="K1735">
        <f t="shared" si="467"/>
        <v>0.10850000000000004</v>
      </c>
      <c r="P1735">
        <f t="shared" si="468"/>
        <v>3.8E-3</v>
      </c>
      <c r="S1735">
        <f t="shared" si="460"/>
        <v>1</v>
      </c>
      <c r="T1735">
        <f t="shared" si="461"/>
        <v>0</v>
      </c>
      <c r="U1735">
        <f t="shared" si="462"/>
        <v>0</v>
      </c>
      <c r="V1735">
        <f t="shared" si="463"/>
        <v>0</v>
      </c>
      <c r="W1735">
        <f t="shared" si="464"/>
        <v>0</v>
      </c>
      <c r="X1735">
        <f t="shared" si="465"/>
        <v>0</v>
      </c>
      <c r="Y1735">
        <f t="shared" si="466"/>
        <v>0</v>
      </c>
    </row>
    <row r="1736" spans="1:25" hidden="1">
      <c r="A1736" t="str">
        <f t="shared" si="469"/>
        <v>Sultanov 1972</v>
      </c>
      <c r="D1736">
        <v>0.93500000000000005</v>
      </c>
      <c r="E1736">
        <v>6.7000000000000002E-3</v>
      </c>
      <c r="H1736">
        <f>H1735</f>
        <v>473.2</v>
      </c>
      <c r="I1736">
        <f t="shared" si="470"/>
        <v>39.229999999999997</v>
      </c>
      <c r="J1736">
        <v>0</v>
      </c>
      <c r="K1736">
        <f t="shared" si="467"/>
        <v>6.4999999999999947E-2</v>
      </c>
      <c r="P1736">
        <f t="shared" si="468"/>
        <v>6.7000000000000002E-3</v>
      </c>
      <c r="S1736">
        <f t="shared" si="460"/>
        <v>1</v>
      </c>
      <c r="T1736">
        <f t="shared" si="461"/>
        <v>0</v>
      </c>
      <c r="U1736">
        <f t="shared" si="462"/>
        <v>0</v>
      </c>
      <c r="V1736">
        <f t="shared" si="463"/>
        <v>0</v>
      </c>
      <c r="W1736">
        <f t="shared" si="464"/>
        <v>0</v>
      </c>
      <c r="X1736">
        <f t="shared" si="465"/>
        <v>0</v>
      </c>
      <c r="Y1736">
        <f t="shared" si="466"/>
        <v>0</v>
      </c>
    </row>
    <row r="1737" spans="1:25" hidden="1">
      <c r="A1737" t="str">
        <f t="shared" si="469"/>
        <v>Sultanov 1972</v>
      </c>
      <c r="D1737">
        <v>0.94799999999999995</v>
      </c>
      <c r="E1737">
        <v>8.6999999999999994E-3</v>
      </c>
      <c r="H1737">
        <f>H1736</f>
        <v>473.2</v>
      </c>
      <c r="I1737">
        <f t="shared" si="470"/>
        <v>58.84</v>
      </c>
      <c r="J1737">
        <v>0</v>
      </c>
      <c r="K1737">
        <f t="shared" si="467"/>
        <v>5.2000000000000046E-2</v>
      </c>
      <c r="P1737">
        <f t="shared" si="468"/>
        <v>8.6999999999999994E-3</v>
      </c>
      <c r="S1737">
        <f t="shared" si="460"/>
        <v>1</v>
      </c>
      <c r="T1737">
        <f t="shared" si="461"/>
        <v>0</v>
      </c>
      <c r="U1737">
        <f t="shared" si="462"/>
        <v>0</v>
      </c>
      <c r="V1737">
        <f t="shared" si="463"/>
        <v>0</v>
      </c>
      <c r="W1737">
        <f t="shared" si="464"/>
        <v>0</v>
      </c>
      <c r="X1737">
        <f t="shared" si="465"/>
        <v>0</v>
      </c>
      <c r="Y1737">
        <f t="shared" si="466"/>
        <v>0</v>
      </c>
    </row>
    <row r="1738" spans="1:25" hidden="1">
      <c r="A1738" t="str">
        <f t="shared" si="469"/>
        <v>Sultanov 1972</v>
      </c>
      <c r="D1738">
        <v>0.95450000000000002</v>
      </c>
      <c r="E1738">
        <v>0.01</v>
      </c>
      <c r="H1738">
        <f>H1737</f>
        <v>473.2</v>
      </c>
      <c r="I1738">
        <f t="shared" si="470"/>
        <v>78.45</v>
      </c>
      <c r="J1738">
        <v>0</v>
      </c>
      <c r="K1738">
        <f t="shared" si="467"/>
        <v>4.5499999999999985E-2</v>
      </c>
      <c r="P1738">
        <f t="shared" si="468"/>
        <v>0.01</v>
      </c>
      <c r="S1738">
        <f t="shared" si="460"/>
        <v>1</v>
      </c>
      <c r="T1738">
        <f t="shared" si="461"/>
        <v>0</v>
      </c>
      <c r="U1738">
        <f t="shared" si="462"/>
        <v>0</v>
      </c>
      <c r="V1738">
        <f t="shared" si="463"/>
        <v>0</v>
      </c>
      <c r="W1738">
        <f t="shared" si="464"/>
        <v>0</v>
      </c>
      <c r="X1738">
        <f t="shared" si="465"/>
        <v>0</v>
      </c>
      <c r="Y1738">
        <f t="shared" si="466"/>
        <v>0</v>
      </c>
    </row>
    <row r="1739" spans="1:25" hidden="1">
      <c r="A1739" t="str">
        <f t="shared" si="469"/>
        <v>Sultanov 1972</v>
      </c>
      <c r="D1739">
        <v>0.96299999999999997</v>
      </c>
      <c r="E1739">
        <v>1.04E-2</v>
      </c>
      <c r="H1739">
        <f>H1738</f>
        <v>473.2</v>
      </c>
      <c r="I1739">
        <f t="shared" si="470"/>
        <v>98.07</v>
      </c>
      <c r="J1739">
        <v>0</v>
      </c>
      <c r="K1739">
        <f t="shared" si="467"/>
        <v>3.7000000000000033E-2</v>
      </c>
      <c r="P1739">
        <f t="shared" si="468"/>
        <v>1.04E-2</v>
      </c>
      <c r="S1739">
        <f t="shared" si="460"/>
        <v>1</v>
      </c>
      <c r="T1739">
        <f t="shared" si="461"/>
        <v>0</v>
      </c>
      <c r="U1739">
        <f t="shared" si="462"/>
        <v>0</v>
      </c>
      <c r="V1739">
        <f t="shared" si="463"/>
        <v>0</v>
      </c>
      <c r="W1739">
        <f t="shared" si="464"/>
        <v>0</v>
      </c>
      <c r="X1739">
        <f t="shared" si="465"/>
        <v>0</v>
      </c>
      <c r="Y1739">
        <f t="shared" si="466"/>
        <v>0</v>
      </c>
    </row>
    <row r="1740" spans="1:25" hidden="1">
      <c r="A1740" t="str">
        <f t="shared" si="469"/>
        <v>Sultanov 1972</v>
      </c>
      <c r="D1740">
        <v>0.53</v>
      </c>
      <c r="E1740">
        <v>2.5000000000000001E-3</v>
      </c>
      <c r="H1740">
        <v>523.20000000000005</v>
      </c>
      <c r="I1740">
        <f t="shared" si="470"/>
        <v>9.81</v>
      </c>
      <c r="J1740">
        <v>0</v>
      </c>
      <c r="K1740">
        <f t="shared" si="467"/>
        <v>0.47</v>
      </c>
      <c r="P1740">
        <f t="shared" si="468"/>
        <v>2.5000000000000001E-3</v>
      </c>
      <c r="S1740">
        <f t="shared" si="460"/>
        <v>1</v>
      </c>
      <c r="T1740">
        <f t="shared" si="461"/>
        <v>0</v>
      </c>
      <c r="U1740">
        <f t="shared" si="462"/>
        <v>0</v>
      </c>
      <c r="V1740">
        <f t="shared" si="463"/>
        <v>0</v>
      </c>
      <c r="W1740">
        <f t="shared" si="464"/>
        <v>0</v>
      </c>
      <c r="X1740">
        <f t="shared" si="465"/>
        <v>0</v>
      </c>
      <c r="Y1740">
        <f t="shared" si="466"/>
        <v>0</v>
      </c>
    </row>
    <row r="1741" spans="1:25" hidden="1">
      <c r="A1741" t="str">
        <f t="shared" si="469"/>
        <v>Sultanov 1972</v>
      </c>
      <c r="D1741">
        <v>0.73299999999999998</v>
      </c>
      <c r="E1741">
        <v>6.3E-3</v>
      </c>
      <c r="H1741">
        <f>H1740</f>
        <v>523.20000000000005</v>
      </c>
      <c r="I1741">
        <f t="shared" si="470"/>
        <v>19.61</v>
      </c>
      <c r="J1741">
        <v>0</v>
      </c>
      <c r="K1741">
        <f t="shared" si="467"/>
        <v>0.26700000000000002</v>
      </c>
      <c r="P1741">
        <f t="shared" si="468"/>
        <v>6.3E-3</v>
      </c>
      <c r="S1741">
        <f t="shared" si="460"/>
        <v>1</v>
      </c>
      <c r="T1741">
        <f t="shared" si="461"/>
        <v>0</v>
      </c>
      <c r="U1741">
        <f t="shared" si="462"/>
        <v>0</v>
      </c>
      <c r="V1741">
        <f t="shared" si="463"/>
        <v>0</v>
      </c>
      <c r="W1741">
        <f t="shared" si="464"/>
        <v>0</v>
      </c>
      <c r="X1741">
        <f t="shared" si="465"/>
        <v>0</v>
      </c>
      <c r="Y1741">
        <f t="shared" si="466"/>
        <v>0</v>
      </c>
    </row>
    <row r="1742" spans="1:25" hidden="1">
      <c r="A1742" t="str">
        <f t="shared" si="469"/>
        <v>Sultanov 1972</v>
      </c>
      <c r="D1742">
        <v>0.83250000000000002</v>
      </c>
      <c r="E1742">
        <v>1.17E-2</v>
      </c>
      <c r="H1742">
        <f>H1741</f>
        <v>523.20000000000005</v>
      </c>
      <c r="I1742">
        <f t="shared" si="470"/>
        <v>39.229999999999997</v>
      </c>
      <c r="J1742">
        <v>0</v>
      </c>
      <c r="K1742">
        <f t="shared" si="467"/>
        <v>0.16749999999999998</v>
      </c>
      <c r="P1742">
        <f t="shared" si="468"/>
        <v>1.17E-2</v>
      </c>
      <c r="S1742">
        <f t="shared" si="460"/>
        <v>1</v>
      </c>
      <c r="T1742">
        <f t="shared" si="461"/>
        <v>0</v>
      </c>
      <c r="U1742">
        <f t="shared" si="462"/>
        <v>0</v>
      </c>
      <c r="V1742">
        <f t="shared" si="463"/>
        <v>0</v>
      </c>
      <c r="W1742">
        <f t="shared" si="464"/>
        <v>0</v>
      </c>
      <c r="X1742">
        <f t="shared" si="465"/>
        <v>0</v>
      </c>
      <c r="Y1742">
        <f t="shared" si="466"/>
        <v>0</v>
      </c>
    </row>
    <row r="1743" spans="1:25" hidden="1">
      <c r="A1743" t="str">
        <f t="shared" si="469"/>
        <v>Sultanov 1972</v>
      </c>
      <c r="D1743">
        <v>0.872</v>
      </c>
      <c r="E1743">
        <v>1.4E-2</v>
      </c>
      <c r="H1743">
        <f>H1742</f>
        <v>523.20000000000005</v>
      </c>
      <c r="I1743">
        <f t="shared" si="470"/>
        <v>58.84</v>
      </c>
      <c r="J1743">
        <v>0</v>
      </c>
      <c r="K1743">
        <f t="shared" si="467"/>
        <v>0.128</v>
      </c>
      <c r="P1743">
        <f t="shared" si="468"/>
        <v>1.4E-2</v>
      </c>
      <c r="S1743">
        <f t="shared" si="460"/>
        <v>1</v>
      </c>
      <c r="T1743">
        <f t="shared" si="461"/>
        <v>0</v>
      </c>
      <c r="U1743">
        <f t="shared" si="462"/>
        <v>0</v>
      </c>
      <c r="V1743">
        <f t="shared" si="463"/>
        <v>0</v>
      </c>
      <c r="W1743">
        <f t="shared" si="464"/>
        <v>0</v>
      </c>
      <c r="X1743">
        <f t="shared" si="465"/>
        <v>0</v>
      </c>
      <c r="Y1743">
        <f t="shared" si="466"/>
        <v>0</v>
      </c>
    </row>
    <row r="1744" spans="1:25" hidden="1">
      <c r="A1744" t="str">
        <f t="shared" si="469"/>
        <v>Sultanov 1972</v>
      </c>
      <c r="D1744">
        <v>0.89800000000000002</v>
      </c>
      <c r="E1744">
        <v>1.46E-2</v>
      </c>
      <c r="H1744">
        <f>H1743</f>
        <v>523.20000000000005</v>
      </c>
      <c r="I1744">
        <f t="shared" si="470"/>
        <v>78.45</v>
      </c>
      <c r="J1744">
        <v>0</v>
      </c>
      <c r="K1744">
        <f t="shared" si="467"/>
        <v>0.10199999999999998</v>
      </c>
      <c r="P1744">
        <f t="shared" si="468"/>
        <v>1.46E-2</v>
      </c>
      <c r="S1744">
        <f t="shared" si="460"/>
        <v>1</v>
      </c>
      <c r="T1744">
        <f t="shared" si="461"/>
        <v>0</v>
      </c>
      <c r="U1744">
        <f t="shared" si="462"/>
        <v>0</v>
      </c>
      <c r="V1744">
        <f t="shared" si="463"/>
        <v>0</v>
      </c>
      <c r="W1744">
        <f t="shared" si="464"/>
        <v>0</v>
      </c>
      <c r="X1744">
        <f t="shared" si="465"/>
        <v>0</v>
      </c>
      <c r="Y1744">
        <f t="shared" si="466"/>
        <v>0</v>
      </c>
    </row>
    <row r="1745" spans="1:25" hidden="1">
      <c r="A1745" t="str">
        <f t="shared" si="469"/>
        <v>Sultanov 1972</v>
      </c>
      <c r="D1745">
        <v>0.91</v>
      </c>
      <c r="E1745">
        <v>1.5100000000000001E-2</v>
      </c>
      <c r="H1745">
        <f>H1744</f>
        <v>523.20000000000005</v>
      </c>
      <c r="I1745">
        <f t="shared" si="470"/>
        <v>98.07</v>
      </c>
      <c r="J1745">
        <v>0</v>
      </c>
      <c r="K1745">
        <f t="shared" si="467"/>
        <v>8.9999999999999969E-2</v>
      </c>
      <c r="P1745">
        <f t="shared" si="468"/>
        <v>1.5100000000000001E-2</v>
      </c>
      <c r="S1745">
        <f t="shared" si="460"/>
        <v>1</v>
      </c>
      <c r="T1745">
        <f t="shared" si="461"/>
        <v>0</v>
      </c>
      <c r="U1745">
        <f t="shared" si="462"/>
        <v>0</v>
      </c>
      <c r="V1745">
        <f t="shared" si="463"/>
        <v>0</v>
      </c>
      <c r="W1745">
        <f t="shared" si="464"/>
        <v>0</v>
      </c>
      <c r="X1745">
        <f t="shared" si="465"/>
        <v>0</v>
      </c>
      <c r="Y1745">
        <f t="shared" si="466"/>
        <v>0</v>
      </c>
    </row>
    <row r="1746" spans="1:25" hidden="1">
      <c r="A1746" t="str">
        <f t="shared" si="469"/>
        <v>Sultanov 1972</v>
      </c>
      <c r="D1746">
        <v>9.5000000000000001E-2</v>
      </c>
      <c r="E1746">
        <v>1.5E-3</v>
      </c>
      <c r="H1746">
        <v>573.20000000000005</v>
      </c>
      <c r="I1746">
        <f t="shared" si="470"/>
        <v>9.81</v>
      </c>
      <c r="J1746">
        <v>0</v>
      </c>
      <c r="K1746">
        <f t="shared" si="467"/>
        <v>0.90500000000000003</v>
      </c>
      <c r="P1746">
        <f t="shared" si="468"/>
        <v>1.5E-3</v>
      </c>
      <c r="S1746">
        <f t="shared" si="460"/>
        <v>1</v>
      </c>
      <c r="T1746">
        <f t="shared" si="461"/>
        <v>0</v>
      </c>
      <c r="U1746">
        <f t="shared" si="462"/>
        <v>0</v>
      </c>
      <c r="V1746">
        <f t="shared" si="463"/>
        <v>0</v>
      </c>
      <c r="W1746">
        <f t="shared" si="464"/>
        <v>0</v>
      </c>
      <c r="X1746">
        <f t="shared" si="465"/>
        <v>0</v>
      </c>
      <c r="Y1746">
        <f t="shared" si="466"/>
        <v>0</v>
      </c>
    </row>
    <row r="1747" spans="1:25" hidden="1">
      <c r="A1747" t="str">
        <f t="shared" si="469"/>
        <v>Sultanov 1972</v>
      </c>
      <c r="D1747">
        <v>0.436</v>
      </c>
      <c r="E1747">
        <v>7.7999999999999996E-3</v>
      </c>
      <c r="H1747">
        <f>H1746</f>
        <v>573.20000000000005</v>
      </c>
      <c r="I1747">
        <f t="shared" si="470"/>
        <v>19.61</v>
      </c>
      <c r="J1747">
        <v>0</v>
      </c>
      <c r="K1747">
        <f t="shared" si="467"/>
        <v>0.56400000000000006</v>
      </c>
      <c r="P1747">
        <f t="shared" si="468"/>
        <v>7.7999999999999996E-3</v>
      </c>
      <c r="S1747">
        <f t="shared" si="460"/>
        <v>1</v>
      </c>
      <c r="T1747">
        <f t="shared" si="461"/>
        <v>0</v>
      </c>
      <c r="U1747">
        <f t="shared" si="462"/>
        <v>0</v>
      </c>
      <c r="V1747">
        <f t="shared" si="463"/>
        <v>0</v>
      </c>
      <c r="W1747">
        <f t="shared" si="464"/>
        <v>0</v>
      </c>
      <c r="X1747">
        <f t="shared" si="465"/>
        <v>0</v>
      </c>
      <c r="Y1747">
        <f t="shared" si="466"/>
        <v>0</v>
      </c>
    </row>
    <row r="1748" spans="1:25" hidden="1">
      <c r="A1748" t="str">
        <f t="shared" si="469"/>
        <v>Sultanov 1972</v>
      </c>
      <c r="D1748">
        <v>0.626</v>
      </c>
      <c r="E1748">
        <v>1.8499999999999999E-2</v>
      </c>
      <c r="H1748">
        <f>H1747</f>
        <v>573.20000000000005</v>
      </c>
      <c r="I1748">
        <f t="shared" si="470"/>
        <v>39.229999999999997</v>
      </c>
      <c r="J1748">
        <v>0</v>
      </c>
      <c r="K1748">
        <f t="shared" si="467"/>
        <v>0.374</v>
      </c>
      <c r="P1748">
        <f t="shared" si="468"/>
        <v>1.8499999999999999E-2</v>
      </c>
      <c r="S1748">
        <f t="shared" si="460"/>
        <v>1</v>
      </c>
      <c r="T1748">
        <f t="shared" si="461"/>
        <v>0</v>
      </c>
      <c r="U1748">
        <f t="shared" si="462"/>
        <v>0</v>
      </c>
      <c r="V1748">
        <f t="shared" si="463"/>
        <v>0</v>
      </c>
      <c r="W1748">
        <f t="shared" si="464"/>
        <v>0</v>
      </c>
      <c r="X1748">
        <f t="shared" si="465"/>
        <v>0</v>
      </c>
      <c r="Y1748">
        <f t="shared" si="466"/>
        <v>0</v>
      </c>
    </row>
    <row r="1749" spans="1:25" hidden="1">
      <c r="A1749" t="str">
        <f t="shared" si="469"/>
        <v>Sultanov 1972</v>
      </c>
      <c r="D1749">
        <v>0.67900000000000005</v>
      </c>
      <c r="E1749">
        <v>2.6499999999999999E-2</v>
      </c>
      <c r="H1749">
        <f>H1748</f>
        <v>573.20000000000005</v>
      </c>
      <c r="I1749">
        <f t="shared" si="470"/>
        <v>58.84</v>
      </c>
      <c r="J1749">
        <v>0</v>
      </c>
      <c r="K1749">
        <f t="shared" si="467"/>
        <v>0.32099999999999995</v>
      </c>
      <c r="P1749">
        <f t="shared" si="468"/>
        <v>2.6499999999999999E-2</v>
      </c>
      <c r="S1749">
        <f t="shared" si="460"/>
        <v>1</v>
      </c>
      <c r="T1749">
        <f t="shared" si="461"/>
        <v>0</v>
      </c>
      <c r="U1749">
        <f t="shared" si="462"/>
        <v>0</v>
      </c>
      <c r="V1749">
        <f t="shared" si="463"/>
        <v>0</v>
      </c>
      <c r="W1749">
        <f t="shared" si="464"/>
        <v>0</v>
      </c>
      <c r="X1749">
        <f t="shared" si="465"/>
        <v>0</v>
      </c>
      <c r="Y1749">
        <f t="shared" si="466"/>
        <v>0</v>
      </c>
    </row>
    <row r="1750" spans="1:25" hidden="1">
      <c r="A1750" t="str">
        <f t="shared" si="469"/>
        <v>Sultanov 1972</v>
      </c>
      <c r="D1750">
        <v>0.71499999999999997</v>
      </c>
      <c r="E1750">
        <v>3.4000000000000002E-2</v>
      </c>
      <c r="H1750">
        <f>H1749</f>
        <v>573.20000000000005</v>
      </c>
      <c r="I1750">
        <f t="shared" si="470"/>
        <v>78.45</v>
      </c>
      <c r="J1750">
        <v>0</v>
      </c>
      <c r="K1750">
        <f t="shared" si="467"/>
        <v>0.28500000000000003</v>
      </c>
      <c r="P1750">
        <f t="shared" si="468"/>
        <v>3.4000000000000002E-2</v>
      </c>
      <c r="S1750">
        <f t="shared" si="460"/>
        <v>1</v>
      </c>
      <c r="T1750">
        <f t="shared" si="461"/>
        <v>0</v>
      </c>
      <c r="U1750">
        <f t="shared" si="462"/>
        <v>0</v>
      </c>
      <c r="V1750">
        <f t="shared" si="463"/>
        <v>0</v>
      </c>
      <c r="W1750">
        <f t="shared" si="464"/>
        <v>0</v>
      </c>
      <c r="X1750">
        <f t="shared" si="465"/>
        <v>0</v>
      </c>
      <c r="Y1750">
        <f t="shared" si="466"/>
        <v>0</v>
      </c>
    </row>
    <row r="1751" spans="1:25" hidden="1">
      <c r="A1751" t="str">
        <f t="shared" si="469"/>
        <v>Sultanov 1972</v>
      </c>
      <c r="D1751">
        <v>0.75</v>
      </c>
      <c r="E1751">
        <v>4.07E-2</v>
      </c>
      <c r="H1751">
        <f>H1750</f>
        <v>573.20000000000005</v>
      </c>
      <c r="I1751">
        <f t="shared" si="470"/>
        <v>98.07</v>
      </c>
      <c r="J1751">
        <v>0</v>
      </c>
      <c r="K1751">
        <f t="shared" si="467"/>
        <v>0.25</v>
      </c>
      <c r="P1751">
        <f t="shared" si="468"/>
        <v>4.07E-2</v>
      </c>
      <c r="S1751">
        <f t="shared" si="460"/>
        <v>1</v>
      </c>
      <c r="T1751">
        <f t="shared" si="461"/>
        <v>0</v>
      </c>
      <c r="U1751">
        <f t="shared" si="462"/>
        <v>0</v>
      </c>
      <c r="V1751">
        <f t="shared" si="463"/>
        <v>0</v>
      </c>
      <c r="W1751">
        <f t="shared" si="464"/>
        <v>0</v>
      </c>
      <c r="X1751">
        <f t="shared" si="465"/>
        <v>0</v>
      </c>
      <c r="Y1751">
        <f t="shared" si="466"/>
        <v>0</v>
      </c>
    </row>
    <row r="1752" spans="1:25" hidden="1">
      <c r="A1752" t="str">
        <f t="shared" si="469"/>
        <v>Sultanov 1972</v>
      </c>
      <c r="D1752">
        <v>0.19500000000000001</v>
      </c>
      <c r="E1752">
        <v>0.01</v>
      </c>
      <c r="H1752">
        <v>603.20000000000005</v>
      </c>
      <c r="I1752">
        <v>19.61</v>
      </c>
      <c r="J1752">
        <v>0</v>
      </c>
      <c r="K1752">
        <f t="shared" si="467"/>
        <v>0.80499999999999994</v>
      </c>
      <c r="P1752">
        <f t="shared" si="468"/>
        <v>0.01</v>
      </c>
      <c r="S1752">
        <f t="shared" si="460"/>
        <v>1</v>
      </c>
      <c r="T1752">
        <f t="shared" si="461"/>
        <v>0</v>
      </c>
      <c r="U1752">
        <f t="shared" si="462"/>
        <v>0</v>
      </c>
      <c r="V1752">
        <f t="shared" si="463"/>
        <v>0</v>
      </c>
      <c r="W1752">
        <f t="shared" si="464"/>
        <v>0</v>
      </c>
      <c r="X1752">
        <f t="shared" si="465"/>
        <v>0</v>
      </c>
      <c r="Y1752">
        <f t="shared" si="466"/>
        <v>0</v>
      </c>
    </row>
    <row r="1753" spans="1:25" hidden="1">
      <c r="A1753" t="str">
        <f t="shared" si="469"/>
        <v>Sultanov 1972</v>
      </c>
      <c r="D1753">
        <v>0.41699999999999998</v>
      </c>
      <c r="E1753">
        <v>3.2500000000000001E-2</v>
      </c>
      <c r="H1753">
        <f>H1752</f>
        <v>603.20000000000005</v>
      </c>
      <c r="I1753">
        <v>39.229999999999997</v>
      </c>
      <c r="J1753">
        <v>0</v>
      </c>
      <c r="K1753">
        <f t="shared" si="467"/>
        <v>0.58299999999999996</v>
      </c>
      <c r="P1753">
        <f t="shared" si="468"/>
        <v>3.2500000000000001E-2</v>
      </c>
      <c r="S1753">
        <f t="shared" si="460"/>
        <v>1</v>
      </c>
      <c r="T1753">
        <f t="shared" si="461"/>
        <v>0</v>
      </c>
      <c r="U1753">
        <f t="shared" si="462"/>
        <v>0</v>
      </c>
      <c r="V1753">
        <f t="shared" si="463"/>
        <v>0</v>
      </c>
      <c r="W1753">
        <f t="shared" si="464"/>
        <v>0</v>
      </c>
      <c r="X1753">
        <f t="shared" si="465"/>
        <v>0</v>
      </c>
      <c r="Y1753">
        <f t="shared" si="466"/>
        <v>0</v>
      </c>
    </row>
    <row r="1754" spans="1:25" hidden="1">
      <c r="A1754" t="str">
        <f t="shared" si="469"/>
        <v>Sultanov 1972</v>
      </c>
      <c r="D1754">
        <v>0.504</v>
      </c>
      <c r="E1754">
        <v>4.6399999999999997E-2</v>
      </c>
      <c r="H1754">
        <f>H1753</f>
        <v>603.20000000000005</v>
      </c>
      <c r="I1754">
        <v>58.84</v>
      </c>
      <c r="J1754">
        <v>0</v>
      </c>
      <c r="K1754">
        <f t="shared" si="467"/>
        <v>0.496</v>
      </c>
      <c r="P1754">
        <f t="shared" si="468"/>
        <v>4.6399999999999997E-2</v>
      </c>
      <c r="S1754">
        <f t="shared" si="460"/>
        <v>1</v>
      </c>
      <c r="T1754">
        <f t="shared" si="461"/>
        <v>0</v>
      </c>
      <c r="U1754">
        <f t="shared" si="462"/>
        <v>0</v>
      </c>
      <c r="V1754">
        <f t="shared" si="463"/>
        <v>0</v>
      </c>
      <c r="W1754">
        <f t="shared" si="464"/>
        <v>0</v>
      </c>
      <c r="X1754">
        <f t="shared" si="465"/>
        <v>0</v>
      </c>
      <c r="Y1754">
        <f t="shared" si="466"/>
        <v>0</v>
      </c>
    </row>
    <row r="1755" spans="1:25" hidden="1">
      <c r="A1755" t="str">
        <f t="shared" si="469"/>
        <v>Sultanov 1972</v>
      </c>
      <c r="D1755">
        <v>0.55400000000000005</v>
      </c>
      <c r="E1755">
        <v>5.7200000000000001E-2</v>
      </c>
      <c r="H1755">
        <f>H1754</f>
        <v>603.20000000000005</v>
      </c>
      <c r="I1755">
        <v>78.45</v>
      </c>
      <c r="J1755">
        <v>0</v>
      </c>
      <c r="K1755">
        <f t="shared" si="467"/>
        <v>0.44599999999999995</v>
      </c>
      <c r="P1755">
        <f t="shared" si="468"/>
        <v>5.7200000000000001E-2</v>
      </c>
      <c r="S1755">
        <f t="shared" si="460"/>
        <v>1</v>
      </c>
      <c r="T1755">
        <f t="shared" si="461"/>
        <v>0</v>
      </c>
      <c r="U1755">
        <f t="shared" si="462"/>
        <v>0</v>
      </c>
      <c r="V1755">
        <f t="shared" si="463"/>
        <v>0</v>
      </c>
      <c r="W1755">
        <f t="shared" si="464"/>
        <v>0</v>
      </c>
      <c r="X1755">
        <f t="shared" si="465"/>
        <v>0</v>
      </c>
      <c r="Y1755">
        <f t="shared" si="466"/>
        <v>0</v>
      </c>
    </row>
    <row r="1756" spans="1:25" hidden="1">
      <c r="A1756" t="str">
        <f t="shared" si="469"/>
        <v>Sultanov 1972</v>
      </c>
      <c r="D1756">
        <v>0.58499999999999996</v>
      </c>
      <c r="E1756">
        <v>6.3500000000000001E-2</v>
      </c>
      <c r="H1756">
        <f>H1755</f>
        <v>603.20000000000005</v>
      </c>
      <c r="I1756">
        <v>98.07</v>
      </c>
      <c r="J1756">
        <v>0</v>
      </c>
      <c r="K1756">
        <f t="shared" si="467"/>
        <v>0.41500000000000004</v>
      </c>
      <c r="P1756">
        <f t="shared" si="468"/>
        <v>6.3500000000000001E-2</v>
      </c>
      <c r="S1756">
        <f t="shared" si="460"/>
        <v>1</v>
      </c>
      <c r="T1756">
        <f t="shared" si="461"/>
        <v>0</v>
      </c>
      <c r="U1756">
        <f t="shared" si="462"/>
        <v>0</v>
      </c>
      <c r="V1756">
        <f t="shared" si="463"/>
        <v>0</v>
      </c>
      <c r="W1756">
        <f t="shared" si="464"/>
        <v>0</v>
      </c>
      <c r="X1756">
        <f t="shared" si="465"/>
        <v>0</v>
      </c>
      <c r="Y1756">
        <f t="shared" si="466"/>
        <v>0</v>
      </c>
    </row>
    <row r="1757" spans="1:25" hidden="1">
      <c r="A1757" t="str">
        <f t="shared" si="469"/>
        <v>Sultanov 1972</v>
      </c>
      <c r="E1757">
        <v>6.5000000000000002E-2</v>
      </c>
      <c r="H1757">
        <f>H1756</f>
        <v>603.20000000000005</v>
      </c>
      <c r="I1757">
        <v>102.97</v>
      </c>
      <c r="J1757">
        <v>0</v>
      </c>
      <c r="P1757">
        <f t="shared" si="468"/>
        <v>6.5000000000000002E-2</v>
      </c>
      <c r="S1757">
        <f t="shared" ref="S1757:S1790" si="471">S1756</f>
        <v>1</v>
      </c>
      <c r="T1757">
        <f t="shared" ref="T1757:T1790" si="472">T1756</f>
        <v>0</v>
      </c>
      <c r="U1757">
        <f t="shared" ref="U1757:U1790" si="473">U1756</f>
        <v>0</v>
      </c>
      <c r="V1757">
        <f t="shared" ref="V1757:V1790" si="474">V1756</f>
        <v>0</v>
      </c>
      <c r="W1757">
        <f t="shared" ref="W1757:W1790" si="475">W1756</f>
        <v>0</v>
      </c>
      <c r="X1757">
        <f t="shared" ref="X1757:X1790" si="476">X1756</f>
        <v>0</v>
      </c>
      <c r="Y1757">
        <f t="shared" ref="Y1757:Y1790" si="477">Y1756</f>
        <v>0</v>
      </c>
    </row>
    <row r="1758" spans="1:25" hidden="1">
      <c r="A1758" t="str">
        <f t="shared" si="469"/>
        <v>Sultanov 1972</v>
      </c>
      <c r="D1758">
        <v>0.08</v>
      </c>
      <c r="E1758">
        <v>5.3E-3</v>
      </c>
      <c r="H1758">
        <v>623.20000000000005</v>
      </c>
      <c r="I1758">
        <v>19.61</v>
      </c>
      <c r="J1758">
        <v>0</v>
      </c>
      <c r="K1758">
        <f>1-D1758</f>
        <v>0.92</v>
      </c>
      <c r="P1758">
        <f t="shared" si="468"/>
        <v>5.3E-3</v>
      </c>
      <c r="S1758">
        <f t="shared" si="471"/>
        <v>1</v>
      </c>
      <c r="T1758">
        <f t="shared" si="472"/>
        <v>0</v>
      </c>
      <c r="U1758">
        <f t="shared" si="473"/>
        <v>0</v>
      </c>
      <c r="V1758">
        <f t="shared" si="474"/>
        <v>0</v>
      </c>
      <c r="W1758">
        <f t="shared" si="475"/>
        <v>0</v>
      </c>
      <c r="X1758">
        <f t="shared" si="476"/>
        <v>0</v>
      </c>
      <c r="Y1758">
        <f t="shared" si="477"/>
        <v>0</v>
      </c>
    </row>
    <row r="1759" spans="1:25" hidden="1">
      <c r="A1759" t="str">
        <f t="shared" si="469"/>
        <v>Sultanov 1972</v>
      </c>
      <c r="D1759">
        <v>0.23499999999999999</v>
      </c>
      <c r="E1759">
        <v>4.1399999999999999E-2</v>
      </c>
      <c r="H1759">
        <f t="shared" ref="H1759:H1764" si="478">H1758</f>
        <v>623.20000000000005</v>
      </c>
      <c r="I1759">
        <v>39.229999999999997</v>
      </c>
      <c r="J1759">
        <v>0</v>
      </c>
      <c r="K1759">
        <f>1-D1759</f>
        <v>0.76500000000000001</v>
      </c>
      <c r="P1759">
        <f t="shared" si="468"/>
        <v>4.1399999999999999E-2</v>
      </c>
      <c r="S1759">
        <f t="shared" si="471"/>
        <v>1</v>
      </c>
      <c r="T1759">
        <f t="shared" si="472"/>
        <v>0</v>
      </c>
      <c r="U1759">
        <f t="shared" si="473"/>
        <v>0</v>
      </c>
      <c r="V1759">
        <f t="shared" si="474"/>
        <v>0</v>
      </c>
      <c r="W1759">
        <f t="shared" si="475"/>
        <v>0</v>
      </c>
      <c r="X1759">
        <f t="shared" si="476"/>
        <v>0</v>
      </c>
      <c r="Y1759">
        <f t="shared" si="477"/>
        <v>0</v>
      </c>
    </row>
    <row r="1760" spans="1:25" hidden="1">
      <c r="A1760" t="str">
        <f t="shared" si="469"/>
        <v>Sultanov 1972</v>
      </c>
      <c r="D1760">
        <v>0.29799999999999999</v>
      </c>
      <c r="E1760">
        <v>7.0699999999999999E-2</v>
      </c>
      <c r="H1760">
        <f t="shared" si="478"/>
        <v>623.20000000000005</v>
      </c>
      <c r="I1760">
        <v>58.84</v>
      </c>
      <c r="J1760">
        <v>0</v>
      </c>
      <c r="K1760">
        <f>1-D1760</f>
        <v>0.70199999999999996</v>
      </c>
      <c r="P1760">
        <f t="shared" ref="P1760:P1790" si="479">E1760</f>
        <v>7.0699999999999999E-2</v>
      </c>
      <c r="S1760">
        <f t="shared" si="471"/>
        <v>1</v>
      </c>
      <c r="T1760">
        <f t="shared" si="472"/>
        <v>0</v>
      </c>
      <c r="U1760">
        <f t="shared" si="473"/>
        <v>0</v>
      </c>
      <c r="V1760">
        <f t="shared" si="474"/>
        <v>0</v>
      </c>
      <c r="W1760">
        <f t="shared" si="475"/>
        <v>0</v>
      </c>
      <c r="X1760">
        <f t="shared" si="476"/>
        <v>0</v>
      </c>
      <c r="Y1760">
        <f t="shared" si="477"/>
        <v>0</v>
      </c>
    </row>
    <row r="1761" spans="1:25" hidden="1">
      <c r="A1761" t="str">
        <f t="shared" ref="A1761:A1790" si="480">A1760</f>
        <v>Sultanov 1972</v>
      </c>
      <c r="D1761">
        <v>0.315</v>
      </c>
      <c r="E1761">
        <v>9.5500000000000002E-2</v>
      </c>
      <c r="H1761">
        <f t="shared" si="478"/>
        <v>623.20000000000005</v>
      </c>
      <c r="I1761">
        <v>78.45</v>
      </c>
      <c r="J1761">
        <v>0</v>
      </c>
      <c r="K1761">
        <f>1-D1761</f>
        <v>0.68500000000000005</v>
      </c>
      <c r="P1761">
        <f t="shared" si="479"/>
        <v>9.5500000000000002E-2</v>
      </c>
      <c r="S1761">
        <f t="shared" si="471"/>
        <v>1</v>
      </c>
      <c r="T1761">
        <f t="shared" si="472"/>
        <v>0</v>
      </c>
      <c r="U1761">
        <f t="shared" si="473"/>
        <v>0</v>
      </c>
      <c r="V1761">
        <f t="shared" si="474"/>
        <v>0</v>
      </c>
      <c r="W1761">
        <f t="shared" si="475"/>
        <v>0</v>
      </c>
      <c r="X1761">
        <f t="shared" si="476"/>
        <v>0</v>
      </c>
      <c r="Y1761">
        <f t="shared" si="477"/>
        <v>0</v>
      </c>
    </row>
    <row r="1762" spans="1:25" hidden="1">
      <c r="A1762" t="str">
        <f t="shared" si="480"/>
        <v>Sultanov 1972</v>
      </c>
      <c r="D1762">
        <v>0.33500000000000002</v>
      </c>
      <c r="E1762">
        <v>0.123</v>
      </c>
      <c r="H1762">
        <f t="shared" si="478"/>
        <v>623.20000000000005</v>
      </c>
      <c r="I1762">
        <v>98.07</v>
      </c>
      <c r="J1762">
        <v>0</v>
      </c>
      <c r="K1762">
        <f>1-D1762</f>
        <v>0.66500000000000004</v>
      </c>
      <c r="P1762">
        <f t="shared" si="479"/>
        <v>0.123</v>
      </c>
      <c r="S1762">
        <f t="shared" si="471"/>
        <v>1</v>
      </c>
      <c r="T1762">
        <f t="shared" si="472"/>
        <v>0</v>
      </c>
      <c r="U1762">
        <f t="shared" si="473"/>
        <v>0</v>
      </c>
      <c r="V1762">
        <f t="shared" si="474"/>
        <v>0</v>
      </c>
      <c r="W1762">
        <f t="shared" si="475"/>
        <v>0</v>
      </c>
      <c r="X1762">
        <f t="shared" si="476"/>
        <v>0</v>
      </c>
      <c r="Y1762">
        <f t="shared" si="477"/>
        <v>0</v>
      </c>
    </row>
    <row r="1763" spans="1:25" hidden="1">
      <c r="A1763" t="str">
        <f t="shared" si="480"/>
        <v>Sultanov 1972</v>
      </c>
      <c r="E1763">
        <v>0.13</v>
      </c>
      <c r="H1763">
        <f t="shared" si="478"/>
        <v>623.20000000000005</v>
      </c>
      <c r="I1763">
        <v>102.97</v>
      </c>
      <c r="J1763">
        <v>0</v>
      </c>
      <c r="P1763">
        <f t="shared" si="479"/>
        <v>0.13</v>
      </c>
      <c r="S1763">
        <f t="shared" si="471"/>
        <v>1</v>
      </c>
      <c r="T1763">
        <f t="shared" si="472"/>
        <v>0</v>
      </c>
      <c r="U1763">
        <f t="shared" si="473"/>
        <v>0</v>
      </c>
      <c r="V1763">
        <f t="shared" si="474"/>
        <v>0</v>
      </c>
      <c r="W1763">
        <f t="shared" si="475"/>
        <v>0</v>
      </c>
      <c r="X1763">
        <f t="shared" si="476"/>
        <v>0</v>
      </c>
      <c r="Y1763">
        <f t="shared" si="477"/>
        <v>0</v>
      </c>
    </row>
    <row r="1764" spans="1:25" hidden="1">
      <c r="A1764" t="str">
        <f t="shared" si="480"/>
        <v>Sultanov 1972</v>
      </c>
      <c r="E1764">
        <v>0.13650000000000001</v>
      </c>
      <c r="H1764">
        <f t="shared" si="478"/>
        <v>623.20000000000005</v>
      </c>
      <c r="I1764">
        <v>113.27</v>
      </c>
      <c r="J1764">
        <v>0</v>
      </c>
      <c r="P1764">
        <f t="shared" si="479"/>
        <v>0.13650000000000001</v>
      </c>
      <c r="S1764">
        <f t="shared" si="471"/>
        <v>1</v>
      </c>
      <c r="T1764">
        <f t="shared" si="472"/>
        <v>0</v>
      </c>
      <c r="U1764">
        <f t="shared" si="473"/>
        <v>0</v>
      </c>
      <c r="V1764">
        <f t="shared" si="474"/>
        <v>0</v>
      </c>
      <c r="W1764">
        <f t="shared" si="475"/>
        <v>0</v>
      </c>
      <c r="X1764">
        <f t="shared" si="476"/>
        <v>0</v>
      </c>
      <c r="Y1764">
        <f t="shared" si="477"/>
        <v>0</v>
      </c>
    </row>
    <row r="1765" spans="1:25" hidden="1">
      <c r="A1765" t="str">
        <f t="shared" si="480"/>
        <v>Sultanov 1972</v>
      </c>
      <c r="D1765">
        <v>0.13900000000000001</v>
      </c>
      <c r="E1765">
        <v>1.35E-2</v>
      </c>
      <c r="H1765">
        <v>625.20000000000005</v>
      </c>
      <c r="I1765">
        <v>24.52</v>
      </c>
      <c r="J1765">
        <v>0</v>
      </c>
      <c r="K1765">
        <f t="shared" ref="K1765:K1790" si="481">1-D1765</f>
        <v>0.86099999999999999</v>
      </c>
      <c r="P1765">
        <f t="shared" si="479"/>
        <v>1.35E-2</v>
      </c>
      <c r="S1765">
        <f t="shared" si="471"/>
        <v>1</v>
      </c>
      <c r="T1765">
        <f t="shared" si="472"/>
        <v>0</v>
      </c>
      <c r="U1765">
        <f t="shared" si="473"/>
        <v>0</v>
      </c>
      <c r="V1765">
        <f t="shared" si="474"/>
        <v>0</v>
      </c>
      <c r="W1765">
        <f t="shared" si="475"/>
        <v>0</v>
      </c>
      <c r="X1765">
        <f t="shared" si="476"/>
        <v>0</v>
      </c>
      <c r="Y1765">
        <f t="shared" si="477"/>
        <v>0</v>
      </c>
    </row>
    <row r="1766" spans="1:25" hidden="1">
      <c r="A1766" t="str">
        <f t="shared" si="480"/>
        <v>Sultanov 1972</v>
      </c>
      <c r="D1766">
        <v>0.185</v>
      </c>
      <c r="E1766">
        <v>2.3E-2</v>
      </c>
      <c r="H1766">
        <f t="shared" ref="H1766:H1777" si="482">H1765</f>
        <v>625.20000000000005</v>
      </c>
      <c r="I1766">
        <v>29.42</v>
      </c>
      <c r="J1766">
        <v>0</v>
      </c>
      <c r="K1766">
        <f t="shared" si="481"/>
        <v>0.81499999999999995</v>
      </c>
      <c r="P1766">
        <f t="shared" si="479"/>
        <v>2.3E-2</v>
      </c>
      <c r="S1766">
        <f t="shared" si="471"/>
        <v>1</v>
      </c>
      <c r="T1766">
        <f t="shared" si="472"/>
        <v>0</v>
      </c>
      <c r="U1766">
        <f t="shared" si="473"/>
        <v>0</v>
      </c>
      <c r="V1766">
        <f t="shared" si="474"/>
        <v>0</v>
      </c>
      <c r="W1766">
        <f t="shared" si="475"/>
        <v>0</v>
      </c>
      <c r="X1766">
        <f t="shared" si="476"/>
        <v>0</v>
      </c>
      <c r="Y1766">
        <f t="shared" si="477"/>
        <v>0</v>
      </c>
    </row>
    <row r="1767" spans="1:25" hidden="1">
      <c r="A1767" t="str">
        <f t="shared" si="480"/>
        <v>Sultanov 1972</v>
      </c>
      <c r="D1767">
        <v>0.22800000000000001</v>
      </c>
      <c r="E1767">
        <v>4.1000000000000002E-2</v>
      </c>
      <c r="H1767">
        <f t="shared" si="482"/>
        <v>625.20000000000005</v>
      </c>
      <c r="I1767">
        <v>39.229999999999997</v>
      </c>
      <c r="J1767">
        <v>0</v>
      </c>
      <c r="K1767">
        <f t="shared" si="481"/>
        <v>0.77200000000000002</v>
      </c>
      <c r="P1767">
        <f t="shared" si="479"/>
        <v>4.1000000000000002E-2</v>
      </c>
      <c r="S1767">
        <f t="shared" si="471"/>
        <v>1</v>
      </c>
      <c r="T1767">
        <f t="shared" si="472"/>
        <v>0</v>
      </c>
      <c r="U1767">
        <f t="shared" si="473"/>
        <v>0</v>
      </c>
      <c r="V1767">
        <f t="shared" si="474"/>
        <v>0</v>
      </c>
      <c r="W1767">
        <f t="shared" si="475"/>
        <v>0</v>
      </c>
      <c r="X1767">
        <f t="shared" si="476"/>
        <v>0</v>
      </c>
      <c r="Y1767">
        <f t="shared" si="477"/>
        <v>0</v>
      </c>
    </row>
    <row r="1768" spans="1:25" hidden="1">
      <c r="A1768" t="str">
        <f t="shared" si="480"/>
        <v>Sultanov 1972</v>
      </c>
      <c r="D1768">
        <v>0.249</v>
      </c>
      <c r="E1768">
        <v>5.5E-2</v>
      </c>
      <c r="H1768">
        <f t="shared" si="482"/>
        <v>625.20000000000005</v>
      </c>
      <c r="I1768">
        <v>49.03</v>
      </c>
      <c r="J1768">
        <v>0</v>
      </c>
      <c r="K1768">
        <f t="shared" si="481"/>
        <v>0.751</v>
      </c>
      <c r="P1768">
        <f t="shared" si="479"/>
        <v>5.5E-2</v>
      </c>
      <c r="S1768">
        <f t="shared" si="471"/>
        <v>1</v>
      </c>
      <c r="T1768">
        <f t="shared" si="472"/>
        <v>0</v>
      </c>
      <c r="U1768">
        <f t="shared" si="473"/>
        <v>0</v>
      </c>
      <c r="V1768">
        <f t="shared" si="474"/>
        <v>0</v>
      </c>
      <c r="W1768">
        <f t="shared" si="475"/>
        <v>0</v>
      </c>
      <c r="X1768">
        <f t="shared" si="476"/>
        <v>0</v>
      </c>
      <c r="Y1768">
        <f t="shared" si="477"/>
        <v>0</v>
      </c>
    </row>
    <row r="1769" spans="1:25" hidden="1">
      <c r="A1769" t="str">
        <f t="shared" si="480"/>
        <v>Sultanov 1972</v>
      </c>
      <c r="D1769">
        <v>0.26600000000000001</v>
      </c>
      <c r="E1769">
        <v>6.6000000000000003E-2</v>
      </c>
      <c r="H1769">
        <f t="shared" si="482"/>
        <v>625.20000000000005</v>
      </c>
      <c r="I1769">
        <v>58.84</v>
      </c>
      <c r="J1769">
        <v>0</v>
      </c>
      <c r="K1769">
        <f t="shared" si="481"/>
        <v>0.73399999999999999</v>
      </c>
      <c r="P1769">
        <f t="shared" si="479"/>
        <v>6.6000000000000003E-2</v>
      </c>
      <c r="S1769">
        <f t="shared" si="471"/>
        <v>1</v>
      </c>
      <c r="T1769">
        <f t="shared" si="472"/>
        <v>0</v>
      </c>
      <c r="U1769">
        <f t="shared" si="473"/>
        <v>0</v>
      </c>
      <c r="V1769">
        <f t="shared" si="474"/>
        <v>0</v>
      </c>
      <c r="W1769">
        <f t="shared" si="475"/>
        <v>0</v>
      </c>
      <c r="X1769">
        <f t="shared" si="476"/>
        <v>0</v>
      </c>
      <c r="Y1769">
        <f t="shared" si="477"/>
        <v>0</v>
      </c>
    </row>
    <row r="1770" spans="1:25" hidden="1">
      <c r="A1770" t="str">
        <f t="shared" si="480"/>
        <v>Sultanov 1972</v>
      </c>
      <c r="D1770">
        <v>0.27800000000000002</v>
      </c>
      <c r="E1770">
        <v>0.08</v>
      </c>
      <c r="H1770">
        <f t="shared" si="482"/>
        <v>625.20000000000005</v>
      </c>
      <c r="I1770">
        <v>68.650000000000006</v>
      </c>
      <c r="J1770">
        <v>0</v>
      </c>
      <c r="K1770">
        <f t="shared" si="481"/>
        <v>0.72199999999999998</v>
      </c>
      <c r="P1770">
        <f t="shared" si="479"/>
        <v>0.08</v>
      </c>
      <c r="S1770">
        <f t="shared" si="471"/>
        <v>1</v>
      </c>
      <c r="T1770">
        <f t="shared" si="472"/>
        <v>0</v>
      </c>
      <c r="U1770">
        <f t="shared" si="473"/>
        <v>0</v>
      </c>
      <c r="V1770">
        <f t="shared" si="474"/>
        <v>0</v>
      </c>
      <c r="W1770">
        <f t="shared" si="475"/>
        <v>0</v>
      </c>
      <c r="X1770">
        <f t="shared" si="476"/>
        <v>0</v>
      </c>
      <c r="Y1770">
        <f t="shared" si="477"/>
        <v>0</v>
      </c>
    </row>
    <row r="1771" spans="1:25" hidden="1">
      <c r="A1771" t="str">
        <f t="shared" si="480"/>
        <v>Sultanov 1972</v>
      </c>
      <c r="D1771">
        <v>0.27500000000000002</v>
      </c>
      <c r="E1771">
        <v>0.105</v>
      </c>
      <c r="H1771">
        <f t="shared" si="482"/>
        <v>625.20000000000005</v>
      </c>
      <c r="I1771">
        <v>78.45</v>
      </c>
      <c r="J1771">
        <v>0</v>
      </c>
      <c r="K1771">
        <f t="shared" si="481"/>
        <v>0.72499999999999998</v>
      </c>
      <c r="P1771">
        <f t="shared" si="479"/>
        <v>0.105</v>
      </c>
      <c r="S1771">
        <f t="shared" si="471"/>
        <v>1</v>
      </c>
      <c r="T1771">
        <f t="shared" si="472"/>
        <v>0</v>
      </c>
      <c r="U1771">
        <f t="shared" si="473"/>
        <v>0</v>
      </c>
      <c r="V1771">
        <f t="shared" si="474"/>
        <v>0</v>
      </c>
      <c r="W1771">
        <f t="shared" si="475"/>
        <v>0</v>
      </c>
      <c r="X1771">
        <f t="shared" si="476"/>
        <v>0</v>
      </c>
      <c r="Y1771">
        <f t="shared" si="477"/>
        <v>0</v>
      </c>
    </row>
    <row r="1772" spans="1:25" hidden="1">
      <c r="A1772" t="str">
        <f t="shared" si="480"/>
        <v>Sultanov 1972</v>
      </c>
      <c r="D1772">
        <v>0.23100000000000001</v>
      </c>
      <c r="E1772">
        <v>0.125</v>
      </c>
      <c r="H1772">
        <f t="shared" si="482"/>
        <v>625.20000000000005</v>
      </c>
      <c r="I1772">
        <v>88.26</v>
      </c>
      <c r="J1772">
        <v>0</v>
      </c>
      <c r="K1772">
        <f t="shared" si="481"/>
        <v>0.76900000000000002</v>
      </c>
      <c r="P1772">
        <f t="shared" si="479"/>
        <v>0.125</v>
      </c>
      <c r="S1772">
        <f t="shared" si="471"/>
        <v>1</v>
      </c>
      <c r="T1772">
        <f t="shared" si="472"/>
        <v>0</v>
      </c>
      <c r="U1772">
        <f t="shared" si="473"/>
        <v>0</v>
      </c>
      <c r="V1772">
        <f t="shared" si="474"/>
        <v>0</v>
      </c>
      <c r="W1772">
        <f t="shared" si="475"/>
        <v>0</v>
      </c>
      <c r="X1772">
        <f t="shared" si="476"/>
        <v>0</v>
      </c>
      <c r="Y1772">
        <f t="shared" si="477"/>
        <v>0</v>
      </c>
    </row>
    <row r="1773" spans="1:25" hidden="1">
      <c r="A1773" t="str">
        <f t="shared" si="480"/>
        <v>Sultanov 1972</v>
      </c>
      <c r="D1773">
        <v>0.18</v>
      </c>
      <c r="E1773">
        <v>0.18</v>
      </c>
      <c r="H1773">
        <f t="shared" si="482"/>
        <v>625.20000000000005</v>
      </c>
      <c r="I1773">
        <v>91.69</v>
      </c>
      <c r="J1773">
        <v>0</v>
      </c>
      <c r="K1773">
        <f t="shared" si="481"/>
        <v>0.82000000000000006</v>
      </c>
      <c r="P1773">
        <f t="shared" si="479"/>
        <v>0.18</v>
      </c>
      <c r="S1773">
        <f t="shared" si="471"/>
        <v>1</v>
      </c>
      <c r="T1773">
        <f t="shared" si="472"/>
        <v>0</v>
      </c>
      <c r="U1773">
        <f t="shared" si="473"/>
        <v>0</v>
      </c>
      <c r="V1773">
        <f t="shared" si="474"/>
        <v>0</v>
      </c>
      <c r="W1773">
        <f t="shared" si="475"/>
        <v>0</v>
      </c>
      <c r="X1773">
        <f t="shared" si="476"/>
        <v>0</v>
      </c>
      <c r="Y1773">
        <f t="shared" si="477"/>
        <v>0</v>
      </c>
    </row>
    <row r="1774" spans="1:25" hidden="1">
      <c r="A1774" t="str">
        <f t="shared" si="480"/>
        <v>Sultanov 1972</v>
      </c>
      <c r="D1774">
        <v>0.17299999999999999</v>
      </c>
      <c r="E1774">
        <v>0.17299999999999999</v>
      </c>
      <c r="H1774">
        <f t="shared" si="482"/>
        <v>625.20000000000005</v>
      </c>
      <c r="I1774">
        <v>97.28</v>
      </c>
      <c r="J1774">
        <v>0</v>
      </c>
      <c r="K1774">
        <f t="shared" si="481"/>
        <v>0.82699999999999996</v>
      </c>
      <c r="P1774">
        <f t="shared" si="479"/>
        <v>0.17299999999999999</v>
      </c>
      <c r="S1774">
        <f t="shared" si="471"/>
        <v>1</v>
      </c>
      <c r="T1774">
        <f t="shared" si="472"/>
        <v>0</v>
      </c>
      <c r="U1774">
        <f t="shared" si="473"/>
        <v>0</v>
      </c>
      <c r="V1774">
        <f t="shared" si="474"/>
        <v>0</v>
      </c>
      <c r="W1774">
        <f t="shared" si="475"/>
        <v>0</v>
      </c>
      <c r="X1774">
        <f t="shared" si="476"/>
        <v>0</v>
      </c>
      <c r="Y1774">
        <f t="shared" si="477"/>
        <v>0</v>
      </c>
    </row>
    <row r="1775" spans="1:25" hidden="1">
      <c r="A1775" t="str">
        <f t="shared" si="480"/>
        <v>Sultanov 1972</v>
      </c>
      <c r="D1775">
        <v>0.2</v>
      </c>
      <c r="E1775">
        <v>0.125</v>
      </c>
      <c r="H1775">
        <f t="shared" si="482"/>
        <v>625.20000000000005</v>
      </c>
      <c r="I1775">
        <v>98.07</v>
      </c>
      <c r="J1775">
        <v>0</v>
      </c>
      <c r="K1775">
        <f t="shared" si="481"/>
        <v>0.8</v>
      </c>
      <c r="P1775">
        <f t="shared" si="479"/>
        <v>0.125</v>
      </c>
      <c r="S1775">
        <f t="shared" si="471"/>
        <v>1</v>
      </c>
      <c r="T1775">
        <f t="shared" si="472"/>
        <v>0</v>
      </c>
      <c r="U1775">
        <f t="shared" si="473"/>
        <v>0</v>
      </c>
      <c r="V1775">
        <f t="shared" si="474"/>
        <v>0</v>
      </c>
      <c r="W1775">
        <f t="shared" si="475"/>
        <v>0</v>
      </c>
      <c r="X1775">
        <f t="shared" si="476"/>
        <v>0</v>
      </c>
      <c r="Y1775">
        <f t="shared" si="477"/>
        <v>0</v>
      </c>
    </row>
    <row r="1776" spans="1:25" hidden="1">
      <c r="A1776" t="str">
        <f t="shared" si="480"/>
        <v>Sultanov 1972</v>
      </c>
      <c r="D1776">
        <v>0.24</v>
      </c>
      <c r="E1776">
        <v>8.2000000000000003E-2</v>
      </c>
      <c r="H1776">
        <f t="shared" si="482"/>
        <v>625.20000000000005</v>
      </c>
      <c r="I1776">
        <v>102.97</v>
      </c>
      <c r="J1776">
        <v>0</v>
      </c>
      <c r="K1776">
        <f t="shared" si="481"/>
        <v>0.76</v>
      </c>
      <c r="P1776">
        <f t="shared" si="479"/>
        <v>8.2000000000000003E-2</v>
      </c>
      <c r="S1776">
        <f t="shared" si="471"/>
        <v>1</v>
      </c>
      <c r="T1776">
        <f t="shared" si="472"/>
        <v>0</v>
      </c>
      <c r="U1776">
        <f t="shared" si="473"/>
        <v>0</v>
      </c>
      <c r="V1776">
        <f t="shared" si="474"/>
        <v>0</v>
      </c>
      <c r="W1776">
        <f t="shared" si="475"/>
        <v>0</v>
      </c>
      <c r="X1776">
        <f t="shared" si="476"/>
        <v>0</v>
      </c>
      <c r="Y1776">
        <f t="shared" si="477"/>
        <v>0</v>
      </c>
    </row>
    <row r="1777" spans="1:25" hidden="1">
      <c r="A1777" t="str">
        <f t="shared" si="480"/>
        <v>Sultanov 1972</v>
      </c>
      <c r="D1777">
        <v>0.247</v>
      </c>
      <c r="E1777">
        <v>6.8000000000000005E-2</v>
      </c>
      <c r="H1777">
        <f t="shared" si="482"/>
        <v>625.20000000000005</v>
      </c>
      <c r="I1777">
        <v>113.27</v>
      </c>
      <c r="J1777">
        <v>0</v>
      </c>
      <c r="K1777">
        <f t="shared" si="481"/>
        <v>0.753</v>
      </c>
      <c r="P1777">
        <f t="shared" si="479"/>
        <v>6.8000000000000005E-2</v>
      </c>
      <c r="S1777">
        <f t="shared" si="471"/>
        <v>1</v>
      </c>
      <c r="T1777">
        <f t="shared" si="472"/>
        <v>0</v>
      </c>
      <c r="U1777">
        <f t="shared" si="473"/>
        <v>0</v>
      </c>
      <c r="V1777">
        <f t="shared" si="474"/>
        <v>0</v>
      </c>
      <c r="W1777">
        <f t="shared" si="475"/>
        <v>0</v>
      </c>
      <c r="X1777">
        <f t="shared" si="476"/>
        <v>0</v>
      </c>
      <c r="Y1777">
        <f t="shared" si="477"/>
        <v>0</v>
      </c>
    </row>
    <row r="1778" spans="1:25" hidden="1">
      <c r="A1778" t="str">
        <f t="shared" si="480"/>
        <v>Sultanov 1972</v>
      </c>
      <c r="D1778">
        <v>0.105</v>
      </c>
      <c r="E1778">
        <v>1.6500000000000001E-2</v>
      </c>
      <c r="H1778">
        <v>628.20000000000005</v>
      </c>
      <c r="I1778">
        <v>24.52</v>
      </c>
      <c r="J1778">
        <v>0</v>
      </c>
      <c r="K1778">
        <f t="shared" si="481"/>
        <v>0.89500000000000002</v>
      </c>
      <c r="P1778">
        <f t="shared" si="479"/>
        <v>1.6500000000000001E-2</v>
      </c>
      <c r="S1778">
        <f t="shared" si="471"/>
        <v>1</v>
      </c>
      <c r="T1778">
        <f t="shared" si="472"/>
        <v>0</v>
      </c>
      <c r="U1778">
        <f t="shared" si="473"/>
        <v>0</v>
      </c>
      <c r="V1778">
        <f t="shared" si="474"/>
        <v>0</v>
      </c>
      <c r="W1778">
        <f t="shared" si="475"/>
        <v>0</v>
      </c>
      <c r="X1778">
        <f t="shared" si="476"/>
        <v>0</v>
      </c>
      <c r="Y1778">
        <f t="shared" si="477"/>
        <v>0</v>
      </c>
    </row>
    <row r="1779" spans="1:25" hidden="1">
      <c r="A1779" t="str">
        <f t="shared" si="480"/>
        <v>Sultanov 1972</v>
      </c>
      <c r="D1779">
        <v>0.153</v>
      </c>
      <c r="E1779">
        <v>2.75E-2</v>
      </c>
      <c r="H1779">
        <f t="shared" ref="H1779:H1784" si="483">H1778</f>
        <v>628.20000000000005</v>
      </c>
      <c r="I1779">
        <v>29.42</v>
      </c>
      <c r="J1779">
        <v>0</v>
      </c>
      <c r="K1779">
        <f t="shared" si="481"/>
        <v>0.84699999999999998</v>
      </c>
      <c r="P1779">
        <f t="shared" si="479"/>
        <v>2.75E-2</v>
      </c>
      <c r="S1779">
        <f t="shared" si="471"/>
        <v>1</v>
      </c>
      <c r="T1779">
        <f t="shared" si="472"/>
        <v>0</v>
      </c>
      <c r="U1779">
        <f t="shared" si="473"/>
        <v>0</v>
      </c>
      <c r="V1779">
        <f t="shared" si="474"/>
        <v>0</v>
      </c>
      <c r="W1779">
        <f t="shared" si="475"/>
        <v>0</v>
      </c>
      <c r="X1779">
        <f t="shared" si="476"/>
        <v>0</v>
      </c>
      <c r="Y1779">
        <f t="shared" si="477"/>
        <v>0</v>
      </c>
    </row>
    <row r="1780" spans="1:25" hidden="1">
      <c r="A1780" t="str">
        <f t="shared" si="480"/>
        <v>Sultanov 1972</v>
      </c>
      <c r="D1780">
        <v>0.20499999999999999</v>
      </c>
      <c r="E1780">
        <v>5.3999999999999999E-2</v>
      </c>
      <c r="H1780">
        <f t="shared" si="483"/>
        <v>628.20000000000005</v>
      </c>
      <c r="I1780">
        <v>39.229999999999997</v>
      </c>
      <c r="J1780">
        <v>0</v>
      </c>
      <c r="K1780">
        <f t="shared" si="481"/>
        <v>0.79500000000000004</v>
      </c>
      <c r="P1780">
        <f t="shared" si="479"/>
        <v>5.3999999999999999E-2</v>
      </c>
      <c r="S1780">
        <f t="shared" si="471"/>
        <v>1</v>
      </c>
      <c r="T1780">
        <f t="shared" si="472"/>
        <v>0</v>
      </c>
      <c r="U1780">
        <f t="shared" si="473"/>
        <v>0</v>
      </c>
      <c r="V1780">
        <f t="shared" si="474"/>
        <v>0</v>
      </c>
      <c r="W1780">
        <f t="shared" si="475"/>
        <v>0</v>
      </c>
      <c r="X1780">
        <f t="shared" si="476"/>
        <v>0</v>
      </c>
      <c r="Y1780">
        <f t="shared" si="477"/>
        <v>0</v>
      </c>
    </row>
    <row r="1781" spans="1:25" hidden="1">
      <c r="A1781" t="str">
        <f t="shared" si="480"/>
        <v>Sultanov 1972</v>
      </c>
      <c r="D1781">
        <v>0.215</v>
      </c>
      <c r="E1781">
        <v>8.3000000000000004E-2</v>
      </c>
      <c r="H1781">
        <f t="shared" si="483"/>
        <v>628.20000000000005</v>
      </c>
      <c r="I1781">
        <v>49.03</v>
      </c>
      <c r="J1781">
        <v>0</v>
      </c>
      <c r="K1781">
        <f t="shared" si="481"/>
        <v>0.78500000000000003</v>
      </c>
      <c r="P1781">
        <f t="shared" si="479"/>
        <v>8.3000000000000004E-2</v>
      </c>
      <c r="S1781">
        <f t="shared" si="471"/>
        <v>1</v>
      </c>
      <c r="T1781">
        <f t="shared" si="472"/>
        <v>0</v>
      </c>
      <c r="U1781">
        <f t="shared" si="473"/>
        <v>0</v>
      </c>
      <c r="V1781">
        <f t="shared" si="474"/>
        <v>0</v>
      </c>
      <c r="W1781">
        <f t="shared" si="475"/>
        <v>0</v>
      </c>
      <c r="X1781">
        <f t="shared" si="476"/>
        <v>0</v>
      </c>
      <c r="Y1781">
        <f t="shared" si="477"/>
        <v>0</v>
      </c>
    </row>
    <row r="1782" spans="1:25" hidden="1">
      <c r="A1782" t="str">
        <f t="shared" si="480"/>
        <v>Sultanov 1972</v>
      </c>
      <c r="D1782">
        <v>0.214</v>
      </c>
      <c r="E1782">
        <v>0.12</v>
      </c>
      <c r="H1782">
        <f t="shared" si="483"/>
        <v>628.20000000000005</v>
      </c>
      <c r="I1782">
        <v>58.84</v>
      </c>
      <c r="J1782">
        <v>0</v>
      </c>
      <c r="K1782">
        <f t="shared" si="481"/>
        <v>0.78600000000000003</v>
      </c>
      <c r="P1782">
        <f t="shared" si="479"/>
        <v>0.12</v>
      </c>
      <c r="S1782">
        <f t="shared" si="471"/>
        <v>1</v>
      </c>
      <c r="T1782">
        <f t="shared" si="472"/>
        <v>0</v>
      </c>
      <c r="U1782">
        <f t="shared" si="473"/>
        <v>0</v>
      </c>
      <c r="V1782">
        <f t="shared" si="474"/>
        <v>0</v>
      </c>
      <c r="W1782">
        <f t="shared" si="475"/>
        <v>0</v>
      </c>
      <c r="X1782">
        <f t="shared" si="476"/>
        <v>0</v>
      </c>
      <c r="Y1782">
        <f t="shared" si="477"/>
        <v>0</v>
      </c>
    </row>
    <row r="1783" spans="1:25" hidden="1">
      <c r="A1783" t="str">
        <f t="shared" si="480"/>
        <v>Sultanov 1972</v>
      </c>
      <c r="D1783">
        <v>0.20399999999999999</v>
      </c>
      <c r="E1783">
        <v>0.14299999999999999</v>
      </c>
      <c r="H1783">
        <f t="shared" si="483"/>
        <v>628.20000000000005</v>
      </c>
      <c r="I1783">
        <v>63.74</v>
      </c>
      <c r="J1783">
        <v>0</v>
      </c>
      <c r="K1783">
        <f t="shared" si="481"/>
        <v>0.79600000000000004</v>
      </c>
      <c r="P1783">
        <f t="shared" si="479"/>
        <v>0.14299999999999999</v>
      </c>
      <c r="S1783">
        <f t="shared" si="471"/>
        <v>1</v>
      </c>
      <c r="T1783">
        <f t="shared" si="472"/>
        <v>0</v>
      </c>
      <c r="U1783">
        <f t="shared" si="473"/>
        <v>0</v>
      </c>
      <c r="V1783">
        <f t="shared" si="474"/>
        <v>0</v>
      </c>
      <c r="W1783">
        <f t="shared" si="475"/>
        <v>0</v>
      </c>
      <c r="X1783">
        <f t="shared" si="476"/>
        <v>0</v>
      </c>
      <c r="Y1783">
        <f t="shared" si="477"/>
        <v>0</v>
      </c>
    </row>
    <row r="1784" spans="1:25" hidden="1">
      <c r="A1784" t="str">
        <f t="shared" si="480"/>
        <v>Sultanov 1972</v>
      </c>
      <c r="D1784">
        <v>0.17199999999999999</v>
      </c>
      <c r="E1784">
        <v>0.17199999999999999</v>
      </c>
      <c r="H1784">
        <f t="shared" si="483"/>
        <v>628.20000000000005</v>
      </c>
      <c r="I1784">
        <v>66.69</v>
      </c>
      <c r="J1784">
        <v>0</v>
      </c>
      <c r="K1784">
        <f t="shared" si="481"/>
        <v>0.82800000000000007</v>
      </c>
      <c r="P1784">
        <f t="shared" si="479"/>
        <v>0.17199999999999999</v>
      </c>
      <c r="S1784">
        <f t="shared" si="471"/>
        <v>1</v>
      </c>
      <c r="T1784">
        <f t="shared" si="472"/>
        <v>0</v>
      </c>
      <c r="U1784">
        <f t="shared" si="473"/>
        <v>0</v>
      </c>
      <c r="V1784">
        <f t="shared" si="474"/>
        <v>0</v>
      </c>
      <c r="W1784">
        <f t="shared" si="475"/>
        <v>0</v>
      </c>
      <c r="X1784">
        <f t="shared" si="476"/>
        <v>0</v>
      </c>
      <c r="Y1784">
        <f t="shared" si="477"/>
        <v>0</v>
      </c>
    </row>
    <row r="1785" spans="1:25" hidden="1">
      <c r="A1785" t="str">
        <f t="shared" si="480"/>
        <v>Sultanov 1972</v>
      </c>
      <c r="D1785">
        <v>8.2000000000000003E-2</v>
      </c>
      <c r="E1785">
        <v>1.6E-2</v>
      </c>
      <c r="H1785">
        <v>633.20000000000005</v>
      </c>
      <c r="I1785">
        <v>24.52</v>
      </c>
      <c r="J1785">
        <v>0</v>
      </c>
      <c r="K1785">
        <f t="shared" si="481"/>
        <v>0.91800000000000004</v>
      </c>
      <c r="P1785">
        <f t="shared" si="479"/>
        <v>1.6E-2</v>
      </c>
      <c r="S1785">
        <f t="shared" si="471"/>
        <v>1</v>
      </c>
      <c r="T1785">
        <f t="shared" si="472"/>
        <v>0</v>
      </c>
      <c r="U1785">
        <f t="shared" si="473"/>
        <v>0</v>
      </c>
      <c r="V1785">
        <f t="shared" si="474"/>
        <v>0</v>
      </c>
      <c r="W1785">
        <f t="shared" si="475"/>
        <v>0</v>
      </c>
      <c r="X1785">
        <f t="shared" si="476"/>
        <v>0</v>
      </c>
      <c r="Y1785">
        <f t="shared" si="477"/>
        <v>0</v>
      </c>
    </row>
    <row r="1786" spans="1:25" hidden="1">
      <c r="A1786" t="str">
        <f t="shared" si="480"/>
        <v>Sultanov 1972</v>
      </c>
      <c r="D1786">
        <v>0.11899999999999999</v>
      </c>
      <c r="E1786">
        <v>2.5999999999999999E-2</v>
      </c>
      <c r="H1786">
        <v>633.20000000000005</v>
      </c>
      <c r="I1786">
        <v>29.42</v>
      </c>
      <c r="J1786">
        <v>0</v>
      </c>
      <c r="K1786">
        <f t="shared" si="481"/>
        <v>0.88100000000000001</v>
      </c>
      <c r="P1786">
        <f t="shared" si="479"/>
        <v>2.5999999999999999E-2</v>
      </c>
      <c r="S1786">
        <f t="shared" si="471"/>
        <v>1</v>
      </c>
      <c r="T1786">
        <f t="shared" si="472"/>
        <v>0</v>
      </c>
      <c r="U1786">
        <f t="shared" si="473"/>
        <v>0</v>
      </c>
      <c r="V1786">
        <f t="shared" si="474"/>
        <v>0</v>
      </c>
      <c r="W1786">
        <f t="shared" si="475"/>
        <v>0</v>
      </c>
      <c r="X1786">
        <f t="shared" si="476"/>
        <v>0</v>
      </c>
      <c r="Y1786">
        <f t="shared" si="477"/>
        <v>0</v>
      </c>
    </row>
    <row r="1787" spans="1:25" hidden="1">
      <c r="A1787" t="str">
        <f t="shared" si="480"/>
        <v>Sultanov 1972</v>
      </c>
      <c r="D1787">
        <v>0.159</v>
      </c>
      <c r="E1787">
        <v>0.05</v>
      </c>
      <c r="H1787">
        <v>633.20000000000005</v>
      </c>
      <c r="I1787">
        <v>39.229999999999997</v>
      </c>
      <c r="J1787">
        <v>0</v>
      </c>
      <c r="K1787">
        <f t="shared" si="481"/>
        <v>0.84099999999999997</v>
      </c>
      <c r="P1787">
        <f t="shared" si="479"/>
        <v>0.05</v>
      </c>
      <c r="S1787">
        <f t="shared" si="471"/>
        <v>1</v>
      </c>
      <c r="T1787">
        <f t="shared" si="472"/>
        <v>0</v>
      </c>
      <c r="U1787">
        <f t="shared" si="473"/>
        <v>0</v>
      </c>
      <c r="V1787">
        <f t="shared" si="474"/>
        <v>0</v>
      </c>
      <c r="W1787">
        <f t="shared" si="475"/>
        <v>0</v>
      </c>
      <c r="X1787">
        <f t="shared" si="476"/>
        <v>0</v>
      </c>
      <c r="Y1787">
        <f t="shared" si="477"/>
        <v>0</v>
      </c>
    </row>
    <row r="1788" spans="1:25" hidden="1">
      <c r="A1788" t="str">
        <f t="shared" si="480"/>
        <v>Sultanov 1972</v>
      </c>
      <c r="D1788">
        <v>0.17100000000000001</v>
      </c>
      <c r="E1788">
        <v>7.0000000000000007E-2</v>
      </c>
      <c r="H1788">
        <v>633.20000000000005</v>
      </c>
      <c r="I1788">
        <v>49.03</v>
      </c>
      <c r="J1788">
        <v>0</v>
      </c>
      <c r="K1788">
        <f t="shared" si="481"/>
        <v>0.82899999999999996</v>
      </c>
      <c r="P1788">
        <f t="shared" si="479"/>
        <v>7.0000000000000007E-2</v>
      </c>
      <c r="S1788">
        <f t="shared" si="471"/>
        <v>1</v>
      </c>
      <c r="T1788">
        <f t="shared" si="472"/>
        <v>0</v>
      </c>
      <c r="U1788">
        <f t="shared" si="473"/>
        <v>0</v>
      </c>
      <c r="V1788">
        <f t="shared" si="474"/>
        <v>0</v>
      </c>
      <c r="W1788">
        <f t="shared" si="475"/>
        <v>0</v>
      </c>
      <c r="X1788">
        <f t="shared" si="476"/>
        <v>0</v>
      </c>
      <c r="Y1788">
        <f t="shared" si="477"/>
        <v>0</v>
      </c>
    </row>
    <row r="1789" spans="1:25" hidden="1">
      <c r="A1789" t="str">
        <f t="shared" si="480"/>
        <v>Sultanov 1972</v>
      </c>
      <c r="D1789">
        <v>0.157</v>
      </c>
      <c r="E1789">
        <v>9.6000000000000002E-2</v>
      </c>
      <c r="H1789">
        <v>633.20000000000005</v>
      </c>
      <c r="I1789">
        <v>58.84</v>
      </c>
      <c r="J1789">
        <v>0</v>
      </c>
      <c r="K1789">
        <f t="shared" si="481"/>
        <v>0.84299999999999997</v>
      </c>
      <c r="P1789">
        <f t="shared" si="479"/>
        <v>9.6000000000000002E-2</v>
      </c>
      <c r="S1789">
        <f t="shared" si="471"/>
        <v>1</v>
      </c>
      <c r="T1789">
        <f t="shared" si="472"/>
        <v>0</v>
      </c>
      <c r="U1789">
        <f t="shared" si="473"/>
        <v>0</v>
      </c>
      <c r="V1789">
        <f t="shared" si="474"/>
        <v>0</v>
      </c>
      <c r="W1789">
        <f t="shared" si="475"/>
        <v>0</v>
      </c>
      <c r="X1789">
        <f t="shared" si="476"/>
        <v>0</v>
      </c>
      <c r="Y1789">
        <f t="shared" si="477"/>
        <v>0</v>
      </c>
    </row>
    <row r="1790" spans="1:25" hidden="1">
      <c r="A1790" t="str">
        <f t="shared" si="480"/>
        <v>Sultanov 1972</v>
      </c>
      <c r="D1790">
        <v>0.128</v>
      </c>
      <c r="E1790">
        <v>0.128</v>
      </c>
      <c r="H1790">
        <v>633.20000000000005</v>
      </c>
      <c r="I1790">
        <v>60.8</v>
      </c>
      <c r="J1790">
        <v>0</v>
      </c>
      <c r="K1790">
        <f t="shared" si="481"/>
        <v>0.872</v>
      </c>
      <c r="P1790">
        <f t="shared" si="479"/>
        <v>0.128</v>
      </c>
      <c r="S1790">
        <f t="shared" si="471"/>
        <v>1</v>
      </c>
      <c r="T1790">
        <f t="shared" si="472"/>
        <v>0</v>
      </c>
      <c r="U1790">
        <f t="shared" si="473"/>
        <v>0</v>
      </c>
      <c r="V1790">
        <f t="shared" si="474"/>
        <v>0</v>
      </c>
      <c r="W1790">
        <f t="shared" si="475"/>
        <v>0</v>
      </c>
      <c r="X1790">
        <f t="shared" si="476"/>
        <v>0</v>
      </c>
      <c r="Y1790">
        <f t="shared" si="477"/>
        <v>0</v>
      </c>
    </row>
    <row r="1791" spans="1:25" hidden="1">
      <c r="A1791" t="s">
        <v>54</v>
      </c>
      <c r="C1791">
        <v>350</v>
      </c>
      <c r="D1791">
        <v>200</v>
      </c>
      <c r="E1791" s="3">
        <v>1.4999999999999999E-2</v>
      </c>
      <c r="F1791" s="3">
        <v>0.09</v>
      </c>
      <c r="H1791">
        <f t="shared" ref="H1791:H1822" si="484">273.15+C1791</f>
        <v>623.15</v>
      </c>
      <c r="I1791">
        <f t="shared" ref="I1791:I1822" si="485">D1791</f>
        <v>200</v>
      </c>
      <c r="J1791">
        <v>0</v>
      </c>
      <c r="K1791" s="3">
        <f t="shared" ref="K1791:K1822" si="486">1-F1791</f>
        <v>0.91</v>
      </c>
      <c r="L1791" s="3">
        <f t="shared" ref="L1791:L1822" si="487">E1791</f>
        <v>1.4999999999999999E-2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1:25" hidden="1">
      <c r="A1792" t="str">
        <f t="shared" ref="A1792:A1823" si="488">A1791</f>
        <v>Takenouchi &amp; Kennedy 1964</v>
      </c>
      <c r="C1792">
        <f>C1791</f>
        <v>350</v>
      </c>
      <c r="D1792">
        <v>250</v>
      </c>
      <c r="E1792" s="3">
        <v>0.04</v>
      </c>
      <c r="F1792" s="3">
        <v>0.16200000000000001</v>
      </c>
      <c r="H1792">
        <f t="shared" si="484"/>
        <v>623.15</v>
      </c>
      <c r="I1792">
        <f t="shared" si="485"/>
        <v>250</v>
      </c>
      <c r="J1792">
        <v>0</v>
      </c>
      <c r="K1792" s="3">
        <f t="shared" si="486"/>
        <v>0.83799999999999997</v>
      </c>
      <c r="L1792" s="3">
        <f t="shared" si="487"/>
        <v>0.04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 hidden="1">
      <c r="A1793" t="str">
        <f t="shared" si="488"/>
        <v>Takenouchi &amp; Kennedy 1964</v>
      </c>
      <c r="C1793">
        <f>C1792</f>
        <v>350</v>
      </c>
      <c r="D1793">
        <v>300</v>
      </c>
      <c r="E1793" s="3">
        <v>6.4000000000000001E-2</v>
      </c>
      <c r="F1793" s="3">
        <v>0.16600000000000001</v>
      </c>
      <c r="H1793">
        <f t="shared" si="484"/>
        <v>623.15</v>
      </c>
      <c r="I1793">
        <f t="shared" si="485"/>
        <v>300</v>
      </c>
      <c r="J1793">
        <v>0</v>
      </c>
      <c r="K1793" s="3">
        <f t="shared" si="486"/>
        <v>0.83399999999999996</v>
      </c>
      <c r="L1793" s="3">
        <f t="shared" si="487"/>
        <v>6.4000000000000001E-2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 hidden="1">
      <c r="A1794" t="str">
        <f t="shared" si="488"/>
        <v>Takenouchi &amp; Kennedy 1964</v>
      </c>
      <c r="C1794">
        <v>325</v>
      </c>
      <c r="D1794">
        <v>150</v>
      </c>
      <c r="E1794" s="3">
        <v>0.01</v>
      </c>
      <c r="F1794" s="3">
        <v>0.106</v>
      </c>
      <c r="H1794">
        <f t="shared" si="484"/>
        <v>598.15</v>
      </c>
      <c r="I1794">
        <f t="shared" si="485"/>
        <v>150</v>
      </c>
      <c r="J1794">
        <v>0</v>
      </c>
      <c r="K1794" s="3">
        <f t="shared" si="486"/>
        <v>0.89400000000000002</v>
      </c>
      <c r="L1794" s="3">
        <f t="shared" si="487"/>
        <v>0.01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 hidden="1">
      <c r="A1795" t="str">
        <f t="shared" si="488"/>
        <v>Takenouchi &amp; Kennedy 1964</v>
      </c>
      <c r="C1795">
        <f>C1794</f>
        <v>325</v>
      </c>
      <c r="D1795">
        <v>200</v>
      </c>
      <c r="E1795" s="3">
        <v>2.5999999999999999E-2</v>
      </c>
      <c r="F1795" s="3">
        <v>0.246</v>
      </c>
      <c r="H1795">
        <f t="shared" si="484"/>
        <v>598.15</v>
      </c>
      <c r="I1795">
        <f t="shared" si="485"/>
        <v>200</v>
      </c>
      <c r="J1795">
        <v>0</v>
      </c>
      <c r="K1795" s="3">
        <f t="shared" si="486"/>
        <v>0.754</v>
      </c>
      <c r="L1795" s="3">
        <f t="shared" si="487"/>
        <v>2.5999999999999999E-2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1:25" hidden="1">
      <c r="A1796" t="str">
        <f t="shared" si="488"/>
        <v>Takenouchi &amp; Kennedy 1964</v>
      </c>
      <c r="C1796">
        <f>C1795</f>
        <v>325</v>
      </c>
      <c r="D1796">
        <v>250</v>
      </c>
      <c r="E1796" s="3">
        <v>4.2999999999999997E-2</v>
      </c>
      <c r="F1796" s="3">
        <v>0.32100000000000001</v>
      </c>
      <c r="H1796">
        <f t="shared" si="484"/>
        <v>598.15</v>
      </c>
      <c r="I1796">
        <f t="shared" si="485"/>
        <v>250</v>
      </c>
      <c r="J1796">
        <v>0</v>
      </c>
      <c r="K1796" s="3">
        <f t="shared" si="486"/>
        <v>0.67900000000000005</v>
      </c>
      <c r="L1796" s="3">
        <f t="shared" si="487"/>
        <v>4.2999999999999997E-2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 hidden="1">
      <c r="A1797" t="str">
        <f t="shared" si="488"/>
        <v>Takenouchi &amp; Kennedy 1964</v>
      </c>
      <c r="C1797">
        <f>C1796</f>
        <v>325</v>
      </c>
      <c r="D1797">
        <v>300</v>
      </c>
      <c r="E1797" s="3">
        <v>6.0999999999999999E-2</v>
      </c>
      <c r="F1797" s="3">
        <v>0.34200000000000003</v>
      </c>
      <c r="H1797">
        <f t="shared" si="484"/>
        <v>598.15</v>
      </c>
      <c r="I1797">
        <f t="shared" si="485"/>
        <v>300</v>
      </c>
      <c r="J1797">
        <v>0</v>
      </c>
      <c r="K1797" s="3">
        <f t="shared" si="486"/>
        <v>0.65799999999999992</v>
      </c>
      <c r="L1797" s="3">
        <f t="shared" si="487"/>
        <v>6.0999999999999999E-2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 hidden="1">
      <c r="A1798" t="str">
        <f t="shared" si="488"/>
        <v>Takenouchi &amp; Kennedy 1964</v>
      </c>
      <c r="C1798">
        <f>C1797</f>
        <v>325</v>
      </c>
      <c r="D1798">
        <v>350</v>
      </c>
      <c r="E1798" s="3">
        <v>8.2000000000000003E-2</v>
      </c>
      <c r="F1798" s="3">
        <v>0.33400000000000002</v>
      </c>
      <c r="H1798">
        <f t="shared" si="484"/>
        <v>598.15</v>
      </c>
      <c r="I1798">
        <f t="shared" si="485"/>
        <v>350</v>
      </c>
      <c r="J1798">
        <v>0</v>
      </c>
      <c r="K1798" s="3">
        <f t="shared" si="486"/>
        <v>0.66599999999999993</v>
      </c>
      <c r="L1798" s="3">
        <f t="shared" si="487"/>
        <v>8.2000000000000003E-2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 hidden="1">
      <c r="A1799" t="str">
        <f t="shared" si="488"/>
        <v>Takenouchi &amp; Kennedy 1964</v>
      </c>
      <c r="C1799">
        <f>C1798</f>
        <v>325</v>
      </c>
      <c r="D1799">
        <v>400</v>
      </c>
      <c r="E1799" s="3">
        <v>0.112</v>
      </c>
      <c r="F1799" s="3">
        <v>0.28599999999999998</v>
      </c>
      <c r="H1799">
        <f t="shared" si="484"/>
        <v>598.15</v>
      </c>
      <c r="I1799">
        <f t="shared" si="485"/>
        <v>400</v>
      </c>
      <c r="J1799">
        <v>0</v>
      </c>
      <c r="K1799" s="3">
        <f t="shared" si="486"/>
        <v>0.71399999999999997</v>
      </c>
      <c r="L1799" s="3">
        <f t="shared" si="487"/>
        <v>0.112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1:25" hidden="1">
      <c r="A1800" t="str">
        <f t="shared" si="488"/>
        <v>Takenouchi &amp; Kennedy 1964</v>
      </c>
      <c r="C1800">
        <v>300</v>
      </c>
      <c r="D1800">
        <v>100</v>
      </c>
      <c r="E1800" s="3">
        <v>4.0000000000000001E-3</v>
      </c>
      <c r="F1800" s="3">
        <v>0.08</v>
      </c>
      <c r="H1800">
        <f t="shared" si="484"/>
        <v>573.15</v>
      </c>
      <c r="I1800">
        <f t="shared" si="485"/>
        <v>100</v>
      </c>
      <c r="J1800">
        <v>0</v>
      </c>
      <c r="K1800" s="3">
        <f t="shared" si="486"/>
        <v>0.92</v>
      </c>
      <c r="L1800" s="3">
        <f t="shared" si="487"/>
        <v>4.0000000000000001E-3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 hidden="1">
      <c r="A1801" t="str">
        <f t="shared" si="488"/>
        <v>Takenouchi &amp; Kennedy 1964</v>
      </c>
      <c r="C1801">
        <f t="shared" ref="C1801:C1809" si="489">C1800</f>
        <v>300</v>
      </c>
      <c r="D1801">
        <f t="shared" ref="D1801:D1808" si="490">D1800+50</f>
        <v>150</v>
      </c>
      <c r="E1801" s="3">
        <v>1.6E-2</v>
      </c>
      <c r="F1801" s="3">
        <v>0.28999999999999998</v>
      </c>
      <c r="H1801">
        <f t="shared" si="484"/>
        <v>573.15</v>
      </c>
      <c r="I1801">
        <f t="shared" si="485"/>
        <v>150</v>
      </c>
      <c r="J1801">
        <v>0</v>
      </c>
      <c r="K1801" s="3">
        <f t="shared" si="486"/>
        <v>0.71</v>
      </c>
      <c r="L1801" s="3">
        <f t="shared" si="487"/>
        <v>1.6E-2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5" hidden="1">
      <c r="A1802" t="str">
        <f t="shared" si="488"/>
        <v>Takenouchi &amp; Kennedy 1964</v>
      </c>
      <c r="C1802">
        <f t="shared" si="489"/>
        <v>300</v>
      </c>
      <c r="D1802">
        <f t="shared" si="490"/>
        <v>200</v>
      </c>
      <c r="E1802" s="3">
        <v>2.9000000000000001E-2</v>
      </c>
      <c r="F1802" s="3">
        <v>0.39</v>
      </c>
      <c r="H1802">
        <f t="shared" si="484"/>
        <v>573.15</v>
      </c>
      <c r="I1802">
        <f t="shared" si="485"/>
        <v>200</v>
      </c>
      <c r="J1802">
        <v>0</v>
      </c>
      <c r="K1802" s="3">
        <f t="shared" si="486"/>
        <v>0.61</v>
      </c>
      <c r="L1802" s="3">
        <f t="shared" si="487"/>
        <v>2.9000000000000001E-2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 hidden="1">
      <c r="A1803" t="str">
        <f t="shared" si="488"/>
        <v>Takenouchi &amp; Kennedy 1964</v>
      </c>
      <c r="C1803">
        <f t="shared" si="489"/>
        <v>300</v>
      </c>
      <c r="D1803">
        <f t="shared" si="490"/>
        <v>250</v>
      </c>
      <c r="E1803" s="3">
        <v>4.1000000000000002E-2</v>
      </c>
      <c r="F1803" s="3">
        <v>0.434</v>
      </c>
      <c r="H1803">
        <f t="shared" si="484"/>
        <v>573.15</v>
      </c>
      <c r="I1803">
        <f t="shared" si="485"/>
        <v>250</v>
      </c>
      <c r="J1803">
        <v>0</v>
      </c>
      <c r="K1803" s="3">
        <f t="shared" si="486"/>
        <v>0.56600000000000006</v>
      </c>
      <c r="L1803" s="3">
        <f t="shared" si="487"/>
        <v>4.1000000000000002E-2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 hidden="1">
      <c r="A1804" t="str">
        <f t="shared" si="488"/>
        <v>Takenouchi &amp; Kennedy 1964</v>
      </c>
      <c r="C1804">
        <f t="shared" si="489"/>
        <v>300</v>
      </c>
      <c r="D1804">
        <f t="shared" si="490"/>
        <v>300</v>
      </c>
      <c r="E1804" s="3">
        <v>5.3999999999999999E-2</v>
      </c>
      <c r="F1804" s="3">
        <v>0.45400000000000001</v>
      </c>
      <c r="H1804">
        <f t="shared" si="484"/>
        <v>573.15</v>
      </c>
      <c r="I1804">
        <f t="shared" si="485"/>
        <v>300</v>
      </c>
      <c r="J1804">
        <v>0</v>
      </c>
      <c r="K1804" s="3">
        <f t="shared" si="486"/>
        <v>0.54600000000000004</v>
      </c>
      <c r="L1804" s="3">
        <f t="shared" si="487"/>
        <v>5.3999999999999999E-2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 hidden="1">
      <c r="A1805" t="str">
        <f t="shared" si="488"/>
        <v>Takenouchi &amp; Kennedy 1964</v>
      </c>
      <c r="C1805">
        <f t="shared" si="489"/>
        <v>300</v>
      </c>
      <c r="D1805">
        <f t="shared" si="490"/>
        <v>350</v>
      </c>
      <c r="E1805" s="3">
        <v>6.8000000000000005E-2</v>
      </c>
      <c r="F1805" s="3">
        <v>0.45600000000000002</v>
      </c>
      <c r="H1805">
        <f t="shared" si="484"/>
        <v>573.15</v>
      </c>
      <c r="I1805">
        <f t="shared" si="485"/>
        <v>350</v>
      </c>
      <c r="J1805">
        <v>0</v>
      </c>
      <c r="K1805" s="3">
        <f t="shared" si="486"/>
        <v>0.54400000000000004</v>
      </c>
      <c r="L1805" s="3">
        <f t="shared" si="487"/>
        <v>6.8000000000000005E-2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1:25" hidden="1">
      <c r="A1806" t="str">
        <f t="shared" si="488"/>
        <v>Takenouchi &amp; Kennedy 1964</v>
      </c>
      <c r="C1806">
        <f t="shared" si="489"/>
        <v>300</v>
      </c>
      <c r="D1806">
        <f t="shared" si="490"/>
        <v>400</v>
      </c>
      <c r="E1806" s="3">
        <v>8.4000000000000005E-2</v>
      </c>
      <c r="F1806" s="3">
        <v>0.44800000000000001</v>
      </c>
      <c r="H1806">
        <f t="shared" si="484"/>
        <v>573.15</v>
      </c>
      <c r="I1806">
        <f t="shared" si="485"/>
        <v>400</v>
      </c>
      <c r="J1806">
        <v>0</v>
      </c>
      <c r="K1806" s="3">
        <f t="shared" si="486"/>
        <v>0.55200000000000005</v>
      </c>
      <c r="L1806" s="3">
        <f t="shared" si="487"/>
        <v>8.4000000000000005E-2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1:25" hidden="1">
      <c r="A1807" t="str">
        <f t="shared" si="488"/>
        <v>Takenouchi &amp; Kennedy 1964</v>
      </c>
      <c r="C1807">
        <f t="shared" si="489"/>
        <v>300</v>
      </c>
      <c r="D1807">
        <f t="shared" si="490"/>
        <v>450</v>
      </c>
      <c r="E1807" s="3">
        <v>0.104</v>
      </c>
      <c r="F1807" s="3">
        <v>0.42199999999999999</v>
      </c>
      <c r="H1807">
        <f t="shared" si="484"/>
        <v>573.15</v>
      </c>
      <c r="I1807">
        <f t="shared" si="485"/>
        <v>450</v>
      </c>
      <c r="J1807">
        <v>0</v>
      </c>
      <c r="K1807" s="3">
        <f t="shared" si="486"/>
        <v>0.57800000000000007</v>
      </c>
      <c r="L1807" s="3">
        <f t="shared" si="487"/>
        <v>0.104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1:25" hidden="1">
      <c r="A1808" t="str">
        <f t="shared" si="488"/>
        <v>Takenouchi &amp; Kennedy 1964</v>
      </c>
      <c r="C1808">
        <f t="shared" si="489"/>
        <v>300</v>
      </c>
      <c r="D1808">
        <f t="shared" si="490"/>
        <v>500</v>
      </c>
      <c r="E1808" s="3">
        <v>0.127</v>
      </c>
      <c r="F1808" s="3">
        <v>0.38</v>
      </c>
      <c r="H1808">
        <f t="shared" si="484"/>
        <v>573.15</v>
      </c>
      <c r="I1808">
        <f t="shared" si="485"/>
        <v>500</v>
      </c>
      <c r="J1808">
        <v>0</v>
      </c>
      <c r="K1808" s="3">
        <f t="shared" si="486"/>
        <v>0.62</v>
      </c>
      <c r="L1808" s="3">
        <f t="shared" si="487"/>
        <v>0.127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 spans="1:25" hidden="1">
      <c r="A1809" t="str">
        <f t="shared" si="488"/>
        <v>Takenouchi &amp; Kennedy 1964</v>
      </c>
      <c r="C1809">
        <f t="shared" si="489"/>
        <v>300</v>
      </c>
      <c r="D1809">
        <v>550</v>
      </c>
      <c r="E1809" s="3">
        <v>0.17</v>
      </c>
      <c r="F1809" s="3">
        <v>0.32</v>
      </c>
      <c r="H1809">
        <f t="shared" si="484"/>
        <v>573.15</v>
      </c>
      <c r="I1809">
        <f t="shared" si="485"/>
        <v>550</v>
      </c>
      <c r="J1809">
        <v>0</v>
      </c>
      <c r="K1809" s="3">
        <f t="shared" si="486"/>
        <v>0.67999999999999994</v>
      </c>
      <c r="L1809" s="3">
        <f t="shared" si="487"/>
        <v>0.17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 spans="1:25" hidden="1">
      <c r="A1810" t="str">
        <f t="shared" si="488"/>
        <v>Takenouchi &amp; Kennedy 1964</v>
      </c>
      <c r="C1810">
        <v>275</v>
      </c>
      <c r="D1810">
        <v>100</v>
      </c>
      <c r="E1810" s="3">
        <v>0.01</v>
      </c>
      <c r="F1810" s="3">
        <v>0.25600000000000001</v>
      </c>
      <c r="H1810">
        <f t="shared" si="484"/>
        <v>548.15</v>
      </c>
      <c r="I1810">
        <f t="shared" si="485"/>
        <v>100</v>
      </c>
      <c r="J1810">
        <v>0</v>
      </c>
      <c r="K1810" s="3">
        <f t="shared" si="486"/>
        <v>0.74399999999999999</v>
      </c>
      <c r="L1810" s="3">
        <f t="shared" si="487"/>
        <v>0.01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hidden="1">
      <c r="A1811" t="str">
        <f t="shared" si="488"/>
        <v>Takenouchi &amp; Kennedy 1964</v>
      </c>
      <c r="C1811">
        <f t="shared" ref="C1811:C1819" si="491">C1810</f>
        <v>275</v>
      </c>
      <c r="D1811">
        <f>D1810+50</f>
        <v>150</v>
      </c>
      <c r="E1811" s="3">
        <v>1.9E-2</v>
      </c>
      <c r="F1811" s="3">
        <v>0.42599999999999999</v>
      </c>
      <c r="H1811">
        <f t="shared" si="484"/>
        <v>548.15</v>
      </c>
      <c r="I1811">
        <f t="shared" si="485"/>
        <v>150</v>
      </c>
      <c r="J1811">
        <v>0</v>
      </c>
      <c r="K1811" s="3">
        <f t="shared" si="486"/>
        <v>0.57400000000000007</v>
      </c>
      <c r="L1811" s="3">
        <f t="shared" si="487"/>
        <v>1.9E-2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 hidden="1">
      <c r="A1812" t="str">
        <f t="shared" si="488"/>
        <v>Takenouchi &amp; Kennedy 1964</v>
      </c>
      <c r="C1812">
        <f t="shared" si="491"/>
        <v>275</v>
      </c>
      <c r="D1812">
        <f>D1811+50</f>
        <v>200</v>
      </c>
      <c r="E1812" s="3">
        <v>2.8000000000000001E-2</v>
      </c>
      <c r="F1812" s="3">
        <v>0.5</v>
      </c>
      <c r="H1812">
        <f t="shared" si="484"/>
        <v>548.15</v>
      </c>
      <c r="I1812">
        <f t="shared" si="485"/>
        <v>200</v>
      </c>
      <c r="J1812">
        <v>0</v>
      </c>
      <c r="K1812" s="3">
        <f t="shared" si="486"/>
        <v>0.5</v>
      </c>
      <c r="L1812" s="3">
        <f t="shared" si="487"/>
        <v>2.8000000000000001E-2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5" hidden="1">
      <c r="A1813" t="str">
        <f t="shared" si="488"/>
        <v>Takenouchi &amp; Kennedy 1964</v>
      </c>
      <c r="C1813">
        <f t="shared" si="491"/>
        <v>275</v>
      </c>
      <c r="D1813">
        <f>D1812+50</f>
        <v>250</v>
      </c>
      <c r="E1813" s="3">
        <v>3.7999999999999999E-2</v>
      </c>
      <c r="F1813" s="3">
        <v>0.54</v>
      </c>
      <c r="H1813">
        <f t="shared" si="484"/>
        <v>548.15</v>
      </c>
      <c r="I1813">
        <f t="shared" si="485"/>
        <v>250</v>
      </c>
      <c r="J1813">
        <v>0</v>
      </c>
      <c r="K1813" s="3">
        <f t="shared" si="486"/>
        <v>0.45999999999999996</v>
      </c>
      <c r="L1813" s="3">
        <f t="shared" si="487"/>
        <v>3.7999999999999999E-2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</row>
    <row r="1814" spans="1:25" hidden="1">
      <c r="A1814" t="str">
        <f t="shared" si="488"/>
        <v>Takenouchi &amp; Kennedy 1964</v>
      </c>
      <c r="C1814">
        <f t="shared" si="491"/>
        <v>275</v>
      </c>
      <c r="D1814">
        <f>D1813+50</f>
        <v>300</v>
      </c>
      <c r="E1814" s="3">
        <v>4.9000000000000002E-2</v>
      </c>
      <c r="F1814" s="3">
        <v>0.55800000000000005</v>
      </c>
      <c r="H1814">
        <f t="shared" si="484"/>
        <v>548.15</v>
      </c>
      <c r="I1814">
        <f t="shared" si="485"/>
        <v>300</v>
      </c>
      <c r="J1814">
        <v>0</v>
      </c>
      <c r="K1814" s="3">
        <f t="shared" si="486"/>
        <v>0.44199999999999995</v>
      </c>
      <c r="L1814" s="3">
        <f t="shared" si="487"/>
        <v>4.9000000000000002E-2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</row>
    <row r="1815" spans="1:25" hidden="1">
      <c r="A1815" t="str">
        <f t="shared" si="488"/>
        <v>Takenouchi &amp; Kennedy 1964</v>
      </c>
      <c r="C1815">
        <f t="shared" si="491"/>
        <v>275</v>
      </c>
      <c r="D1815">
        <v>400</v>
      </c>
      <c r="E1815" s="3">
        <v>7.1999999999999995E-2</v>
      </c>
      <c r="F1815" s="3">
        <v>0.55800000000000005</v>
      </c>
      <c r="H1815">
        <f t="shared" si="484"/>
        <v>548.15</v>
      </c>
      <c r="I1815">
        <f t="shared" si="485"/>
        <v>400</v>
      </c>
      <c r="J1815">
        <v>0</v>
      </c>
      <c r="K1815" s="3">
        <f t="shared" si="486"/>
        <v>0.44199999999999995</v>
      </c>
      <c r="L1815" s="3">
        <f t="shared" si="487"/>
        <v>7.1999999999999995E-2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 hidden="1">
      <c r="A1816" t="str">
        <f t="shared" si="488"/>
        <v>Takenouchi &amp; Kennedy 1964</v>
      </c>
      <c r="C1816">
        <f t="shared" si="491"/>
        <v>275</v>
      </c>
      <c r="D1816">
        <v>500</v>
      </c>
      <c r="E1816" s="3">
        <v>9.6000000000000002E-2</v>
      </c>
      <c r="F1816" s="3">
        <v>0.53</v>
      </c>
      <c r="H1816">
        <f t="shared" si="484"/>
        <v>548.15</v>
      </c>
      <c r="I1816">
        <f t="shared" si="485"/>
        <v>500</v>
      </c>
      <c r="J1816">
        <v>0</v>
      </c>
      <c r="K1816" s="3">
        <f t="shared" si="486"/>
        <v>0.47</v>
      </c>
      <c r="L1816" s="3">
        <f t="shared" si="487"/>
        <v>9.6000000000000002E-2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 hidden="1">
      <c r="A1817" t="str">
        <f t="shared" si="488"/>
        <v>Takenouchi &amp; Kennedy 1964</v>
      </c>
      <c r="C1817">
        <f t="shared" si="491"/>
        <v>275</v>
      </c>
      <c r="D1817">
        <v>600</v>
      </c>
      <c r="E1817" s="3">
        <v>0.12</v>
      </c>
      <c r="F1817" s="3">
        <v>0.496</v>
      </c>
      <c r="H1817">
        <f t="shared" si="484"/>
        <v>548.15</v>
      </c>
      <c r="I1817">
        <f t="shared" si="485"/>
        <v>600</v>
      </c>
      <c r="J1817">
        <v>0</v>
      </c>
      <c r="K1817" s="3">
        <f t="shared" si="486"/>
        <v>0.504</v>
      </c>
      <c r="L1817" s="3">
        <f t="shared" si="487"/>
        <v>0.12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 hidden="1">
      <c r="A1818" t="str">
        <f t="shared" si="488"/>
        <v>Takenouchi &amp; Kennedy 1964</v>
      </c>
      <c r="C1818">
        <f t="shared" si="491"/>
        <v>275</v>
      </c>
      <c r="D1818">
        <v>700</v>
      </c>
      <c r="E1818" s="3">
        <v>0.14399999999999999</v>
      </c>
      <c r="F1818" s="3">
        <v>0.46</v>
      </c>
      <c r="H1818">
        <f t="shared" si="484"/>
        <v>548.15</v>
      </c>
      <c r="I1818">
        <f t="shared" si="485"/>
        <v>700</v>
      </c>
      <c r="J1818">
        <v>0</v>
      </c>
      <c r="K1818" s="3">
        <f t="shared" si="486"/>
        <v>0.54</v>
      </c>
      <c r="L1818" s="3">
        <f t="shared" si="487"/>
        <v>0.14399999999999999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 hidden="1">
      <c r="A1819" t="str">
        <f t="shared" si="488"/>
        <v>Takenouchi &amp; Kennedy 1964</v>
      </c>
      <c r="C1819">
        <f t="shared" si="491"/>
        <v>275</v>
      </c>
      <c r="D1819">
        <v>800</v>
      </c>
      <c r="E1819" s="3">
        <v>0.17499999999999999</v>
      </c>
      <c r="F1819" s="3">
        <v>0.42</v>
      </c>
      <c r="H1819">
        <f t="shared" si="484"/>
        <v>548.15</v>
      </c>
      <c r="I1819">
        <f t="shared" si="485"/>
        <v>800</v>
      </c>
      <c r="J1819">
        <v>0</v>
      </c>
      <c r="K1819" s="3">
        <f t="shared" si="486"/>
        <v>0.58000000000000007</v>
      </c>
      <c r="L1819" s="3">
        <f t="shared" si="487"/>
        <v>0.17499999999999999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 hidden="1">
      <c r="A1820" t="str">
        <f t="shared" si="488"/>
        <v>Takenouchi &amp; Kennedy 1964</v>
      </c>
      <c r="C1820">
        <v>270</v>
      </c>
      <c r="D1820">
        <v>200</v>
      </c>
      <c r="E1820" s="3">
        <v>2.7E-2</v>
      </c>
      <c r="F1820" s="3">
        <v>0.53</v>
      </c>
      <c r="H1820">
        <f t="shared" si="484"/>
        <v>543.15</v>
      </c>
      <c r="I1820">
        <f t="shared" si="485"/>
        <v>200</v>
      </c>
      <c r="J1820">
        <v>0</v>
      </c>
      <c r="K1820" s="3">
        <f t="shared" si="486"/>
        <v>0.47</v>
      </c>
      <c r="L1820" s="3">
        <f t="shared" si="487"/>
        <v>2.7E-2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 hidden="1">
      <c r="A1821" t="str">
        <f t="shared" si="488"/>
        <v>Takenouchi &amp; Kennedy 1964</v>
      </c>
      <c r="C1821">
        <v>270</v>
      </c>
      <c r="D1821">
        <v>250</v>
      </c>
      <c r="E1821" s="3">
        <v>3.5999999999999997E-2</v>
      </c>
      <c r="F1821" s="3">
        <v>0.56999999999999995</v>
      </c>
      <c r="H1821">
        <f t="shared" si="484"/>
        <v>543.15</v>
      </c>
      <c r="I1821">
        <f t="shared" si="485"/>
        <v>250</v>
      </c>
      <c r="J1821">
        <v>0</v>
      </c>
      <c r="K1821" s="3">
        <f t="shared" si="486"/>
        <v>0.43000000000000005</v>
      </c>
      <c r="L1821" s="3">
        <f t="shared" si="487"/>
        <v>3.5999999999999997E-2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 hidden="1">
      <c r="A1822" t="str">
        <f t="shared" si="488"/>
        <v>Takenouchi &amp; Kennedy 1964</v>
      </c>
      <c r="C1822">
        <v>270</v>
      </c>
      <c r="D1822">
        <v>300</v>
      </c>
      <c r="E1822" s="3">
        <v>4.5999999999999999E-2</v>
      </c>
      <c r="F1822" s="3">
        <v>0.59</v>
      </c>
      <c r="H1822">
        <f t="shared" si="484"/>
        <v>543.15</v>
      </c>
      <c r="I1822">
        <f t="shared" si="485"/>
        <v>300</v>
      </c>
      <c r="J1822">
        <v>0</v>
      </c>
      <c r="K1822" s="3">
        <f t="shared" si="486"/>
        <v>0.41000000000000003</v>
      </c>
      <c r="L1822" s="3">
        <f t="shared" si="487"/>
        <v>4.5999999999999999E-2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1:25" hidden="1">
      <c r="A1823" t="str">
        <f t="shared" si="488"/>
        <v>Takenouchi &amp; Kennedy 1964</v>
      </c>
      <c r="C1823">
        <v>270</v>
      </c>
      <c r="D1823">
        <v>400</v>
      </c>
      <c r="E1823" s="3">
        <v>6.7000000000000004E-2</v>
      </c>
      <c r="F1823" s="3">
        <v>0.59</v>
      </c>
      <c r="H1823">
        <f t="shared" ref="H1823:H1854" si="492">273.15+C1823</f>
        <v>543.15</v>
      </c>
      <c r="I1823">
        <f t="shared" ref="I1823:I1854" si="493">D1823</f>
        <v>400</v>
      </c>
      <c r="J1823">
        <v>0</v>
      </c>
      <c r="K1823" s="3">
        <f t="shared" ref="K1823:K1854" si="494">1-F1823</f>
        <v>0.41000000000000003</v>
      </c>
      <c r="L1823" s="3">
        <f t="shared" ref="L1823:L1854" si="495">E1823</f>
        <v>6.7000000000000004E-2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 hidden="1">
      <c r="A1824" t="str">
        <f t="shared" ref="A1824:A1855" si="496">A1823</f>
        <v>Takenouchi &amp; Kennedy 1964</v>
      </c>
      <c r="C1824">
        <v>270</v>
      </c>
      <c r="D1824">
        <v>500</v>
      </c>
      <c r="E1824" s="3">
        <v>8.6999999999999994E-2</v>
      </c>
      <c r="F1824" s="3">
        <v>0.56999999999999995</v>
      </c>
      <c r="H1824">
        <f t="shared" si="492"/>
        <v>543.15</v>
      </c>
      <c r="I1824">
        <f t="shared" si="493"/>
        <v>500</v>
      </c>
      <c r="J1824">
        <v>0</v>
      </c>
      <c r="K1824" s="3">
        <f t="shared" si="494"/>
        <v>0.43000000000000005</v>
      </c>
      <c r="L1824" s="3">
        <f t="shared" si="495"/>
        <v>8.6999999999999994E-2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 hidden="1">
      <c r="A1825" t="str">
        <f t="shared" si="496"/>
        <v>Takenouchi &amp; Kennedy 1964</v>
      </c>
      <c r="C1825">
        <v>270</v>
      </c>
      <c r="D1825">
        <v>600</v>
      </c>
      <c r="E1825" s="3">
        <v>0.106</v>
      </c>
      <c r="F1825" s="3">
        <v>0.54600000000000004</v>
      </c>
      <c r="H1825">
        <f t="shared" si="492"/>
        <v>543.15</v>
      </c>
      <c r="I1825">
        <f t="shared" si="493"/>
        <v>600</v>
      </c>
      <c r="J1825">
        <v>0</v>
      </c>
      <c r="K1825" s="3">
        <f t="shared" si="494"/>
        <v>0.45399999999999996</v>
      </c>
      <c r="L1825" s="3">
        <f t="shared" si="495"/>
        <v>0.106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 hidden="1">
      <c r="A1826" t="str">
        <f t="shared" si="496"/>
        <v>Takenouchi &amp; Kennedy 1964</v>
      </c>
      <c r="C1826">
        <v>270</v>
      </c>
      <c r="D1826">
        <v>700</v>
      </c>
      <c r="E1826" s="3">
        <v>0.125</v>
      </c>
      <c r="F1826" s="3">
        <v>0.52</v>
      </c>
      <c r="H1826">
        <f t="shared" si="492"/>
        <v>543.15</v>
      </c>
      <c r="I1826">
        <f t="shared" si="493"/>
        <v>700</v>
      </c>
      <c r="J1826">
        <v>0</v>
      </c>
      <c r="K1826" s="3">
        <f t="shared" si="494"/>
        <v>0.48</v>
      </c>
      <c r="L1826" s="3">
        <f t="shared" si="495"/>
        <v>0.125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 hidden="1">
      <c r="A1827" t="str">
        <f t="shared" si="496"/>
        <v>Takenouchi &amp; Kennedy 1964</v>
      </c>
      <c r="C1827">
        <v>270</v>
      </c>
      <c r="D1827">
        <v>800</v>
      </c>
      <c r="E1827" s="3">
        <v>0.14499999999999999</v>
      </c>
      <c r="F1827" s="3">
        <v>0.496</v>
      </c>
      <c r="H1827">
        <f t="shared" si="492"/>
        <v>543.15</v>
      </c>
      <c r="I1827">
        <f t="shared" si="493"/>
        <v>800</v>
      </c>
      <c r="J1827">
        <v>0</v>
      </c>
      <c r="K1827" s="3">
        <f t="shared" si="494"/>
        <v>0.504</v>
      </c>
      <c r="L1827" s="3">
        <f t="shared" si="495"/>
        <v>0.14499999999999999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 hidden="1">
      <c r="A1828" t="str">
        <f t="shared" si="496"/>
        <v>Takenouchi &amp; Kennedy 1964</v>
      </c>
      <c r="C1828">
        <v>270</v>
      </c>
      <c r="D1828">
        <v>900</v>
      </c>
      <c r="E1828" s="3">
        <v>0.16600000000000001</v>
      </c>
      <c r="F1828" s="3">
        <v>0.46200000000000002</v>
      </c>
      <c r="H1828">
        <f t="shared" si="492"/>
        <v>543.15</v>
      </c>
      <c r="I1828">
        <f t="shared" si="493"/>
        <v>900</v>
      </c>
      <c r="J1828">
        <v>0</v>
      </c>
      <c r="K1828" s="3">
        <f t="shared" si="494"/>
        <v>0.53800000000000003</v>
      </c>
      <c r="L1828" s="3">
        <f t="shared" si="495"/>
        <v>0.16600000000000001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 hidden="1">
      <c r="A1829" t="str">
        <f t="shared" si="496"/>
        <v>Takenouchi &amp; Kennedy 1964</v>
      </c>
      <c r="C1829">
        <v>270</v>
      </c>
      <c r="D1829">
        <v>1000</v>
      </c>
      <c r="E1829" s="3">
        <v>0.19</v>
      </c>
      <c r="F1829" s="3">
        <v>0.42399999999999999</v>
      </c>
      <c r="H1829">
        <f t="shared" si="492"/>
        <v>543.15</v>
      </c>
      <c r="I1829">
        <f t="shared" si="493"/>
        <v>1000</v>
      </c>
      <c r="J1829">
        <v>0</v>
      </c>
      <c r="K1829" s="3">
        <f t="shared" si="494"/>
        <v>0.57600000000000007</v>
      </c>
      <c r="L1829" s="3">
        <f t="shared" si="495"/>
        <v>0.19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hidden="1">
      <c r="A1830" t="str">
        <f t="shared" si="496"/>
        <v>Takenouchi &amp; Kennedy 1964</v>
      </c>
      <c r="C1830">
        <v>270</v>
      </c>
      <c r="D1830">
        <v>1100</v>
      </c>
      <c r="E1830" s="3">
        <v>0.215</v>
      </c>
      <c r="F1830" s="3">
        <v>0.38200000000000001</v>
      </c>
      <c r="H1830">
        <f t="shared" si="492"/>
        <v>543.15</v>
      </c>
      <c r="I1830">
        <f t="shared" si="493"/>
        <v>1100</v>
      </c>
      <c r="J1830">
        <v>0</v>
      </c>
      <c r="K1830" s="3">
        <f t="shared" si="494"/>
        <v>0.61799999999999999</v>
      </c>
      <c r="L1830" s="3">
        <f t="shared" si="495"/>
        <v>0.215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hidden="1">
      <c r="A1831" t="str">
        <f t="shared" si="496"/>
        <v>Takenouchi &amp; Kennedy 1964</v>
      </c>
      <c r="C1831">
        <v>270</v>
      </c>
      <c r="D1831">
        <v>1200</v>
      </c>
      <c r="E1831" s="3">
        <v>0.25</v>
      </c>
      <c r="F1831" s="3">
        <v>0.34</v>
      </c>
      <c r="H1831">
        <f t="shared" si="492"/>
        <v>543.15</v>
      </c>
      <c r="I1831">
        <f t="shared" si="493"/>
        <v>1200</v>
      </c>
      <c r="J1831">
        <v>0</v>
      </c>
      <c r="K1831" s="3">
        <f t="shared" si="494"/>
        <v>0.65999999999999992</v>
      </c>
      <c r="L1831" s="3">
        <f t="shared" si="495"/>
        <v>0.25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 hidden="1">
      <c r="A1832" t="str">
        <f t="shared" si="496"/>
        <v>Takenouchi &amp; Kennedy 1964</v>
      </c>
      <c r="C1832">
        <v>260</v>
      </c>
      <c r="D1832">
        <v>200</v>
      </c>
      <c r="E1832" s="3">
        <v>2.7E-2</v>
      </c>
      <c r="F1832" s="3">
        <v>0.57199999999999995</v>
      </c>
      <c r="H1832">
        <f t="shared" si="492"/>
        <v>533.15</v>
      </c>
      <c r="I1832">
        <f t="shared" si="493"/>
        <v>200</v>
      </c>
      <c r="J1832">
        <v>0</v>
      </c>
      <c r="K1832" s="3">
        <f t="shared" si="494"/>
        <v>0.42800000000000005</v>
      </c>
      <c r="L1832" s="3">
        <f t="shared" si="495"/>
        <v>2.7E-2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</row>
    <row r="1833" spans="1:25" hidden="1">
      <c r="A1833" t="str">
        <f t="shared" si="496"/>
        <v>Takenouchi &amp; Kennedy 1964</v>
      </c>
      <c r="C1833">
        <v>260</v>
      </c>
      <c r="D1833">
        <v>250</v>
      </c>
      <c r="E1833" s="3">
        <v>3.5000000000000003E-2</v>
      </c>
      <c r="F1833" s="3">
        <v>0.62</v>
      </c>
      <c r="H1833">
        <f t="shared" si="492"/>
        <v>533.15</v>
      </c>
      <c r="I1833">
        <f t="shared" si="493"/>
        <v>250</v>
      </c>
      <c r="J1833">
        <v>0</v>
      </c>
      <c r="K1833" s="3">
        <f t="shared" si="494"/>
        <v>0.38</v>
      </c>
      <c r="L1833" s="3">
        <f t="shared" si="495"/>
        <v>3.5000000000000003E-2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</row>
    <row r="1834" spans="1:25" hidden="1">
      <c r="A1834" t="str">
        <f t="shared" si="496"/>
        <v>Takenouchi &amp; Kennedy 1964</v>
      </c>
      <c r="C1834">
        <v>260</v>
      </c>
      <c r="D1834">
        <v>300</v>
      </c>
      <c r="E1834" s="3">
        <v>4.3999999999999997E-2</v>
      </c>
      <c r="F1834" s="3">
        <v>0.64</v>
      </c>
      <c r="H1834">
        <f t="shared" si="492"/>
        <v>533.15</v>
      </c>
      <c r="I1834">
        <f t="shared" si="493"/>
        <v>300</v>
      </c>
      <c r="J1834">
        <v>0</v>
      </c>
      <c r="K1834" s="3">
        <f t="shared" si="494"/>
        <v>0.36</v>
      </c>
      <c r="L1834" s="3">
        <f t="shared" si="495"/>
        <v>4.3999999999999997E-2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 hidden="1">
      <c r="A1835" t="str">
        <f t="shared" si="496"/>
        <v>Takenouchi &amp; Kennedy 1964</v>
      </c>
      <c r="C1835">
        <v>260</v>
      </c>
      <c r="D1835">
        <v>400</v>
      </c>
      <c r="E1835" s="3">
        <v>5.8999999999999997E-2</v>
      </c>
      <c r="F1835" s="3">
        <v>0.64200000000000002</v>
      </c>
      <c r="H1835">
        <f t="shared" si="492"/>
        <v>533.15</v>
      </c>
      <c r="I1835">
        <f t="shared" si="493"/>
        <v>400</v>
      </c>
      <c r="J1835">
        <v>0</v>
      </c>
      <c r="K1835" s="3">
        <f t="shared" si="494"/>
        <v>0.35799999999999998</v>
      </c>
      <c r="L1835" s="3">
        <f t="shared" si="495"/>
        <v>5.8999999999999997E-2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 hidden="1">
      <c r="A1836" t="str">
        <f t="shared" si="496"/>
        <v>Takenouchi &amp; Kennedy 1964</v>
      </c>
      <c r="C1836">
        <v>260</v>
      </c>
      <c r="D1836">
        <v>500</v>
      </c>
      <c r="E1836" s="3">
        <v>7.2999999999999995E-2</v>
      </c>
      <c r="F1836" s="3">
        <v>0.624</v>
      </c>
      <c r="H1836">
        <f t="shared" si="492"/>
        <v>533.15</v>
      </c>
      <c r="I1836">
        <f t="shared" si="493"/>
        <v>500</v>
      </c>
      <c r="J1836">
        <v>0</v>
      </c>
      <c r="K1836" s="3">
        <f t="shared" si="494"/>
        <v>0.376</v>
      </c>
      <c r="L1836" s="3">
        <f t="shared" si="495"/>
        <v>7.2999999999999995E-2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 hidden="1">
      <c r="A1837" t="str">
        <f t="shared" si="496"/>
        <v>Takenouchi &amp; Kennedy 1964</v>
      </c>
      <c r="C1837">
        <v>260</v>
      </c>
      <c r="D1837">
        <v>600</v>
      </c>
      <c r="E1837" s="3">
        <v>8.6999999999999994E-2</v>
      </c>
      <c r="F1837" s="3">
        <v>0.60399999999999998</v>
      </c>
      <c r="H1837">
        <f t="shared" si="492"/>
        <v>533.15</v>
      </c>
      <c r="I1837">
        <f t="shared" si="493"/>
        <v>600</v>
      </c>
      <c r="J1837">
        <v>0</v>
      </c>
      <c r="K1837" s="3">
        <f t="shared" si="494"/>
        <v>0.39600000000000002</v>
      </c>
      <c r="L1837" s="3">
        <f t="shared" si="495"/>
        <v>8.6999999999999994E-2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5" hidden="1">
      <c r="A1838" t="str">
        <f t="shared" si="496"/>
        <v>Takenouchi &amp; Kennedy 1964</v>
      </c>
      <c r="C1838">
        <v>260</v>
      </c>
      <c r="D1838">
        <v>700</v>
      </c>
      <c r="E1838" s="3">
        <v>0.1</v>
      </c>
      <c r="F1838" s="3">
        <v>0.57999999999999996</v>
      </c>
      <c r="H1838">
        <f t="shared" si="492"/>
        <v>533.15</v>
      </c>
      <c r="I1838">
        <f t="shared" si="493"/>
        <v>700</v>
      </c>
      <c r="J1838">
        <v>0</v>
      </c>
      <c r="K1838" s="3">
        <f t="shared" si="494"/>
        <v>0.42000000000000004</v>
      </c>
      <c r="L1838" s="3">
        <f t="shared" si="495"/>
        <v>0.1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</row>
    <row r="1839" spans="1:25" hidden="1">
      <c r="A1839" t="str">
        <f t="shared" si="496"/>
        <v>Takenouchi &amp; Kennedy 1964</v>
      </c>
      <c r="C1839">
        <v>260</v>
      </c>
      <c r="D1839">
        <v>800</v>
      </c>
      <c r="E1839" s="3">
        <v>0.113</v>
      </c>
      <c r="F1839" s="3">
        <v>0.56000000000000005</v>
      </c>
      <c r="H1839">
        <f t="shared" si="492"/>
        <v>533.15</v>
      </c>
      <c r="I1839">
        <f t="shared" si="493"/>
        <v>800</v>
      </c>
      <c r="J1839">
        <v>0</v>
      </c>
      <c r="K1839" s="3">
        <f t="shared" si="494"/>
        <v>0.43999999999999995</v>
      </c>
      <c r="L1839" s="3">
        <f t="shared" si="495"/>
        <v>0.113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</row>
    <row r="1840" spans="1:25" hidden="1">
      <c r="A1840" t="str">
        <f t="shared" si="496"/>
        <v>Takenouchi &amp; Kennedy 1964</v>
      </c>
      <c r="C1840">
        <v>260</v>
      </c>
      <c r="D1840">
        <v>900</v>
      </c>
      <c r="E1840" s="3">
        <v>0.125</v>
      </c>
      <c r="F1840" s="3">
        <v>0.54800000000000004</v>
      </c>
      <c r="H1840">
        <f t="shared" si="492"/>
        <v>533.15</v>
      </c>
      <c r="I1840">
        <f t="shared" si="493"/>
        <v>900</v>
      </c>
      <c r="J1840">
        <v>0</v>
      </c>
      <c r="K1840" s="3">
        <f t="shared" si="494"/>
        <v>0.45199999999999996</v>
      </c>
      <c r="L1840" s="3">
        <f t="shared" si="495"/>
        <v>0.125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 hidden="1">
      <c r="A1841" t="str">
        <f t="shared" si="496"/>
        <v>Takenouchi &amp; Kennedy 1964</v>
      </c>
      <c r="C1841">
        <v>260</v>
      </c>
      <c r="D1841">
        <v>1000</v>
      </c>
      <c r="E1841" s="3">
        <v>0.13500000000000001</v>
      </c>
      <c r="F1841" s="3">
        <v>0.53600000000000003</v>
      </c>
      <c r="H1841">
        <f t="shared" si="492"/>
        <v>533.15</v>
      </c>
      <c r="I1841">
        <f t="shared" si="493"/>
        <v>1000</v>
      </c>
      <c r="J1841">
        <v>0</v>
      </c>
      <c r="K1841" s="3">
        <f t="shared" si="494"/>
        <v>0.46399999999999997</v>
      </c>
      <c r="L1841" s="3">
        <f t="shared" si="495"/>
        <v>0.13500000000000001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</row>
    <row r="1842" spans="1:25" hidden="1">
      <c r="A1842" t="str">
        <f t="shared" si="496"/>
        <v>Takenouchi &amp; Kennedy 1964</v>
      </c>
      <c r="C1842">
        <v>260</v>
      </c>
      <c r="D1842">
        <v>1100</v>
      </c>
      <c r="E1842" s="3">
        <v>0.14499999999999999</v>
      </c>
      <c r="F1842" s="3">
        <v>0.52400000000000002</v>
      </c>
      <c r="H1842">
        <f t="shared" si="492"/>
        <v>533.15</v>
      </c>
      <c r="I1842">
        <f t="shared" si="493"/>
        <v>1100</v>
      </c>
      <c r="J1842">
        <v>0</v>
      </c>
      <c r="K1842" s="3">
        <f t="shared" si="494"/>
        <v>0.47599999999999998</v>
      </c>
      <c r="L1842" s="3">
        <f t="shared" si="495"/>
        <v>0.14499999999999999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 spans="1:25" hidden="1">
      <c r="A1843" t="str">
        <f t="shared" si="496"/>
        <v>Takenouchi &amp; Kennedy 1964</v>
      </c>
      <c r="C1843">
        <v>260</v>
      </c>
      <c r="D1843">
        <v>1200</v>
      </c>
      <c r="E1843" s="3">
        <v>0.155</v>
      </c>
      <c r="F1843" s="3">
        <v>0.51</v>
      </c>
      <c r="H1843">
        <f t="shared" si="492"/>
        <v>533.15</v>
      </c>
      <c r="I1843">
        <f t="shared" si="493"/>
        <v>1200</v>
      </c>
      <c r="J1843">
        <v>0</v>
      </c>
      <c r="K1843" s="3">
        <f t="shared" si="494"/>
        <v>0.49</v>
      </c>
      <c r="L1843" s="3">
        <f t="shared" si="495"/>
        <v>0.155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 hidden="1">
      <c r="A1844" t="str">
        <f t="shared" si="496"/>
        <v>Takenouchi &amp; Kennedy 1964</v>
      </c>
      <c r="C1844">
        <v>260</v>
      </c>
      <c r="D1844">
        <v>1300</v>
      </c>
      <c r="E1844" s="3">
        <v>0.16</v>
      </c>
      <c r="F1844" s="3">
        <v>0.504</v>
      </c>
      <c r="H1844">
        <f t="shared" si="492"/>
        <v>533.15</v>
      </c>
      <c r="I1844">
        <f t="shared" si="493"/>
        <v>1300</v>
      </c>
      <c r="J1844">
        <v>0</v>
      </c>
      <c r="K1844" s="3">
        <f t="shared" si="494"/>
        <v>0.496</v>
      </c>
      <c r="L1844" s="3">
        <f t="shared" si="495"/>
        <v>0.16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 hidden="1">
      <c r="A1845" t="str">
        <f t="shared" si="496"/>
        <v>Takenouchi &amp; Kennedy 1964</v>
      </c>
      <c r="C1845">
        <v>260</v>
      </c>
      <c r="D1845">
        <v>1400</v>
      </c>
      <c r="E1845" s="3">
        <v>0.16500000000000001</v>
      </c>
      <c r="F1845" s="3">
        <v>0.502</v>
      </c>
      <c r="H1845">
        <f t="shared" si="492"/>
        <v>533.15</v>
      </c>
      <c r="I1845">
        <f t="shared" si="493"/>
        <v>1400</v>
      </c>
      <c r="J1845">
        <v>0</v>
      </c>
      <c r="K1845" s="3">
        <f t="shared" si="494"/>
        <v>0.498</v>
      </c>
      <c r="L1845" s="3">
        <f t="shared" si="495"/>
        <v>0.16500000000000001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 hidden="1">
      <c r="A1846" t="str">
        <f t="shared" si="496"/>
        <v>Takenouchi &amp; Kennedy 1964</v>
      </c>
      <c r="C1846">
        <v>260</v>
      </c>
      <c r="D1846">
        <v>1500</v>
      </c>
      <c r="E1846" s="3">
        <v>0.17499999999999999</v>
      </c>
      <c r="F1846" s="3">
        <v>0.5</v>
      </c>
      <c r="H1846">
        <f t="shared" si="492"/>
        <v>533.15</v>
      </c>
      <c r="I1846">
        <f t="shared" si="493"/>
        <v>1500</v>
      </c>
      <c r="J1846">
        <v>0</v>
      </c>
      <c r="K1846" s="3">
        <f t="shared" si="494"/>
        <v>0.5</v>
      </c>
      <c r="L1846" s="3">
        <f t="shared" si="495"/>
        <v>0.17499999999999999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 hidden="1">
      <c r="A1847" t="str">
        <f t="shared" si="496"/>
        <v>Takenouchi &amp; Kennedy 1964</v>
      </c>
      <c r="C1847">
        <v>250</v>
      </c>
      <c r="D1847">
        <v>100</v>
      </c>
      <c r="E1847" s="3">
        <v>1.2E-2</v>
      </c>
      <c r="F1847" s="3">
        <v>0.41</v>
      </c>
      <c r="H1847">
        <f t="shared" si="492"/>
        <v>523.15</v>
      </c>
      <c r="I1847">
        <f t="shared" si="493"/>
        <v>100</v>
      </c>
      <c r="J1847">
        <v>0</v>
      </c>
      <c r="K1847" s="3">
        <f t="shared" si="494"/>
        <v>0.59000000000000008</v>
      </c>
      <c r="L1847" s="3">
        <f t="shared" si="495"/>
        <v>1.2E-2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</row>
    <row r="1848" spans="1:25" hidden="1">
      <c r="A1848" t="str">
        <f t="shared" si="496"/>
        <v>Takenouchi &amp; Kennedy 1964</v>
      </c>
      <c r="C1848">
        <v>250</v>
      </c>
      <c r="D1848">
        <v>200</v>
      </c>
      <c r="E1848" s="3">
        <v>2.7E-2</v>
      </c>
      <c r="F1848" s="3">
        <v>0.63600000000000001</v>
      </c>
      <c r="H1848">
        <f t="shared" si="492"/>
        <v>523.15</v>
      </c>
      <c r="I1848">
        <f t="shared" si="493"/>
        <v>200</v>
      </c>
      <c r="J1848">
        <v>0</v>
      </c>
      <c r="K1848" s="3">
        <f t="shared" si="494"/>
        <v>0.36399999999999999</v>
      </c>
      <c r="L1848" s="3">
        <f t="shared" si="495"/>
        <v>2.7E-2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 hidden="1">
      <c r="A1849" t="str">
        <f t="shared" si="496"/>
        <v>Takenouchi &amp; Kennedy 1964</v>
      </c>
      <c r="C1849">
        <v>250</v>
      </c>
      <c r="D1849">
        <v>300</v>
      </c>
      <c r="E1849" s="3">
        <v>4.2000000000000003E-2</v>
      </c>
      <c r="F1849" s="3">
        <v>0.68</v>
      </c>
      <c r="H1849">
        <f t="shared" si="492"/>
        <v>523.15</v>
      </c>
      <c r="I1849">
        <f t="shared" si="493"/>
        <v>300</v>
      </c>
      <c r="J1849">
        <v>0</v>
      </c>
      <c r="K1849" s="3">
        <f t="shared" si="494"/>
        <v>0.31999999999999995</v>
      </c>
      <c r="L1849" s="3">
        <f t="shared" si="495"/>
        <v>4.2000000000000003E-2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 hidden="1">
      <c r="A1850" t="str">
        <f t="shared" si="496"/>
        <v>Takenouchi &amp; Kennedy 1964</v>
      </c>
      <c r="C1850">
        <v>250</v>
      </c>
      <c r="D1850">
        <v>400</v>
      </c>
      <c r="E1850" s="3">
        <v>5.5E-2</v>
      </c>
      <c r="F1850" s="3">
        <v>0.67600000000000005</v>
      </c>
      <c r="H1850">
        <f t="shared" si="492"/>
        <v>523.15</v>
      </c>
      <c r="I1850">
        <f t="shared" si="493"/>
        <v>400</v>
      </c>
      <c r="J1850">
        <v>0</v>
      </c>
      <c r="K1850" s="3">
        <f t="shared" si="494"/>
        <v>0.32399999999999995</v>
      </c>
      <c r="L1850" s="3">
        <f t="shared" si="495"/>
        <v>5.5E-2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 hidden="1">
      <c r="A1851" t="str">
        <f t="shared" si="496"/>
        <v>Takenouchi &amp; Kennedy 1964</v>
      </c>
      <c r="C1851">
        <v>250</v>
      </c>
      <c r="D1851">
        <v>500</v>
      </c>
      <c r="E1851" s="3">
        <v>6.4000000000000001E-2</v>
      </c>
      <c r="F1851" s="3">
        <v>0.66</v>
      </c>
      <c r="H1851">
        <f t="shared" si="492"/>
        <v>523.15</v>
      </c>
      <c r="I1851">
        <f t="shared" si="493"/>
        <v>500</v>
      </c>
      <c r="J1851">
        <v>0</v>
      </c>
      <c r="K1851" s="3">
        <f t="shared" si="494"/>
        <v>0.33999999999999997</v>
      </c>
      <c r="L1851" s="3">
        <f t="shared" si="495"/>
        <v>6.4000000000000001E-2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 hidden="1">
      <c r="A1852" t="str">
        <f t="shared" si="496"/>
        <v>Takenouchi &amp; Kennedy 1964</v>
      </c>
      <c r="C1852">
        <v>250</v>
      </c>
      <c r="D1852">
        <v>600</v>
      </c>
      <c r="E1852" s="3">
        <v>7.3999999999999996E-2</v>
      </c>
      <c r="F1852" s="3">
        <v>0.63600000000000001</v>
      </c>
      <c r="H1852">
        <f t="shared" si="492"/>
        <v>523.15</v>
      </c>
      <c r="I1852">
        <f t="shared" si="493"/>
        <v>600</v>
      </c>
      <c r="J1852">
        <v>0</v>
      </c>
      <c r="K1852" s="3">
        <f t="shared" si="494"/>
        <v>0.36399999999999999</v>
      </c>
      <c r="L1852" s="3">
        <f t="shared" si="495"/>
        <v>7.3999999999999996E-2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1:25" hidden="1">
      <c r="A1853" t="str">
        <f t="shared" si="496"/>
        <v>Takenouchi &amp; Kennedy 1964</v>
      </c>
      <c r="C1853">
        <v>250</v>
      </c>
      <c r="D1853">
        <v>700</v>
      </c>
      <c r="E1853" s="3">
        <v>8.4000000000000005E-2</v>
      </c>
      <c r="F1853" s="3">
        <v>0.61299999999999999</v>
      </c>
      <c r="H1853">
        <f t="shared" si="492"/>
        <v>523.15</v>
      </c>
      <c r="I1853">
        <f t="shared" si="493"/>
        <v>700</v>
      </c>
      <c r="J1853">
        <v>0</v>
      </c>
      <c r="K1853" s="3">
        <f t="shared" si="494"/>
        <v>0.38700000000000001</v>
      </c>
      <c r="L1853" s="3">
        <f t="shared" si="495"/>
        <v>8.4000000000000005E-2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 spans="1:25" hidden="1">
      <c r="A1854" t="str">
        <f t="shared" si="496"/>
        <v>Takenouchi &amp; Kennedy 1964</v>
      </c>
      <c r="C1854">
        <v>250</v>
      </c>
      <c r="D1854">
        <v>800</v>
      </c>
      <c r="E1854" s="3">
        <v>9.4E-2</v>
      </c>
      <c r="F1854" s="3">
        <v>0.59299999999999997</v>
      </c>
      <c r="H1854">
        <f t="shared" si="492"/>
        <v>523.15</v>
      </c>
      <c r="I1854">
        <f t="shared" si="493"/>
        <v>800</v>
      </c>
      <c r="J1854">
        <v>0</v>
      </c>
      <c r="K1854" s="3">
        <f t="shared" si="494"/>
        <v>0.40700000000000003</v>
      </c>
      <c r="L1854" s="3">
        <f t="shared" si="495"/>
        <v>9.4E-2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 hidden="1">
      <c r="A1855" t="str">
        <f t="shared" si="496"/>
        <v>Takenouchi &amp; Kennedy 1964</v>
      </c>
      <c r="C1855">
        <v>250</v>
      </c>
      <c r="D1855">
        <v>900</v>
      </c>
      <c r="E1855" s="3">
        <v>0.104</v>
      </c>
      <c r="F1855" s="3">
        <v>0.57999999999999996</v>
      </c>
      <c r="H1855">
        <f t="shared" ref="H1855:H1886" si="497">273.15+C1855</f>
        <v>523.15</v>
      </c>
      <c r="I1855">
        <f t="shared" ref="I1855:I1886" si="498">D1855</f>
        <v>900</v>
      </c>
      <c r="J1855">
        <v>0</v>
      </c>
      <c r="K1855" s="3">
        <f t="shared" ref="K1855:K1886" si="499">1-F1855</f>
        <v>0.42000000000000004</v>
      </c>
      <c r="L1855" s="3">
        <f t="shared" ref="L1855:L1886" si="500">E1855</f>
        <v>0.104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 hidden="1">
      <c r="A1856" t="str">
        <f t="shared" ref="A1856:A1887" si="501">A1855</f>
        <v>Takenouchi &amp; Kennedy 1964</v>
      </c>
      <c r="C1856">
        <v>250</v>
      </c>
      <c r="D1856">
        <v>1000</v>
      </c>
      <c r="E1856" s="3">
        <v>0.115</v>
      </c>
      <c r="F1856" s="3">
        <v>0.56699999999999995</v>
      </c>
      <c r="H1856">
        <f t="shared" si="497"/>
        <v>523.15</v>
      </c>
      <c r="I1856">
        <f t="shared" si="498"/>
        <v>1000</v>
      </c>
      <c r="J1856">
        <v>0</v>
      </c>
      <c r="K1856" s="3">
        <f t="shared" si="499"/>
        <v>0.43300000000000005</v>
      </c>
      <c r="L1856" s="3">
        <f t="shared" si="500"/>
        <v>0.115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 hidden="1">
      <c r="A1857" t="str">
        <f t="shared" si="501"/>
        <v>Takenouchi &amp; Kennedy 1964</v>
      </c>
      <c r="C1857">
        <v>250</v>
      </c>
      <c r="D1857">
        <v>1100</v>
      </c>
      <c r="E1857" s="3">
        <v>0.125</v>
      </c>
      <c r="F1857" s="3">
        <v>0.55500000000000005</v>
      </c>
      <c r="H1857">
        <f t="shared" si="497"/>
        <v>523.15</v>
      </c>
      <c r="I1857">
        <f t="shared" si="498"/>
        <v>1100</v>
      </c>
      <c r="J1857">
        <v>0</v>
      </c>
      <c r="K1857" s="3">
        <f t="shared" si="499"/>
        <v>0.44499999999999995</v>
      </c>
      <c r="L1857" s="3">
        <f t="shared" si="500"/>
        <v>0.125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 hidden="1">
      <c r="A1858" t="str">
        <f t="shared" si="501"/>
        <v>Takenouchi &amp; Kennedy 1964</v>
      </c>
      <c r="C1858">
        <v>250</v>
      </c>
      <c r="D1858">
        <v>1200</v>
      </c>
      <c r="E1858" s="3">
        <v>0.13200000000000001</v>
      </c>
      <c r="F1858" s="3">
        <v>0.54800000000000004</v>
      </c>
      <c r="H1858">
        <f t="shared" si="497"/>
        <v>523.15</v>
      </c>
      <c r="I1858">
        <f t="shared" si="498"/>
        <v>1200</v>
      </c>
      <c r="J1858">
        <v>0</v>
      </c>
      <c r="K1858" s="3">
        <f t="shared" si="499"/>
        <v>0.45199999999999996</v>
      </c>
      <c r="L1858" s="3">
        <f t="shared" si="500"/>
        <v>0.13200000000000001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 hidden="1">
      <c r="A1859" t="str">
        <f t="shared" si="501"/>
        <v>Takenouchi &amp; Kennedy 1964</v>
      </c>
      <c r="C1859">
        <v>250</v>
      </c>
      <c r="D1859">
        <v>1300</v>
      </c>
      <c r="E1859" s="3">
        <v>0.13600000000000001</v>
      </c>
      <c r="F1859" s="3">
        <v>0.54200000000000004</v>
      </c>
      <c r="H1859">
        <f t="shared" si="497"/>
        <v>523.15</v>
      </c>
      <c r="I1859">
        <f t="shared" si="498"/>
        <v>1300</v>
      </c>
      <c r="J1859">
        <v>0</v>
      </c>
      <c r="K1859" s="3">
        <f t="shared" si="499"/>
        <v>0.45799999999999996</v>
      </c>
      <c r="L1859" s="3">
        <f t="shared" si="500"/>
        <v>0.13600000000000001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 hidden="1">
      <c r="A1860" t="str">
        <f t="shared" si="501"/>
        <v>Takenouchi &amp; Kennedy 1964</v>
      </c>
      <c r="C1860">
        <v>250</v>
      </c>
      <c r="D1860">
        <v>1400</v>
      </c>
      <c r="E1860" s="3">
        <v>0.14000000000000001</v>
      </c>
      <c r="F1860" s="3">
        <v>0.54</v>
      </c>
      <c r="H1860">
        <f t="shared" si="497"/>
        <v>523.15</v>
      </c>
      <c r="I1860">
        <f t="shared" si="498"/>
        <v>1400</v>
      </c>
      <c r="J1860">
        <v>0</v>
      </c>
      <c r="K1860" s="3">
        <f t="shared" si="499"/>
        <v>0.45999999999999996</v>
      </c>
      <c r="L1860" s="3">
        <f t="shared" si="500"/>
        <v>0.14000000000000001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 hidden="1">
      <c r="A1861" t="str">
        <f t="shared" si="501"/>
        <v>Takenouchi &amp; Kennedy 1964</v>
      </c>
      <c r="C1861">
        <v>250</v>
      </c>
      <c r="D1861">
        <v>1500</v>
      </c>
      <c r="E1861" s="3">
        <v>0.14399999999999999</v>
      </c>
      <c r="F1861" s="3">
        <v>0.54</v>
      </c>
      <c r="H1861">
        <f t="shared" si="497"/>
        <v>523.15</v>
      </c>
      <c r="I1861">
        <f t="shared" si="498"/>
        <v>1500</v>
      </c>
      <c r="J1861">
        <v>0</v>
      </c>
      <c r="K1861" s="3">
        <f t="shared" si="499"/>
        <v>0.45999999999999996</v>
      </c>
      <c r="L1861" s="3">
        <f t="shared" si="500"/>
        <v>0.14399999999999999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 hidden="1">
      <c r="A1862" t="str">
        <f t="shared" si="501"/>
        <v>Takenouchi &amp; Kennedy 1964</v>
      </c>
      <c r="C1862">
        <v>200</v>
      </c>
      <c r="D1862">
        <v>100</v>
      </c>
      <c r="E1862" s="3">
        <v>1.2999999999999999E-2</v>
      </c>
      <c r="F1862" s="3">
        <v>0.71499999999999997</v>
      </c>
      <c r="H1862">
        <f t="shared" si="497"/>
        <v>473.15</v>
      </c>
      <c r="I1862">
        <f t="shared" si="498"/>
        <v>100</v>
      </c>
      <c r="J1862">
        <v>0</v>
      </c>
      <c r="K1862" s="3">
        <f t="shared" si="499"/>
        <v>0.28500000000000003</v>
      </c>
      <c r="L1862" s="3">
        <f t="shared" si="500"/>
        <v>1.2999999999999999E-2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 hidden="1">
      <c r="A1863" t="str">
        <f t="shared" si="501"/>
        <v>Takenouchi &amp; Kennedy 1964</v>
      </c>
      <c r="C1863">
        <f t="shared" ref="C1863:C1876" si="502">C1862</f>
        <v>200</v>
      </c>
      <c r="D1863">
        <v>200</v>
      </c>
      <c r="E1863" s="3">
        <v>2.5999999999999999E-2</v>
      </c>
      <c r="F1863" s="3">
        <v>0.82</v>
      </c>
      <c r="H1863">
        <f t="shared" si="497"/>
        <v>473.15</v>
      </c>
      <c r="I1863">
        <f t="shared" si="498"/>
        <v>200</v>
      </c>
      <c r="J1863">
        <v>0</v>
      </c>
      <c r="K1863" s="3">
        <f t="shared" si="499"/>
        <v>0.18000000000000005</v>
      </c>
      <c r="L1863" s="3">
        <f t="shared" si="500"/>
        <v>2.5999999999999999E-2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</row>
    <row r="1864" spans="1:25" hidden="1">
      <c r="A1864" t="str">
        <f t="shared" si="501"/>
        <v>Takenouchi &amp; Kennedy 1964</v>
      </c>
      <c r="C1864">
        <f t="shared" si="502"/>
        <v>200</v>
      </c>
      <c r="D1864">
        <v>300</v>
      </c>
      <c r="E1864" s="3">
        <v>3.4000000000000002E-2</v>
      </c>
      <c r="F1864" s="3">
        <v>0.82499999999999996</v>
      </c>
      <c r="H1864">
        <f t="shared" si="497"/>
        <v>473.15</v>
      </c>
      <c r="I1864">
        <f t="shared" si="498"/>
        <v>300</v>
      </c>
      <c r="J1864">
        <v>0</v>
      </c>
      <c r="K1864" s="3">
        <f t="shared" si="499"/>
        <v>0.17500000000000004</v>
      </c>
      <c r="L1864" s="3">
        <f t="shared" si="500"/>
        <v>3.4000000000000002E-2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 hidden="1">
      <c r="A1865" t="str">
        <f t="shared" si="501"/>
        <v>Takenouchi &amp; Kennedy 1964</v>
      </c>
      <c r="C1865">
        <f t="shared" si="502"/>
        <v>200</v>
      </c>
      <c r="D1865">
        <v>400</v>
      </c>
      <c r="E1865" s="3">
        <v>4.1000000000000002E-2</v>
      </c>
      <c r="F1865" s="3">
        <v>0.81599999999999995</v>
      </c>
      <c r="H1865">
        <f t="shared" si="497"/>
        <v>473.15</v>
      </c>
      <c r="I1865">
        <f t="shared" si="498"/>
        <v>400</v>
      </c>
      <c r="J1865">
        <v>0</v>
      </c>
      <c r="K1865" s="3">
        <f t="shared" si="499"/>
        <v>0.18400000000000005</v>
      </c>
      <c r="L1865" s="3">
        <f t="shared" si="500"/>
        <v>4.1000000000000002E-2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 hidden="1">
      <c r="A1866" t="str">
        <f t="shared" si="501"/>
        <v>Takenouchi &amp; Kennedy 1964</v>
      </c>
      <c r="C1866">
        <f t="shared" si="502"/>
        <v>200</v>
      </c>
      <c r="D1866">
        <v>500</v>
      </c>
      <c r="E1866" s="3">
        <v>4.7E-2</v>
      </c>
      <c r="F1866" s="3">
        <v>0.8</v>
      </c>
      <c r="H1866">
        <f t="shared" si="497"/>
        <v>473.15</v>
      </c>
      <c r="I1866">
        <f t="shared" si="498"/>
        <v>500</v>
      </c>
      <c r="J1866">
        <v>0</v>
      </c>
      <c r="K1866" s="3">
        <f t="shared" si="499"/>
        <v>0.19999999999999996</v>
      </c>
      <c r="L1866" s="3">
        <f t="shared" si="500"/>
        <v>4.7E-2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5" hidden="1">
      <c r="A1867" t="str">
        <f t="shared" si="501"/>
        <v>Takenouchi &amp; Kennedy 1964</v>
      </c>
      <c r="C1867">
        <f t="shared" si="502"/>
        <v>200</v>
      </c>
      <c r="D1867">
        <v>600</v>
      </c>
      <c r="E1867" s="3">
        <v>5.1999999999999998E-2</v>
      </c>
      <c r="F1867" s="3">
        <v>0.78</v>
      </c>
      <c r="H1867">
        <f t="shared" si="497"/>
        <v>473.15</v>
      </c>
      <c r="I1867">
        <f t="shared" si="498"/>
        <v>600</v>
      </c>
      <c r="J1867">
        <v>0</v>
      </c>
      <c r="K1867" s="3">
        <f t="shared" si="499"/>
        <v>0.21999999999999997</v>
      </c>
      <c r="L1867" s="3">
        <f t="shared" si="500"/>
        <v>5.1999999999999998E-2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5" hidden="1">
      <c r="A1868" t="str">
        <f t="shared" si="501"/>
        <v>Takenouchi &amp; Kennedy 1964</v>
      </c>
      <c r="C1868">
        <f t="shared" si="502"/>
        <v>200</v>
      </c>
      <c r="D1868">
        <v>700</v>
      </c>
      <c r="E1868" s="3">
        <v>5.6000000000000001E-2</v>
      </c>
      <c r="F1868" s="3">
        <v>0.76</v>
      </c>
      <c r="H1868">
        <f t="shared" si="497"/>
        <v>473.15</v>
      </c>
      <c r="I1868">
        <f t="shared" si="498"/>
        <v>700</v>
      </c>
      <c r="J1868">
        <v>0</v>
      </c>
      <c r="K1868" s="3">
        <f t="shared" si="499"/>
        <v>0.24</v>
      </c>
      <c r="L1868" s="3">
        <f t="shared" si="500"/>
        <v>5.6000000000000001E-2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 hidden="1">
      <c r="A1869" t="str">
        <f t="shared" si="501"/>
        <v>Takenouchi &amp; Kennedy 1964</v>
      </c>
      <c r="C1869">
        <f t="shared" si="502"/>
        <v>200</v>
      </c>
      <c r="D1869">
        <v>800</v>
      </c>
      <c r="E1869" s="3">
        <v>5.8000000000000003E-2</v>
      </c>
      <c r="F1869" s="3">
        <v>0.745</v>
      </c>
      <c r="H1869">
        <f t="shared" si="497"/>
        <v>473.15</v>
      </c>
      <c r="I1869">
        <f t="shared" si="498"/>
        <v>800</v>
      </c>
      <c r="J1869">
        <v>0</v>
      </c>
      <c r="K1869" s="3">
        <f t="shared" si="499"/>
        <v>0.255</v>
      </c>
      <c r="L1869" s="3">
        <f t="shared" si="500"/>
        <v>5.8000000000000003E-2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 hidden="1">
      <c r="A1870" t="str">
        <f t="shared" si="501"/>
        <v>Takenouchi &amp; Kennedy 1964</v>
      </c>
      <c r="C1870">
        <f t="shared" si="502"/>
        <v>200</v>
      </c>
      <c r="D1870">
        <v>900</v>
      </c>
      <c r="E1870" s="3">
        <v>6.0999999999999999E-2</v>
      </c>
      <c r="F1870" s="3">
        <v>0.73199999999999998</v>
      </c>
      <c r="H1870">
        <f t="shared" si="497"/>
        <v>473.15</v>
      </c>
      <c r="I1870">
        <f t="shared" si="498"/>
        <v>900</v>
      </c>
      <c r="J1870">
        <v>0</v>
      </c>
      <c r="K1870" s="3">
        <f t="shared" si="499"/>
        <v>0.26800000000000002</v>
      </c>
      <c r="L1870" s="3">
        <f t="shared" si="500"/>
        <v>6.0999999999999999E-2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 hidden="1">
      <c r="A1871" t="str">
        <f t="shared" si="501"/>
        <v>Takenouchi &amp; Kennedy 1964</v>
      </c>
      <c r="C1871">
        <f t="shared" si="502"/>
        <v>200</v>
      </c>
      <c r="D1871">
        <v>1000</v>
      </c>
      <c r="E1871" s="3">
        <v>6.3E-2</v>
      </c>
      <c r="F1871" s="3">
        <v>0.72</v>
      </c>
      <c r="H1871">
        <f t="shared" si="497"/>
        <v>473.15</v>
      </c>
      <c r="I1871">
        <f t="shared" si="498"/>
        <v>1000</v>
      </c>
      <c r="J1871">
        <v>0</v>
      </c>
      <c r="K1871" s="3">
        <f t="shared" si="499"/>
        <v>0.28000000000000003</v>
      </c>
      <c r="L1871" s="3">
        <f t="shared" si="500"/>
        <v>6.3E-2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1:25" hidden="1">
      <c r="A1872" t="str">
        <f t="shared" si="501"/>
        <v>Takenouchi &amp; Kennedy 1964</v>
      </c>
      <c r="C1872">
        <f t="shared" si="502"/>
        <v>200</v>
      </c>
      <c r="D1872">
        <v>1100</v>
      </c>
      <c r="E1872" s="3">
        <v>6.5000000000000002E-2</v>
      </c>
      <c r="F1872" s="3">
        <v>0.71599999999999997</v>
      </c>
      <c r="H1872">
        <f t="shared" si="497"/>
        <v>473.15</v>
      </c>
      <c r="I1872">
        <f t="shared" si="498"/>
        <v>1100</v>
      </c>
      <c r="J1872">
        <v>0</v>
      </c>
      <c r="K1872" s="3">
        <f t="shared" si="499"/>
        <v>0.28400000000000003</v>
      </c>
      <c r="L1872" s="3">
        <f t="shared" si="500"/>
        <v>6.5000000000000002E-2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 hidden="1">
      <c r="A1873" t="str">
        <f t="shared" si="501"/>
        <v>Takenouchi &amp; Kennedy 1964</v>
      </c>
      <c r="C1873">
        <f t="shared" si="502"/>
        <v>200</v>
      </c>
      <c r="D1873">
        <v>1200</v>
      </c>
      <c r="E1873" s="3">
        <v>6.7000000000000004E-2</v>
      </c>
      <c r="F1873" s="3">
        <v>0.70599999999999996</v>
      </c>
      <c r="H1873">
        <f t="shared" si="497"/>
        <v>473.15</v>
      </c>
      <c r="I1873">
        <f t="shared" si="498"/>
        <v>1200</v>
      </c>
      <c r="J1873">
        <v>0</v>
      </c>
      <c r="K1873" s="3">
        <f t="shared" si="499"/>
        <v>0.29400000000000004</v>
      </c>
      <c r="L1873" s="3">
        <f t="shared" si="500"/>
        <v>6.7000000000000004E-2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</row>
    <row r="1874" spans="1:25" hidden="1">
      <c r="A1874" t="str">
        <f t="shared" si="501"/>
        <v>Takenouchi &amp; Kennedy 1964</v>
      </c>
      <c r="C1874">
        <f t="shared" si="502"/>
        <v>200</v>
      </c>
      <c r="D1874">
        <v>1300</v>
      </c>
      <c r="E1874" s="3">
        <v>6.9000000000000006E-2</v>
      </c>
      <c r="F1874" s="3">
        <v>0.7</v>
      </c>
      <c r="H1874">
        <f t="shared" si="497"/>
        <v>473.15</v>
      </c>
      <c r="I1874">
        <f t="shared" si="498"/>
        <v>1300</v>
      </c>
      <c r="J1874">
        <v>0</v>
      </c>
      <c r="K1874" s="3">
        <f t="shared" si="499"/>
        <v>0.30000000000000004</v>
      </c>
      <c r="L1874" s="3">
        <f t="shared" si="500"/>
        <v>6.9000000000000006E-2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 hidden="1">
      <c r="A1875" t="str">
        <f t="shared" si="501"/>
        <v>Takenouchi &amp; Kennedy 1964</v>
      </c>
      <c r="C1875">
        <f t="shared" si="502"/>
        <v>200</v>
      </c>
      <c r="D1875">
        <v>1400</v>
      </c>
      <c r="E1875" s="3">
        <v>7.0000000000000007E-2</v>
      </c>
      <c r="F1875" s="3">
        <v>0.69399999999999995</v>
      </c>
      <c r="H1875">
        <f t="shared" si="497"/>
        <v>473.15</v>
      </c>
      <c r="I1875">
        <f t="shared" si="498"/>
        <v>1400</v>
      </c>
      <c r="J1875">
        <v>0</v>
      </c>
      <c r="K1875" s="3">
        <f t="shared" si="499"/>
        <v>0.30600000000000005</v>
      </c>
      <c r="L1875" s="3">
        <f t="shared" si="500"/>
        <v>7.0000000000000007E-2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 hidden="1">
      <c r="A1876" t="str">
        <f t="shared" si="501"/>
        <v>Takenouchi &amp; Kennedy 1964</v>
      </c>
      <c r="C1876">
        <f t="shared" si="502"/>
        <v>200</v>
      </c>
      <c r="D1876">
        <v>1500</v>
      </c>
      <c r="E1876" s="3">
        <v>7.1999999999999995E-2</v>
      </c>
      <c r="F1876" s="3">
        <v>0.69</v>
      </c>
      <c r="H1876">
        <f t="shared" si="497"/>
        <v>473.15</v>
      </c>
      <c r="I1876">
        <f t="shared" si="498"/>
        <v>1500</v>
      </c>
      <c r="J1876">
        <v>0</v>
      </c>
      <c r="K1876" s="3">
        <f t="shared" si="499"/>
        <v>0.31000000000000005</v>
      </c>
      <c r="L1876" s="3">
        <f t="shared" si="500"/>
        <v>7.1999999999999995E-2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 hidden="1">
      <c r="A1877" t="str">
        <f t="shared" si="501"/>
        <v>Takenouchi &amp; Kennedy 1964</v>
      </c>
      <c r="C1877">
        <v>150</v>
      </c>
      <c r="D1877">
        <v>100</v>
      </c>
      <c r="E1877" s="3">
        <v>1.35E-2</v>
      </c>
      <c r="F1877" s="3">
        <v>0.88</v>
      </c>
      <c r="H1877">
        <f t="shared" si="497"/>
        <v>423.15</v>
      </c>
      <c r="I1877">
        <f t="shared" si="498"/>
        <v>100</v>
      </c>
      <c r="J1877">
        <v>0</v>
      </c>
      <c r="K1877" s="3">
        <f t="shared" si="499"/>
        <v>0.12</v>
      </c>
      <c r="L1877" s="3">
        <f t="shared" si="500"/>
        <v>1.35E-2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 hidden="1">
      <c r="A1878" t="str">
        <f t="shared" si="501"/>
        <v>Takenouchi &amp; Kennedy 1964</v>
      </c>
      <c r="C1878">
        <f t="shared" ref="C1878:C1891" si="503">C1877</f>
        <v>150</v>
      </c>
      <c r="D1878">
        <v>200</v>
      </c>
      <c r="E1878" s="3">
        <v>2.1499999999999998E-2</v>
      </c>
      <c r="F1878" s="3">
        <v>0.91</v>
      </c>
      <c r="H1878">
        <f t="shared" si="497"/>
        <v>423.15</v>
      </c>
      <c r="I1878">
        <f t="shared" si="498"/>
        <v>200</v>
      </c>
      <c r="J1878">
        <v>0</v>
      </c>
      <c r="K1878" s="3">
        <f t="shared" si="499"/>
        <v>8.9999999999999969E-2</v>
      </c>
      <c r="L1878" s="3">
        <f t="shared" si="500"/>
        <v>2.1499999999999998E-2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 hidden="1">
      <c r="A1879" t="str">
        <f t="shared" si="501"/>
        <v>Takenouchi &amp; Kennedy 1964</v>
      </c>
      <c r="C1879">
        <f t="shared" si="503"/>
        <v>150</v>
      </c>
      <c r="D1879">
        <v>300</v>
      </c>
      <c r="E1879" s="3">
        <v>2.5999999999999999E-2</v>
      </c>
      <c r="F1879" s="3">
        <v>0.9</v>
      </c>
      <c r="H1879">
        <f t="shared" si="497"/>
        <v>423.15</v>
      </c>
      <c r="I1879">
        <f t="shared" si="498"/>
        <v>300</v>
      </c>
      <c r="J1879">
        <v>0</v>
      </c>
      <c r="K1879" s="3">
        <f t="shared" si="499"/>
        <v>9.9999999999999978E-2</v>
      </c>
      <c r="L1879" s="3">
        <f t="shared" si="500"/>
        <v>2.5999999999999999E-2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</row>
    <row r="1880" spans="1:25" hidden="1">
      <c r="A1880" t="str">
        <f t="shared" si="501"/>
        <v>Takenouchi &amp; Kennedy 1964</v>
      </c>
      <c r="C1880">
        <f t="shared" si="503"/>
        <v>150</v>
      </c>
      <c r="D1880">
        <v>400</v>
      </c>
      <c r="E1880" s="3">
        <v>2.9000000000000001E-2</v>
      </c>
      <c r="F1880" s="3">
        <v>0.88200000000000001</v>
      </c>
      <c r="H1880">
        <f t="shared" si="497"/>
        <v>423.15</v>
      </c>
      <c r="I1880">
        <f t="shared" si="498"/>
        <v>400</v>
      </c>
      <c r="J1880">
        <v>0</v>
      </c>
      <c r="K1880" s="3">
        <f t="shared" si="499"/>
        <v>0.11799999999999999</v>
      </c>
      <c r="L1880" s="3">
        <f t="shared" si="500"/>
        <v>2.9000000000000001E-2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1:25" hidden="1">
      <c r="A1881" t="str">
        <f t="shared" si="501"/>
        <v>Takenouchi &amp; Kennedy 1964</v>
      </c>
      <c r="C1881">
        <f t="shared" si="503"/>
        <v>150</v>
      </c>
      <c r="D1881">
        <v>500</v>
      </c>
      <c r="E1881" s="3">
        <v>3.2000000000000001E-2</v>
      </c>
      <c r="F1881" s="3">
        <v>0.86199999999999999</v>
      </c>
      <c r="H1881">
        <f t="shared" si="497"/>
        <v>423.15</v>
      </c>
      <c r="I1881">
        <f t="shared" si="498"/>
        <v>500</v>
      </c>
      <c r="J1881">
        <v>0</v>
      </c>
      <c r="K1881" s="3">
        <f t="shared" si="499"/>
        <v>0.13800000000000001</v>
      </c>
      <c r="L1881" s="3">
        <f t="shared" si="500"/>
        <v>3.2000000000000001E-2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</row>
    <row r="1882" spans="1:25" hidden="1">
      <c r="A1882" t="str">
        <f t="shared" si="501"/>
        <v>Takenouchi &amp; Kennedy 1964</v>
      </c>
      <c r="C1882">
        <f t="shared" si="503"/>
        <v>150</v>
      </c>
      <c r="D1882">
        <v>600</v>
      </c>
      <c r="E1882" s="3">
        <v>3.4500000000000003E-2</v>
      </c>
      <c r="F1882" s="3">
        <v>0.84</v>
      </c>
      <c r="H1882">
        <f t="shared" si="497"/>
        <v>423.15</v>
      </c>
      <c r="I1882">
        <f t="shared" si="498"/>
        <v>600</v>
      </c>
      <c r="J1882">
        <v>0</v>
      </c>
      <c r="K1882" s="3">
        <f t="shared" si="499"/>
        <v>0.16000000000000003</v>
      </c>
      <c r="L1882" s="3">
        <f t="shared" si="500"/>
        <v>3.4500000000000003E-2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 hidden="1">
      <c r="A1883" t="str">
        <f t="shared" si="501"/>
        <v>Takenouchi &amp; Kennedy 1964</v>
      </c>
      <c r="C1883">
        <f t="shared" si="503"/>
        <v>150</v>
      </c>
      <c r="D1883">
        <v>700</v>
      </c>
      <c r="E1883" s="3">
        <v>3.6999999999999998E-2</v>
      </c>
      <c r="F1883" s="3">
        <v>0.82399999999999995</v>
      </c>
      <c r="H1883">
        <f t="shared" si="497"/>
        <v>423.15</v>
      </c>
      <c r="I1883">
        <f t="shared" si="498"/>
        <v>700</v>
      </c>
      <c r="J1883">
        <v>0</v>
      </c>
      <c r="K1883" s="3">
        <f t="shared" si="499"/>
        <v>0.17600000000000005</v>
      </c>
      <c r="L1883" s="3">
        <f t="shared" si="500"/>
        <v>3.6999999999999998E-2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</row>
    <row r="1884" spans="1:25" hidden="1">
      <c r="A1884" t="str">
        <f t="shared" si="501"/>
        <v>Takenouchi &amp; Kennedy 1964</v>
      </c>
      <c r="C1884">
        <f t="shared" si="503"/>
        <v>150</v>
      </c>
      <c r="D1884">
        <v>800</v>
      </c>
      <c r="E1884" s="3">
        <v>3.9E-2</v>
      </c>
      <c r="F1884" s="3">
        <v>0.80800000000000005</v>
      </c>
      <c r="H1884">
        <f t="shared" si="497"/>
        <v>423.15</v>
      </c>
      <c r="I1884">
        <f t="shared" si="498"/>
        <v>800</v>
      </c>
      <c r="J1884">
        <v>0</v>
      </c>
      <c r="K1884" s="3">
        <f t="shared" si="499"/>
        <v>0.19199999999999995</v>
      </c>
      <c r="L1884" s="3">
        <f t="shared" si="500"/>
        <v>3.9E-2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1:25" hidden="1">
      <c r="A1885" t="str">
        <f t="shared" si="501"/>
        <v>Takenouchi &amp; Kennedy 1964</v>
      </c>
      <c r="C1885">
        <f t="shared" si="503"/>
        <v>150</v>
      </c>
      <c r="D1885">
        <v>900</v>
      </c>
      <c r="E1885" s="3">
        <v>4.0500000000000001E-2</v>
      </c>
      <c r="F1885" s="3">
        <v>0.79400000000000004</v>
      </c>
      <c r="H1885">
        <f t="shared" si="497"/>
        <v>423.15</v>
      </c>
      <c r="I1885">
        <f t="shared" si="498"/>
        <v>900</v>
      </c>
      <c r="J1885">
        <v>0</v>
      </c>
      <c r="K1885" s="3">
        <f t="shared" si="499"/>
        <v>0.20599999999999996</v>
      </c>
      <c r="L1885" s="3">
        <f t="shared" si="500"/>
        <v>4.0500000000000001E-2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</row>
    <row r="1886" spans="1:25" hidden="1">
      <c r="A1886" t="str">
        <f t="shared" si="501"/>
        <v>Takenouchi &amp; Kennedy 1964</v>
      </c>
      <c r="C1886">
        <f t="shared" si="503"/>
        <v>150</v>
      </c>
      <c r="D1886">
        <v>1000</v>
      </c>
      <c r="E1886" s="3">
        <v>4.2000000000000003E-2</v>
      </c>
      <c r="F1886" s="3">
        <v>0.78</v>
      </c>
      <c r="H1886">
        <f t="shared" si="497"/>
        <v>423.15</v>
      </c>
      <c r="I1886">
        <f t="shared" si="498"/>
        <v>1000</v>
      </c>
      <c r="J1886">
        <v>0</v>
      </c>
      <c r="K1886" s="3">
        <f t="shared" si="499"/>
        <v>0.21999999999999997</v>
      </c>
      <c r="L1886" s="3">
        <f t="shared" si="500"/>
        <v>4.2000000000000003E-2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5" hidden="1">
      <c r="A1887" t="str">
        <f t="shared" si="501"/>
        <v>Takenouchi &amp; Kennedy 1964</v>
      </c>
      <c r="C1887">
        <f t="shared" si="503"/>
        <v>150</v>
      </c>
      <c r="D1887">
        <v>1100</v>
      </c>
      <c r="E1887" s="3">
        <v>4.3999999999999997E-2</v>
      </c>
      <c r="F1887" s="3">
        <v>0.77</v>
      </c>
      <c r="H1887">
        <f t="shared" ref="H1887:H1906" si="504">273.15+C1887</f>
        <v>423.15</v>
      </c>
      <c r="I1887">
        <f t="shared" ref="I1887:I1906" si="505">D1887</f>
        <v>1100</v>
      </c>
      <c r="J1887">
        <v>0</v>
      </c>
      <c r="K1887" s="3">
        <f t="shared" ref="K1887:K1906" si="506">1-F1887</f>
        <v>0.22999999999999998</v>
      </c>
      <c r="L1887" s="3">
        <f t="shared" ref="L1887:L1906" si="507">E1887</f>
        <v>4.3999999999999997E-2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 hidden="1">
      <c r="A1888" t="str">
        <f t="shared" ref="A1888:A1906" si="508">A1887</f>
        <v>Takenouchi &amp; Kennedy 1964</v>
      </c>
      <c r="C1888">
        <f t="shared" si="503"/>
        <v>150</v>
      </c>
      <c r="D1888">
        <v>1200</v>
      </c>
      <c r="E1888" s="3">
        <v>4.4999999999999998E-2</v>
      </c>
      <c r="F1888" s="3">
        <v>0.76400000000000001</v>
      </c>
      <c r="H1888">
        <f t="shared" si="504"/>
        <v>423.15</v>
      </c>
      <c r="I1888">
        <f t="shared" si="505"/>
        <v>1200</v>
      </c>
      <c r="J1888">
        <v>0</v>
      </c>
      <c r="K1888" s="3">
        <f t="shared" si="506"/>
        <v>0.23599999999999999</v>
      </c>
      <c r="L1888" s="3">
        <f t="shared" si="507"/>
        <v>4.4999999999999998E-2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1:25" hidden="1">
      <c r="A1889" t="str">
        <f t="shared" si="508"/>
        <v>Takenouchi &amp; Kennedy 1964</v>
      </c>
      <c r="C1889">
        <f t="shared" si="503"/>
        <v>150</v>
      </c>
      <c r="D1889">
        <v>1300</v>
      </c>
      <c r="E1889" s="3">
        <v>4.5999999999999999E-2</v>
      </c>
      <c r="F1889" s="3">
        <v>0.75800000000000001</v>
      </c>
      <c r="H1889">
        <f t="shared" si="504"/>
        <v>423.15</v>
      </c>
      <c r="I1889">
        <f t="shared" si="505"/>
        <v>1300</v>
      </c>
      <c r="J1889">
        <v>0</v>
      </c>
      <c r="K1889" s="3">
        <f t="shared" si="506"/>
        <v>0.24199999999999999</v>
      </c>
      <c r="L1889" s="3">
        <f t="shared" si="507"/>
        <v>4.5999999999999999E-2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 hidden="1">
      <c r="A1890" t="str">
        <f t="shared" si="508"/>
        <v>Takenouchi &amp; Kennedy 1964</v>
      </c>
      <c r="C1890">
        <f t="shared" si="503"/>
        <v>150</v>
      </c>
      <c r="D1890">
        <v>1400</v>
      </c>
      <c r="E1890" s="3">
        <v>4.7E-2</v>
      </c>
      <c r="F1890" s="3">
        <v>0.754</v>
      </c>
      <c r="H1890">
        <f t="shared" si="504"/>
        <v>423.15</v>
      </c>
      <c r="I1890">
        <f t="shared" si="505"/>
        <v>1400</v>
      </c>
      <c r="J1890">
        <v>0</v>
      </c>
      <c r="K1890" s="3">
        <f t="shared" si="506"/>
        <v>0.246</v>
      </c>
      <c r="L1890" s="3">
        <f t="shared" si="507"/>
        <v>4.7E-2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 hidden="1">
      <c r="A1891" t="str">
        <f t="shared" si="508"/>
        <v>Takenouchi &amp; Kennedy 1964</v>
      </c>
      <c r="C1891">
        <f t="shared" si="503"/>
        <v>150</v>
      </c>
      <c r="D1891">
        <v>1500</v>
      </c>
      <c r="E1891" s="3">
        <v>4.8000000000000001E-2</v>
      </c>
      <c r="F1891" s="3">
        <v>0.752</v>
      </c>
      <c r="H1891">
        <f t="shared" si="504"/>
        <v>423.15</v>
      </c>
      <c r="I1891">
        <f t="shared" si="505"/>
        <v>1500</v>
      </c>
      <c r="J1891">
        <v>0</v>
      </c>
      <c r="K1891" s="3">
        <f t="shared" si="506"/>
        <v>0.248</v>
      </c>
      <c r="L1891" s="3">
        <f t="shared" si="507"/>
        <v>4.8000000000000001E-2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 hidden="1">
      <c r="A1892" t="str">
        <f t="shared" si="508"/>
        <v>Takenouchi &amp; Kennedy 1964</v>
      </c>
      <c r="C1892">
        <v>110</v>
      </c>
      <c r="D1892">
        <v>100</v>
      </c>
      <c r="E1892" s="3">
        <v>1.4E-2</v>
      </c>
      <c r="F1892" s="3">
        <v>0.95599999999999996</v>
      </c>
      <c r="H1892">
        <f t="shared" si="504"/>
        <v>383.15</v>
      </c>
      <c r="I1892">
        <f t="shared" si="505"/>
        <v>100</v>
      </c>
      <c r="J1892">
        <v>0</v>
      </c>
      <c r="K1892" s="3">
        <f t="shared" si="506"/>
        <v>4.4000000000000039E-2</v>
      </c>
      <c r="L1892" s="3">
        <f t="shared" si="507"/>
        <v>1.4E-2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 hidden="1">
      <c r="A1893" t="str">
        <f t="shared" si="508"/>
        <v>Takenouchi &amp; Kennedy 1964</v>
      </c>
      <c r="C1893">
        <f t="shared" ref="C1893:C1906" si="509">C1892</f>
        <v>110</v>
      </c>
      <c r="D1893">
        <v>200</v>
      </c>
      <c r="E1893" s="3">
        <v>2.1000000000000001E-2</v>
      </c>
      <c r="F1893" s="3">
        <v>0.95799999999999996</v>
      </c>
      <c r="H1893">
        <f t="shared" si="504"/>
        <v>383.15</v>
      </c>
      <c r="I1893">
        <f t="shared" si="505"/>
        <v>200</v>
      </c>
      <c r="J1893">
        <v>0</v>
      </c>
      <c r="K1893" s="3">
        <f t="shared" si="506"/>
        <v>4.2000000000000037E-2</v>
      </c>
      <c r="L1893" s="3">
        <f t="shared" si="507"/>
        <v>2.1000000000000001E-2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 hidden="1">
      <c r="A1894" t="str">
        <f t="shared" si="508"/>
        <v>Takenouchi &amp; Kennedy 1964</v>
      </c>
      <c r="C1894">
        <f t="shared" si="509"/>
        <v>110</v>
      </c>
      <c r="D1894">
        <v>300</v>
      </c>
      <c r="E1894" s="3">
        <v>2.4E-2</v>
      </c>
      <c r="F1894" s="3">
        <v>0.94799999999999995</v>
      </c>
      <c r="H1894">
        <f t="shared" si="504"/>
        <v>383.15</v>
      </c>
      <c r="I1894">
        <f t="shared" si="505"/>
        <v>300</v>
      </c>
      <c r="J1894">
        <v>0</v>
      </c>
      <c r="K1894" s="3">
        <f t="shared" si="506"/>
        <v>5.2000000000000046E-2</v>
      </c>
      <c r="L1894" s="3">
        <f t="shared" si="507"/>
        <v>2.4E-2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hidden="1">
      <c r="A1895" t="str">
        <f t="shared" si="508"/>
        <v>Takenouchi &amp; Kennedy 1964</v>
      </c>
      <c r="C1895">
        <f t="shared" si="509"/>
        <v>110</v>
      </c>
      <c r="D1895">
        <v>400</v>
      </c>
      <c r="E1895" s="3">
        <v>2.5999999999999999E-2</v>
      </c>
      <c r="F1895" s="3">
        <v>0.93200000000000005</v>
      </c>
      <c r="H1895">
        <f t="shared" si="504"/>
        <v>383.15</v>
      </c>
      <c r="I1895">
        <f t="shared" si="505"/>
        <v>400</v>
      </c>
      <c r="J1895">
        <v>0</v>
      </c>
      <c r="K1895" s="3">
        <f t="shared" si="506"/>
        <v>6.7999999999999949E-2</v>
      </c>
      <c r="L1895" s="3">
        <f t="shared" si="507"/>
        <v>2.5999999999999999E-2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 hidden="1">
      <c r="A1896" t="str">
        <f t="shared" si="508"/>
        <v>Takenouchi &amp; Kennedy 1964</v>
      </c>
      <c r="C1896">
        <f t="shared" si="509"/>
        <v>110</v>
      </c>
      <c r="D1896">
        <v>500</v>
      </c>
      <c r="E1896" s="3">
        <v>2.8000000000000001E-2</v>
      </c>
      <c r="F1896" s="3">
        <v>0.91400000000000003</v>
      </c>
      <c r="H1896">
        <f t="shared" si="504"/>
        <v>383.15</v>
      </c>
      <c r="I1896">
        <f t="shared" si="505"/>
        <v>500</v>
      </c>
      <c r="J1896">
        <v>0</v>
      </c>
      <c r="K1896" s="3">
        <f t="shared" si="506"/>
        <v>8.5999999999999965E-2</v>
      </c>
      <c r="L1896" s="3">
        <f t="shared" si="507"/>
        <v>2.8000000000000001E-2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 hidden="1">
      <c r="A1897" t="str">
        <f t="shared" si="508"/>
        <v>Takenouchi &amp; Kennedy 1964</v>
      </c>
      <c r="C1897">
        <f t="shared" si="509"/>
        <v>110</v>
      </c>
      <c r="D1897">
        <v>600</v>
      </c>
      <c r="E1897" s="3">
        <v>0.03</v>
      </c>
      <c r="F1897" s="3">
        <v>0.89300000000000002</v>
      </c>
      <c r="H1897">
        <f t="shared" si="504"/>
        <v>383.15</v>
      </c>
      <c r="I1897">
        <f t="shared" si="505"/>
        <v>600</v>
      </c>
      <c r="J1897">
        <v>0</v>
      </c>
      <c r="K1897" s="3">
        <f t="shared" si="506"/>
        <v>0.10699999999999998</v>
      </c>
      <c r="L1897" s="3">
        <f t="shared" si="507"/>
        <v>0.03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hidden="1">
      <c r="A1898" t="str">
        <f t="shared" si="508"/>
        <v>Takenouchi &amp; Kennedy 1964</v>
      </c>
      <c r="C1898">
        <f t="shared" si="509"/>
        <v>110</v>
      </c>
      <c r="D1898">
        <v>700</v>
      </c>
      <c r="E1898" s="3">
        <v>3.15E-2</v>
      </c>
      <c r="F1898" s="3">
        <v>0.872</v>
      </c>
      <c r="H1898">
        <f t="shared" si="504"/>
        <v>383.15</v>
      </c>
      <c r="I1898">
        <f t="shared" si="505"/>
        <v>700</v>
      </c>
      <c r="J1898">
        <v>0</v>
      </c>
      <c r="K1898" s="3">
        <f t="shared" si="506"/>
        <v>0.128</v>
      </c>
      <c r="L1898" s="3">
        <f t="shared" si="507"/>
        <v>3.15E-2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 hidden="1">
      <c r="A1899" t="str">
        <f t="shared" si="508"/>
        <v>Takenouchi &amp; Kennedy 1964</v>
      </c>
      <c r="C1899">
        <f t="shared" si="509"/>
        <v>110</v>
      </c>
      <c r="D1899">
        <v>800</v>
      </c>
      <c r="E1899" s="3">
        <v>3.3000000000000002E-2</v>
      </c>
      <c r="F1899" s="3">
        <v>0.85399999999999998</v>
      </c>
      <c r="H1899">
        <f t="shared" si="504"/>
        <v>383.15</v>
      </c>
      <c r="I1899">
        <f t="shared" si="505"/>
        <v>800</v>
      </c>
      <c r="J1899">
        <v>0</v>
      </c>
      <c r="K1899" s="3">
        <f t="shared" si="506"/>
        <v>0.14600000000000002</v>
      </c>
      <c r="L1899" s="3">
        <f t="shared" si="507"/>
        <v>3.3000000000000002E-2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 hidden="1">
      <c r="A1900" t="str">
        <f t="shared" si="508"/>
        <v>Takenouchi &amp; Kennedy 1964</v>
      </c>
      <c r="C1900">
        <f t="shared" si="509"/>
        <v>110</v>
      </c>
      <c r="D1900">
        <v>900</v>
      </c>
      <c r="E1900" s="3">
        <v>3.4500000000000003E-2</v>
      </c>
      <c r="F1900" s="3">
        <v>0.84</v>
      </c>
      <c r="H1900">
        <f t="shared" si="504"/>
        <v>383.15</v>
      </c>
      <c r="I1900">
        <f t="shared" si="505"/>
        <v>900</v>
      </c>
      <c r="J1900">
        <v>0</v>
      </c>
      <c r="K1900" s="3">
        <f t="shared" si="506"/>
        <v>0.16000000000000003</v>
      </c>
      <c r="L1900" s="3">
        <f t="shared" si="507"/>
        <v>3.4500000000000003E-2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 hidden="1">
      <c r="A1901" t="str">
        <f t="shared" si="508"/>
        <v>Takenouchi &amp; Kennedy 1964</v>
      </c>
      <c r="C1901">
        <f t="shared" si="509"/>
        <v>110</v>
      </c>
      <c r="D1901">
        <v>1000</v>
      </c>
      <c r="E1901" s="3">
        <v>3.5999999999999997E-2</v>
      </c>
      <c r="F1901" s="3">
        <v>0.83</v>
      </c>
      <c r="H1901">
        <f t="shared" si="504"/>
        <v>383.15</v>
      </c>
      <c r="I1901">
        <f t="shared" si="505"/>
        <v>1000</v>
      </c>
      <c r="J1901">
        <v>0</v>
      </c>
      <c r="K1901" s="3">
        <f t="shared" si="506"/>
        <v>0.17000000000000004</v>
      </c>
      <c r="L1901" s="3">
        <f t="shared" si="507"/>
        <v>3.5999999999999997E-2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 hidden="1">
      <c r="A1902" t="str">
        <f t="shared" si="508"/>
        <v>Takenouchi &amp; Kennedy 1964</v>
      </c>
      <c r="C1902">
        <f t="shared" si="509"/>
        <v>110</v>
      </c>
      <c r="D1902">
        <v>1100</v>
      </c>
      <c r="E1902" s="3">
        <v>3.6999999999999998E-2</v>
      </c>
      <c r="F1902" s="3">
        <v>0.82199999999999995</v>
      </c>
      <c r="H1902">
        <f t="shared" si="504"/>
        <v>383.15</v>
      </c>
      <c r="I1902">
        <f t="shared" si="505"/>
        <v>1100</v>
      </c>
      <c r="J1902">
        <v>0</v>
      </c>
      <c r="K1902" s="3">
        <f t="shared" si="506"/>
        <v>0.17800000000000005</v>
      </c>
      <c r="L1902" s="3">
        <f t="shared" si="507"/>
        <v>3.6999999999999998E-2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hidden="1">
      <c r="A1903" t="str">
        <f t="shared" si="508"/>
        <v>Takenouchi &amp; Kennedy 1964</v>
      </c>
      <c r="C1903">
        <f t="shared" si="509"/>
        <v>110</v>
      </c>
      <c r="D1903">
        <v>1200</v>
      </c>
      <c r="E1903" s="3">
        <v>3.7499999999999999E-2</v>
      </c>
      <c r="F1903" s="3">
        <v>0.81599999999999995</v>
      </c>
      <c r="H1903">
        <f t="shared" si="504"/>
        <v>383.15</v>
      </c>
      <c r="I1903">
        <f t="shared" si="505"/>
        <v>1200</v>
      </c>
      <c r="J1903">
        <v>0</v>
      </c>
      <c r="K1903" s="3">
        <f t="shared" si="506"/>
        <v>0.18400000000000005</v>
      </c>
      <c r="L1903" s="3">
        <f t="shared" si="507"/>
        <v>3.7499999999999999E-2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 hidden="1">
      <c r="A1904" t="str">
        <f t="shared" si="508"/>
        <v>Takenouchi &amp; Kennedy 1964</v>
      </c>
      <c r="C1904">
        <f t="shared" si="509"/>
        <v>110</v>
      </c>
      <c r="D1904">
        <v>1300</v>
      </c>
      <c r="E1904" s="3">
        <v>3.85E-2</v>
      </c>
      <c r="F1904" s="3">
        <v>0.81</v>
      </c>
      <c r="H1904">
        <f t="shared" si="504"/>
        <v>383.15</v>
      </c>
      <c r="I1904">
        <f t="shared" si="505"/>
        <v>1300</v>
      </c>
      <c r="J1904">
        <v>0</v>
      </c>
      <c r="K1904" s="3">
        <f t="shared" si="506"/>
        <v>0.18999999999999995</v>
      </c>
      <c r="L1904" s="3">
        <f t="shared" si="507"/>
        <v>3.85E-2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 hidden="1">
      <c r="A1905" t="str">
        <f t="shared" si="508"/>
        <v>Takenouchi &amp; Kennedy 1964</v>
      </c>
      <c r="C1905">
        <f t="shared" si="509"/>
        <v>110</v>
      </c>
      <c r="D1905">
        <v>1400</v>
      </c>
      <c r="E1905" s="3">
        <v>3.9E-2</v>
      </c>
      <c r="F1905" s="3">
        <v>0.80400000000000005</v>
      </c>
      <c r="H1905">
        <f t="shared" si="504"/>
        <v>383.15</v>
      </c>
      <c r="I1905">
        <f t="shared" si="505"/>
        <v>1400</v>
      </c>
      <c r="J1905">
        <v>0</v>
      </c>
      <c r="K1905" s="3">
        <f t="shared" si="506"/>
        <v>0.19599999999999995</v>
      </c>
      <c r="L1905" s="3">
        <f t="shared" si="507"/>
        <v>3.9E-2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 hidden="1">
      <c r="A1906" t="str">
        <f t="shared" si="508"/>
        <v>Takenouchi &amp; Kennedy 1964</v>
      </c>
      <c r="C1906">
        <f t="shared" si="509"/>
        <v>110</v>
      </c>
      <c r="D1906">
        <v>1500</v>
      </c>
      <c r="E1906" s="3">
        <v>0.04</v>
      </c>
      <c r="F1906" s="3">
        <v>0.8</v>
      </c>
      <c r="H1906">
        <f t="shared" si="504"/>
        <v>383.15</v>
      </c>
      <c r="I1906">
        <f t="shared" si="505"/>
        <v>1500</v>
      </c>
      <c r="J1906">
        <v>0</v>
      </c>
      <c r="K1906" s="3">
        <f t="shared" si="506"/>
        <v>0.19999999999999996</v>
      </c>
      <c r="L1906" s="3">
        <f t="shared" si="507"/>
        <v>0.04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 hidden="1">
      <c r="A1907" t="s">
        <v>56</v>
      </c>
      <c r="E1907" s="3"/>
      <c r="H1907">
        <v>623.15</v>
      </c>
      <c r="I1907">
        <v>200</v>
      </c>
      <c r="J1907">
        <v>0</v>
      </c>
      <c r="L1907" s="3">
        <v>1.5056351624105206E-2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5" hidden="1">
      <c r="A1908" t="str">
        <f t="shared" ref="A1908:A1939" si="510">A1907</f>
        <v>Takenouchi &amp; Kennedy 1965</v>
      </c>
      <c r="E1908" s="3"/>
      <c r="H1908">
        <v>623.15</v>
      </c>
      <c r="I1908">
        <v>300</v>
      </c>
      <c r="J1908">
        <v>0</v>
      </c>
      <c r="L1908" s="3">
        <v>6.3935751164943835E-2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 hidden="1">
      <c r="A1909" t="str">
        <f t="shared" si="510"/>
        <v>Takenouchi &amp; Kennedy 1965</v>
      </c>
      <c r="H1909">
        <v>573.15</v>
      </c>
      <c r="I1909">
        <v>100</v>
      </c>
      <c r="J1909">
        <v>0</v>
      </c>
      <c r="L1909">
        <v>4.1177095797604807E-3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 hidden="1">
      <c r="A1910" t="str">
        <f t="shared" si="510"/>
        <v>Takenouchi &amp; Kennedy 1965</v>
      </c>
      <c r="H1910">
        <v>573.15</v>
      </c>
      <c r="I1910">
        <v>200</v>
      </c>
      <c r="J1910">
        <v>0</v>
      </c>
      <c r="L1910">
        <v>2.7226923142317925E-2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 hidden="1">
      <c r="A1911" t="str">
        <f t="shared" si="510"/>
        <v>Takenouchi &amp; Kennedy 1965</v>
      </c>
      <c r="H1911">
        <v>573.15</v>
      </c>
      <c r="I1911">
        <v>300</v>
      </c>
      <c r="J1911">
        <v>0</v>
      </c>
      <c r="L1911">
        <v>5.3817453630277817E-2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5" hidden="1">
      <c r="A1912" t="str">
        <f t="shared" si="510"/>
        <v>Takenouchi &amp; Kennedy 1965</v>
      </c>
      <c r="H1912">
        <v>573.15</v>
      </c>
      <c r="I1912">
        <v>400</v>
      </c>
      <c r="J1912">
        <v>0</v>
      </c>
      <c r="L1912">
        <v>8.3473039348597011E-2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 hidden="1">
      <c r="A1913" t="str">
        <f t="shared" si="510"/>
        <v>Takenouchi &amp; Kennedy 1965</v>
      </c>
      <c r="H1913">
        <v>573.15</v>
      </c>
      <c r="I1913">
        <v>500</v>
      </c>
      <c r="J1913">
        <v>0</v>
      </c>
      <c r="L1913">
        <v>0.12802969366296144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 hidden="1">
      <c r="A1914" t="str">
        <f t="shared" si="510"/>
        <v>Takenouchi &amp; Kennedy 1965</v>
      </c>
      <c r="H1914">
        <v>523.15</v>
      </c>
      <c r="I1914">
        <v>100</v>
      </c>
      <c r="J1914">
        <v>0</v>
      </c>
      <c r="L1914">
        <v>1.1654229666093223E-2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 hidden="1">
      <c r="A1915" t="str">
        <f t="shared" si="510"/>
        <v>Takenouchi &amp; Kennedy 1965</v>
      </c>
      <c r="H1915">
        <v>523.15</v>
      </c>
      <c r="I1915">
        <v>200</v>
      </c>
      <c r="J1915">
        <v>0</v>
      </c>
      <c r="L1915">
        <v>2.5462717577967652E-2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 hidden="1">
      <c r="A1916" t="str">
        <f t="shared" si="510"/>
        <v>Takenouchi &amp; Kennedy 1965</v>
      </c>
      <c r="H1916">
        <v>523.15</v>
      </c>
      <c r="I1916">
        <v>300</v>
      </c>
      <c r="J1916">
        <v>0</v>
      </c>
      <c r="L1916">
        <v>4.1658717632980111E-2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hidden="1">
      <c r="A1917" t="str">
        <f t="shared" si="510"/>
        <v>Takenouchi &amp; Kennedy 1965</v>
      </c>
      <c r="H1917">
        <v>523.15</v>
      </c>
      <c r="I1917">
        <v>400</v>
      </c>
      <c r="J1917">
        <v>0</v>
      </c>
      <c r="L1917">
        <v>5.3342372941081906E-2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1:25" hidden="1">
      <c r="A1918" t="str">
        <f t="shared" si="510"/>
        <v>Takenouchi &amp; Kennedy 1965</v>
      </c>
      <c r="H1918">
        <v>523.15</v>
      </c>
      <c r="I1918">
        <v>500</v>
      </c>
      <c r="J1918">
        <v>0</v>
      </c>
      <c r="L1918">
        <v>6.3935751164943835E-2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 hidden="1">
      <c r="A1919" t="str">
        <f t="shared" si="510"/>
        <v>Takenouchi &amp; Kennedy 1965</v>
      </c>
      <c r="H1919">
        <v>523.15</v>
      </c>
      <c r="I1919">
        <v>600</v>
      </c>
      <c r="J1919">
        <v>0</v>
      </c>
      <c r="L1919">
        <v>7.4331984294592632E-2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 hidden="1">
      <c r="A1920" t="str">
        <f t="shared" si="510"/>
        <v>Takenouchi &amp; Kennedy 1965</v>
      </c>
      <c r="H1920">
        <v>523.15</v>
      </c>
      <c r="I1920">
        <v>800</v>
      </c>
      <c r="J1920">
        <v>0</v>
      </c>
      <c r="L1920">
        <v>9.4945568013244136E-2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1:25" hidden="1">
      <c r="A1921" t="str">
        <f t="shared" si="510"/>
        <v>Takenouchi &amp; Kennedy 1965</v>
      </c>
      <c r="H1921">
        <v>523.15</v>
      </c>
      <c r="I1921">
        <v>1000</v>
      </c>
      <c r="J1921">
        <v>0</v>
      </c>
      <c r="L1921">
        <v>0.11558115877824592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 hidden="1">
      <c r="A1922" t="str">
        <f t="shared" si="510"/>
        <v>Takenouchi &amp; Kennedy 1965</v>
      </c>
      <c r="H1922">
        <v>523.15</v>
      </c>
      <c r="I1922">
        <v>1200</v>
      </c>
      <c r="J1922">
        <v>0</v>
      </c>
      <c r="L1922">
        <v>0.13265200046779374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hidden="1">
      <c r="A1923" t="str">
        <f t="shared" si="510"/>
        <v>Takenouchi &amp; Kennedy 1965</v>
      </c>
      <c r="H1923">
        <v>523.15</v>
      </c>
      <c r="I1923">
        <v>1400</v>
      </c>
      <c r="J1923">
        <v>0</v>
      </c>
      <c r="L1923">
        <v>0.14205452717487729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hidden="1">
      <c r="A1924" t="str">
        <f t="shared" si="510"/>
        <v>Takenouchi &amp; Kennedy 1965</v>
      </c>
      <c r="H1924">
        <v>473.15</v>
      </c>
      <c r="I1924">
        <v>100</v>
      </c>
      <c r="J1924">
        <v>0</v>
      </c>
      <c r="L1924">
        <v>1.335119421485307E-2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1:25" hidden="1">
      <c r="A1925" t="str">
        <f t="shared" si="510"/>
        <v>Takenouchi &amp; Kennedy 1965</v>
      </c>
      <c r="H1925">
        <v>473.15</v>
      </c>
      <c r="I1925">
        <v>200</v>
      </c>
      <c r="J1925">
        <v>0</v>
      </c>
      <c r="L1925">
        <v>2.5902958221708051E-2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 hidden="1">
      <c r="A1926" t="str">
        <f t="shared" si="510"/>
        <v>Takenouchi &amp; Kennedy 1965</v>
      </c>
      <c r="H1926">
        <v>473.15</v>
      </c>
      <c r="I1926">
        <v>300</v>
      </c>
      <c r="J1926">
        <v>0</v>
      </c>
      <c r="L1926">
        <v>3.3920573967329656E-2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 hidden="1">
      <c r="A1927" t="str">
        <f t="shared" si="510"/>
        <v>Takenouchi &amp; Kennedy 1965</v>
      </c>
      <c r="H1927">
        <v>473.15</v>
      </c>
      <c r="I1927">
        <v>400</v>
      </c>
      <c r="J1927">
        <v>0</v>
      </c>
      <c r="L1927">
        <v>4.1198975216340215E-2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 hidden="1">
      <c r="A1928" t="str">
        <f t="shared" si="510"/>
        <v>Takenouchi &amp; Kennedy 1965</v>
      </c>
      <c r="H1928">
        <v>473.15</v>
      </c>
      <c r="I1928">
        <v>500</v>
      </c>
      <c r="J1928">
        <v>0</v>
      </c>
      <c r="L1928">
        <v>4.7220875217887065E-2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1:25" hidden="1">
      <c r="A1929" t="str">
        <f t="shared" si="510"/>
        <v>Takenouchi &amp; Kennedy 1965</v>
      </c>
      <c r="H1929">
        <v>473.15</v>
      </c>
      <c r="I1929">
        <v>600</v>
      </c>
      <c r="J1929">
        <v>0</v>
      </c>
      <c r="L1929">
        <v>5.1920750494778178E-2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 hidden="1">
      <c r="A1930" t="str">
        <f t="shared" si="510"/>
        <v>Takenouchi &amp; Kennedy 1965</v>
      </c>
      <c r="H1930">
        <v>473.15</v>
      </c>
      <c r="I1930">
        <v>800</v>
      </c>
      <c r="J1930">
        <v>0</v>
      </c>
      <c r="L1930">
        <v>5.8601737957833022E-2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 hidden="1">
      <c r="A1931" t="str">
        <f t="shared" si="510"/>
        <v>Takenouchi &amp; Kennedy 1965</v>
      </c>
      <c r="H1931">
        <v>473.15</v>
      </c>
      <c r="I1931">
        <v>1000</v>
      </c>
      <c r="J1931">
        <v>0</v>
      </c>
      <c r="L1931">
        <v>6.3447714473007705E-2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 hidden="1">
      <c r="A1932" t="str">
        <f t="shared" si="510"/>
        <v>Takenouchi &amp; Kennedy 1965</v>
      </c>
      <c r="H1932">
        <v>473.15</v>
      </c>
      <c r="I1932">
        <v>1200</v>
      </c>
      <c r="J1932">
        <v>0</v>
      </c>
      <c r="L1932">
        <v>6.7369720087507731E-2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 hidden="1">
      <c r="A1933" t="str">
        <f t="shared" si="510"/>
        <v>Takenouchi &amp; Kennedy 1965</v>
      </c>
      <c r="H1933">
        <v>473.15</v>
      </c>
      <c r="I1933">
        <v>1400</v>
      </c>
      <c r="J1933">
        <v>0</v>
      </c>
      <c r="L1933">
        <v>7.0338017128363614E-2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 hidden="1">
      <c r="A1934" t="str">
        <f t="shared" si="510"/>
        <v>Takenouchi &amp; Kennedy 1965</v>
      </c>
      <c r="H1934">
        <v>423.15</v>
      </c>
      <c r="I1934">
        <v>100</v>
      </c>
      <c r="J1934">
        <v>0</v>
      </c>
      <c r="L1934">
        <v>1.2926187307679089E-2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 hidden="1">
      <c r="A1935" t="str">
        <f t="shared" si="510"/>
        <v>Takenouchi &amp; Kennedy 1965</v>
      </c>
      <c r="H1935">
        <v>423.15</v>
      </c>
      <c r="I1935">
        <v>200</v>
      </c>
      <c r="J1935">
        <v>0</v>
      </c>
      <c r="L1935">
        <v>2.1524681641977818E-2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 hidden="1">
      <c r="A1936" t="str">
        <f t="shared" si="510"/>
        <v>Takenouchi &amp; Kennedy 1965</v>
      </c>
      <c r="H1936">
        <v>423.15</v>
      </c>
      <c r="I1936">
        <v>300</v>
      </c>
      <c r="J1936">
        <v>0</v>
      </c>
      <c r="L1936">
        <v>2.5902958221708051E-2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1:25" hidden="1">
      <c r="A1937" t="str">
        <f t="shared" si="510"/>
        <v>Takenouchi &amp; Kennedy 1965</v>
      </c>
      <c r="H1937">
        <v>423.15</v>
      </c>
      <c r="I1937">
        <v>400</v>
      </c>
      <c r="J1937">
        <v>0</v>
      </c>
      <c r="L1937">
        <v>2.9444401214742785E-2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 hidden="1">
      <c r="A1938" t="str">
        <f t="shared" si="510"/>
        <v>Takenouchi &amp; Kennedy 1965</v>
      </c>
      <c r="H1938">
        <v>423.15</v>
      </c>
      <c r="I1938">
        <v>500</v>
      </c>
      <c r="J1938">
        <v>0</v>
      </c>
      <c r="L1938">
        <v>3.2123465375665343E-2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 hidden="1">
      <c r="A1939" t="str">
        <f t="shared" si="510"/>
        <v>Takenouchi &amp; Kennedy 1965</v>
      </c>
      <c r="H1939">
        <v>423.15</v>
      </c>
      <c r="I1939">
        <v>600</v>
      </c>
      <c r="J1939">
        <v>0</v>
      </c>
      <c r="L1939">
        <v>3.4371243775399234E-2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 hidden="1">
      <c r="A1940" t="str">
        <f t="shared" ref="A1940:A1971" si="511">A1939</f>
        <v>Takenouchi &amp; Kennedy 1965</v>
      </c>
      <c r="H1940">
        <v>423.15</v>
      </c>
      <c r="I1940">
        <v>800</v>
      </c>
      <c r="J1940">
        <v>0</v>
      </c>
      <c r="L1940">
        <v>3.8908867074869603E-2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 hidden="1">
      <c r="A1941" t="str">
        <f t="shared" si="511"/>
        <v>Takenouchi &amp; Kennedy 1965</v>
      </c>
      <c r="H1941">
        <v>423.15</v>
      </c>
      <c r="I1941">
        <v>1000</v>
      </c>
      <c r="J1941">
        <v>0</v>
      </c>
      <c r="L1941">
        <v>4.2119036161479502E-2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 hidden="1">
      <c r="A1942" t="str">
        <f t="shared" si="511"/>
        <v>Takenouchi &amp; Kennedy 1965</v>
      </c>
      <c r="H1942">
        <v>423.15</v>
      </c>
      <c r="I1942">
        <v>1200</v>
      </c>
      <c r="J1942">
        <v>0</v>
      </c>
      <c r="L1942">
        <v>4.4893106553037E-2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 hidden="1">
      <c r="A1943" t="str">
        <f t="shared" si="511"/>
        <v>Takenouchi &amp; Kennedy 1965</v>
      </c>
      <c r="H1943">
        <v>423.15</v>
      </c>
      <c r="I1943">
        <v>1400</v>
      </c>
      <c r="J1943">
        <v>0</v>
      </c>
      <c r="L1943">
        <v>4.7220875217887065E-2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 hidden="1">
      <c r="A1944" t="str">
        <f t="shared" si="511"/>
        <v>Takenouchi &amp; Kennedy 1965</v>
      </c>
      <c r="H1944">
        <v>673.15</v>
      </c>
      <c r="I1944">
        <v>300</v>
      </c>
      <c r="J1944">
        <v>1.0922277076324873</v>
      </c>
      <c r="L1944">
        <v>7.3314907310244168E-3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 hidden="1">
      <c r="A1945" t="str">
        <f t="shared" si="511"/>
        <v>Takenouchi &amp; Kennedy 1965</v>
      </c>
      <c r="H1945">
        <v>673.15</v>
      </c>
      <c r="I1945">
        <v>400</v>
      </c>
      <c r="J1945">
        <v>1.0922277076324873</v>
      </c>
      <c r="L1945">
        <v>3.3467899376097773E-2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 hidden="1">
      <c r="A1946" t="str">
        <f t="shared" si="511"/>
        <v>Takenouchi &amp; Kennedy 1965</v>
      </c>
      <c r="H1946">
        <v>673.15</v>
      </c>
      <c r="I1946">
        <v>500</v>
      </c>
      <c r="J1946">
        <v>1.0922277076324873</v>
      </c>
      <c r="L1946">
        <v>6.2486720286351466E-2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 hidden="1">
      <c r="A1947" t="str">
        <f t="shared" si="511"/>
        <v>Takenouchi &amp; Kennedy 1965</v>
      </c>
      <c r="H1947">
        <v>623.15</v>
      </c>
      <c r="I1947">
        <v>200</v>
      </c>
      <c r="J1947">
        <v>1.0922277076324873</v>
      </c>
      <c r="L1947">
        <v>1.3921269902545278E-2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 hidden="1">
      <c r="A1948" t="str">
        <f t="shared" si="511"/>
        <v>Takenouchi &amp; Kennedy 1965</v>
      </c>
      <c r="H1948">
        <v>623.15</v>
      </c>
      <c r="I1948">
        <v>300</v>
      </c>
      <c r="J1948">
        <v>1.0922277076324873</v>
      </c>
      <c r="L1948">
        <v>3.3467899376097773E-2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 hidden="1">
      <c r="A1949" t="str">
        <f t="shared" si="511"/>
        <v>Takenouchi &amp; Kennedy 1965</v>
      </c>
      <c r="H1949">
        <v>623.15</v>
      </c>
      <c r="I1949">
        <v>400</v>
      </c>
      <c r="J1949">
        <v>1.0922277076324873</v>
      </c>
      <c r="L1949">
        <v>5.2576464677326282E-2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 hidden="1">
      <c r="A1950" t="str">
        <f t="shared" si="511"/>
        <v>Takenouchi &amp; Kennedy 1965</v>
      </c>
      <c r="H1950">
        <v>623.15</v>
      </c>
      <c r="I1950">
        <v>500</v>
      </c>
      <c r="J1950">
        <v>1.0922277076324873</v>
      </c>
      <c r="L1950">
        <v>6.906146248740648E-2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 hidden="1">
      <c r="A1951" t="str">
        <f t="shared" si="511"/>
        <v>Takenouchi &amp; Kennedy 1965</v>
      </c>
      <c r="H1951">
        <v>623.15</v>
      </c>
      <c r="I1951">
        <v>600</v>
      </c>
      <c r="J1951">
        <v>1.0922277076324873</v>
      </c>
      <c r="L1951">
        <v>8.5710680041254164E-2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hidden="1">
      <c r="A1952" t="str">
        <f t="shared" si="511"/>
        <v>Takenouchi &amp; Kennedy 1965</v>
      </c>
      <c r="H1952">
        <v>623.15</v>
      </c>
      <c r="I1952">
        <v>800</v>
      </c>
      <c r="J1952">
        <v>1.0922277076324873</v>
      </c>
      <c r="L1952">
        <v>0.11313275601116606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 hidden="1">
      <c r="A1953" t="str">
        <f t="shared" si="511"/>
        <v>Takenouchi &amp; Kennedy 1965</v>
      </c>
      <c r="H1953">
        <v>623.15</v>
      </c>
      <c r="I1953">
        <v>1000</v>
      </c>
      <c r="J1953">
        <v>1.0922277076324873</v>
      </c>
      <c r="L1953">
        <v>0.14363951356483329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 hidden="1">
      <c r="A1954" t="str">
        <f t="shared" si="511"/>
        <v>Takenouchi &amp; Kennedy 1965</v>
      </c>
      <c r="H1954">
        <v>623.15</v>
      </c>
      <c r="I1954">
        <v>1200</v>
      </c>
      <c r="J1954">
        <v>1.0922277076324873</v>
      </c>
      <c r="L1954">
        <v>0.16098175245164695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 hidden="1">
      <c r="A1955" t="str">
        <f t="shared" si="511"/>
        <v>Takenouchi &amp; Kennedy 1965</v>
      </c>
      <c r="H1955">
        <v>623.15</v>
      </c>
      <c r="I1955">
        <v>1400</v>
      </c>
      <c r="J1955">
        <v>1.0922277076324873</v>
      </c>
      <c r="L1955">
        <v>0.18032955088727667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 hidden="1">
      <c r="A1956" t="str">
        <f t="shared" si="511"/>
        <v>Takenouchi &amp; Kennedy 1965</v>
      </c>
      <c r="H1956">
        <v>573.15</v>
      </c>
      <c r="I1956">
        <v>100</v>
      </c>
      <c r="J1956">
        <v>1.0922277076324873</v>
      </c>
      <c r="L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 hidden="1">
      <c r="A1957" t="str">
        <f t="shared" si="511"/>
        <v>Takenouchi &amp; Kennedy 1965</v>
      </c>
      <c r="H1957">
        <v>573.15</v>
      </c>
      <c r="I1957">
        <v>200</v>
      </c>
      <c r="J1957">
        <v>1.0922277076324873</v>
      </c>
      <c r="L1957">
        <v>2.0176687455946883E-2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 hidden="1">
      <c r="A1958" t="str">
        <f t="shared" si="511"/>
        <v>Takenouchi &amp; Kennedy 1965</v>
      </c>
      <c r="H1958">
        <v>573.15</v>
      </c>
      <c r="I1958">
        <v>300</v>
      </c>
      <c r="J1958">
        <v>1.0922277076324873</v>
      </c>
      <c r="L1958">
        <v>3.3934453265114191E-2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hidden="1">
      <c r="A1959" t="str">
        <f t="shared" si="511"/>
        <v>Takenouchi &amp; Kennedy 1965</v>
      </c>
      <c r="H1959">
        <v>573.15</v>
      </c>
      <c r="I1959">
        <v>400</v>
      </c>
      <c r="J1959">
        <v>1.0922277076324873</v>
      </c>
      <c r="L1959">
        <v>4.7711957645849651E-2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 hidden="1">
      <c r="A1960" t="str">
        <f t="shared" si="511"/>
        <v>Takenouchi &amp; Kennedy 1965</v>
      </c>
      <c r="H1960">
        <v>573.15</v>
      </c>
      <c r="I1960">
        <v>500</v>
      </c>
      <c r="J1960">
        <v>1.0922277076324873</v>
      </c>
      <c r="L1960">
        <v>5.9986150576934863E-2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1:25" hidden="1">
      <c r="A1961" t="str">
        <f t="shared" si="511"/>
        <v>Takenouchi &amp; Kennedy 1965</v>
      </c>
      <c r="H1961">
        <v>573.15</v>
      </c>
      <c r="I1961">
        <v>600</v>
      </c>
      <c r="J1961">
        <v>1.0922277076324873</v>
      </c>
      <c r="L1961">
        <v>7.1618793761881849E-2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 hidden="1">
      <c r="A1962" t="str">
        <f t="shared" si="511"/>
        <v>Takenouchi &amp; Kennedy 1965</v>
      </c>
      <c r="H1962">
        <v>573.15</v>
      </c>
      <c r="I1962">
        <v>800</v>
      </c>
      <c r="J1962">
        <v>1.0922277076324873</v>
      </c>
      <c r="L1962">
        <v>9.105405282950689E-2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 hidden="1">
      <c r="A1963" t="str">
        <f t="shared" si="511"/>
        <v>Takenouchi &amp; Kennedy 1965</v>
      </c>
      <c r="H1963">
        <v>573.15</v>
      </c>
      <c r="I1963">
        <v>1000</v>
      </c>
      <c r="J1963">
        <v>1.0922277076324873</v>
      </c>
      <c r="L1963">
        <v>0.10527384014629521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 hidden="1">
      <c r="A1964" t="str">
        <f t="shared" si="511"/>
        <v>Takenouchi &amp; Kennedy 1965</v>
      </c>
      <c r="H1964">
        <v>573.15</v>
      </c>
      <c r="I1964">
        <v>1200</v>
      </c>
      <c r="J1964">
        <v>1.0922277076324873</v>
      </c>
      <c r="L1964">
        <v>0.1176891071678373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 hidden="1">
      <c r="A1965" t="str">
        <f t="shared" si="511"/>
        <v>Takenouchi &amp; Kennedy 1965</v>
      </c>
      <c r="H1965">
        <v>573.15</v>
      </c>
      <c r="I1965">
        <v>1400</v>
      </c>
      <c r="J1965">
        <v>1.0922277076324873</v>
      </c>
      <c r="L1965">
        <v>0.12636392823994569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 hidden="1">
      <c r="A1966" t="str">
        <f t="shared" si="511"/>
        <v>Takenouchi &amp; Kennedy 1965</v>
      </c>
      <c r="H1966">
        <v>523.15</v>
      </c>
      <c r="I1966">
        <v>100</v>
      </c>
      <c r="J1966">
        <v>1.0922277076324873</v>
      </c>
      <c r="L1966">
        <v>1.039242920309191E-2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 hidden="1">
      <c r="A1967" t="str">
        <f t="shared" si="511"/>
        <v>Takenouchi &amp; Kennedy 1965</v>
      </c>
      <c r="H1967">
        <v>523.15</v>
      </c>
      <c r="I1967">
        <v>200</v>
      </c>
      <c r="J1967">
        <v>1.0922277076324873</v>
      </c>
      <c r="L1967">
        <v>2.1530567028999519E-2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hidden="1">
      <c r="A1968" t="str">
        <f t="shared" si="511"/>
        <v>Takenouchi &amp; Kennedy 1965</v>
      </c>
      <c r="H1968">
        <v>523.15</v>
      </c>
      <c r="I1968">
        <v>300</v>
      </c>
      <c r="J1968">
        <v>1.0922277076324873</v>
      </c>
      <c r="L1968">
        <v>3.0217598104230733E-2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 hidden="1">
      <c r="A1969" t="str">
        <f t="shared" si="511"/>
        <v>Takenouchi &amp; Kennedy 1965</v>
      </c>
      <c r="H1969">
        <v>523.15</v>
      </c>
      <c r="I1969">
        <v>400</v>
      </c>
      <c r="J1969">
        <v>1.0922277076324873</v>
      </c>
      <c r="L1969">
        <v>3.8158727343898469E-2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 hidden="1">
      <c r="A1970" t="str">
        <f t="shared" si="511"/>
        <v>Takenouchi &amp; Kennedy 1965</v>
      </c>
      <c r="H1970">
        <v>523.15</v>
      </c>
      <c r="I1970">
        <v>500</v>
      </c>
      <c r="J1970">
        <v>1.0922277076324873</v>
      </c>
      <c r="L1970">
        <v>4.5301877413605515E-2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 hidden="1">
      <c r="A1971" t="str">
        <f t="shared" si="511"/>
        <v>Takenouchi &amp; Kennedy 1965</v>
      </c>
      <c r="H1971">
        <v>523.15</v>
      </c>
      <c r="I1971">
        <v>600</v>
      </c>
      <c r="J1971">
        <v>1.0922277076324873</v>
      </c>
      <c r="L1971">
        <v>5.2576464677326282E-2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 hidden="1">
      <c r="A1972" t="str">
        <f t="shared" ref="A1972:A2003" si="512">A1971</f>
        <v>Takenouchi &amp; Kennedy 1965</v>
      </c>
      <c r="H1972">
        <v>523.15</v>
      </c>
      <c r="I1972">
        <v>800</v>
      </c>
      <c r="J1972">
        <v>1.0922277076324873</v>
      </c>
      <c r="L1972">
        <v>6.1985364900773242E-2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 hidden="1">
      <c r="A1973" t="str">
        <f t="shared" si="512"/>
        <v>Takenouchi &amp; Kennedy 1965</v>
      </c>
      <c r="H1973">
        <v>523.15</v>
      </c>
      <c r="I1973">
        <v>1000</v>
      </c>
      <c r="J1973">
        <v>1.0922277076324873</v>
      </c>
      <c r="L1973">
        <v>6.906146248740648E-2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 hidden="1">
      <c r="A1974" t="str">
        <f t="shared" si="512"/>
        <v>Takenouchi &amp; Kennedy 1965</v>
      </c>
      <c r="H1974">
        <v>523.15</v>
      </c>
      <c r="I1974">
        <v>1200</v>
      </c>
      <c r="J1974">
        <v>1.0922277076324873</v>
      </c>
      <c r="L1974">
        <v>7.5744096553542237E-2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 hidden="1">
      <c r="A1975" t="str">
        <f t="shared" si="512"/>
        <v>Takenouchi &amp; Kennedy 1965</v>
      </c>
      <c r="H1975">
        <v>523.15</v>
      </c>
      <c r="I1975">
        <v>1400</v>
      </c>
      <c r="J1975">
        <v>1.0922277076324873</v>
      </c>
      <c r="L1975">
        <v>8.0435142606903334E-2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 hidden="1">
      <c r="A1976" t="str">
        <f t="shared" si="512"/>
        <v>Takenouchi &amp; Kennedy 1965</v>
      </c>
      <c r="H1976">
        <v>473.15</v>
      </c>
      <c r="I1976">
        <v>100</v>
      </c>
      <c r="J1976">
        <v>1.0922277076324873</v>
      </c>
      <c r="L1976">
        <v>1.0831739507242191E-2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 hidden="1">
      <c r="A1977" t="str">
        <f t="shared" si="512"/>
        <v>Takenouchi &amp; Kennedy 1965</v>
      </c>
      <c r="H1977">
        <v>473.15</v>
      </c>
      <c r="I1977">
        <v>200</v>
      </c>
      <c r="J1977">
        <v>1.0922277076324873</v>
      </c>
      <c r="L1977">
        <v>1.927675356363617E-2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</row>
    <row r="1978" spans="1:25" hidden="1">
      <c r="A1978" t="str">
        <f t="shared" si="512"/>
        <v>Takenouchi &amp; Kennedy 1965</v>
      </c>
      <c r="H1978">
        <v>473.15</v>
      </c>
      <c r="I1978">
        <v>300</v>
      </c>
      <c r="J1978">
        <v>1.0922277076324873</v>
      </c>
      <c r="L1978">
        <v>2.4708318681157651E-2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 hidden="1">
      <c r="A1979" t="str">
        <f t="shared" si="512"/>
        <v>Takenouchi &amp; Kennedy 1965</v>
      </c>
      <c r="H1979">
        <v>473.15</v>
      </c>
      <c r="I1979">
        <v>400</v>
      </c>
      <c r="J1979">
        <v>1.0922277076324873</v>
      </c>
      <c r="L1979">
        <v>2.8832901482255532E-2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 hidden="1">
      <c r="A1980" t="str">
        <f t="shared" si="512"/>
        <v>Takenouchi &amp; Kennedy 1965</v>
      </c>
      <c r="H1980">
        <v>473.15</v>
      </c>
      <c r="I1980">
        <v>500</v>
      </c>
      <c r="J1980">
        <v>1.0922277076324873</v>
      </c>
      <c r="L1980">
        <v>3.2071583391169757E-2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</row>
    <row r="1981" spans="1:25" hidden="1">
      <c r="A1981" t="str">
        <f t="shared" si="512"/>
        <v>Takenouchi &amp; Kennedy 1965</v>
      </c>
      <c r="H1981">
        <v>473.15</v>
      </c>
      <c r="I1981">
        <v>600</v>
      </c>
      <c r="J1981">
        <v>1.0922277076324873</v>
      </c>
      <c r="L1981">
        <v>3.5337474668443135E-2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</row>
    <row r="1982" spans="1:25" hidden="1">
      <c r="A1982" t="str">
        <f t="shared" si="512"/>
        <v>Takenouchi &amp; Kennedy 1965</v>
      </c>
      <c r="H1982">
        <v>473.15</v>
      </c>
      <c r="I1982">
        <v>800</v>
      </c>
      <c r="J1982">
        <v>1.0922277076324873</v>
      </c>
      <c r="L1982">
        <v>4.0050917454565564E-2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 hidden="1">
      <c r="A1983" t="str">
        <f t="shared" si="512"/>
        <v>Takenouchi &amp; Kennedy 1965</v>
      </c>
      <c r="H1983">
        <v>473.15</v>
      </c>
      <c r="I1983">
        <v>1000</v>
      </c>
      <c r="J1983">
        <v>1.0922277076324873</v>
      </c>
      <c r="L1983">
        <v>4.3384333801124268E-2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 hidden="1">
      <c r="A1984" t="str">
        <f t="shared" si="512"/>
        <v>Takenouchi &amp; Kennedy 1965</v>
      </c>
      <c r="H1984">
        <v>473.15</v>
      </c>
      <c r="I1984">
        <v>1200</v>
      </c>
      <c r="J1984">
        <v>1.0922277076324873</v>
      </c>
      <c r="L1984">
        <v>4.6264149675884887E-2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 hidden="1">
      <c r="A1985" t="str">
        <f t="shared" si="512"/>
        <v>Takenouchi &amp; Kennedy 1965</v>
      </c>
      <c r="H1985">
        <v>473.15</v>
      </c>
      <c r="I1985">
        <v>1400</v>
      </c>
      <c r="J1985">
        <v>1.0922277076324873</v>
      </c>
      <c r="L1985">
        <v>4.8680108541576603E-2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 hidden="1">
      <c r="A1986" t="str">
        <f t="shared" si="512"/>
        <v>Takenouchi &amp; Kennedy 1965</v>
      </c>
      <c r="H1986">
        <v>423.15</v>
      </c>
      <c r="I1986">
        <v>100</v>
      </c>
      <c r="J1986">
        <v>1.0922277076324873</v>
      </c>
      <c r="L1986">
        <v>1.0831739507242191E-2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 hidden="1">
      <c r="A1987" t="str">
        <f t="shared" si="512"/>
        <v>Takenouchi &amp; Kennedy 1965</v>
      </c>
      <c r="H1987">
        <v>423.15</v>
      </c>
      <c r="I1987">
        <v>200</v>
      </c>
      <c r="J1987">
        <v>1.0922277076324873</v>
      </c>
      <c r="L1987">
        <v>1.7483218158741206E-2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 hidden="1">
      <c r="A1988" t="str">
        <f t="shared" si="512"/>
        <v>Takenouchi &amp; Kennedy 1965</v>
      </c>
      <c r="H1988">
        <v>423.15</v>
      </c>
      <c r="I1988">
        <v>300</v>
      </c>
      <c r="J1988">
        <v>1.0922277076324873</v>
      </c>
      <c r="L1988">
        <v>2.0627449211961846E-2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 hidden="1">
      <c r="A1989" t="str">
        <f t="shared" si="512"/>
        <v>Takenouchi &amp; Kennedy 1965</v>
      </c>
      <c r="H1989">
        <v>423.15</v>
      </c>
      <c r="I1989">
        <v>400</v>
      </c>
      <c r="J1989">
        <v>1.0922277076324873</v>
      </c>
      <c r="L1989">
        <v>2.2889243639344359E-2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 hidden="1">
      <c r="A1990" t="str">
        <f t="shared" si="512"/>
        <v>Takenouchi &amp; Kennedy 1965</v>
      </c>
      <c r="H1990">
        <v>423.15</v>
      </c>
      <c r="I1990">
        <v>500</v>
      </c>
      <c r="J1990">
        <v>1.0922277076324873</v>
      </c>
      <c r="L1990">
        <v>2.4708318681157651E-2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 hidden="1">
      <c r="A1991" t="str">
        <f t="shared" si="512"/>
        <v>Takenouchi &amp; Kennedy 1965</v>
      </c>
      <c r="H1991">
        <v>423.15</v>
      </c>
      <c r="I1991">
        <v>600</v>
      </c>
      <c r="J1991">
        <v>1.0922277076324873</v>
      </c>
      <c r="L1991">
        <v>2.6536028258544685E-2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</row>
    <row r="1992" spans="1:25" hidden="1">
      <c r="A1992" t="str">
        <f t="shared" si="512"/>
        <v>Takenouchi &amp; Kennedy 1965</v>
      </c>
      <c r="H1992">
        <v>423.15</v>
      </c>
      <c r="I1992">
        <v>800</v>
      </c>
      <c r="J1992">
        <v>1.0922277076324873</v>
      </c>
      <c r="L1992">
        <v>2.929391734207273E-2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 hidden="1">
      <c r="A1993" t="str">
        <f t="shared" si="512"/>
        <v>Takenouchi &amp; Kennedy 1965</v>
      </c>
      <c r="H1993">
        <v>423.15</v>
      </c>
      <c r="I1993">
        <v>1000</v>
      </c>
      <c r="J1993">
        <v>1.0922277076324873</v>
      </c>
      <c r="L1993">
        <v>3.2071583391169757E-2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 hidden="1">
      <c r="A1994" t="str">
        <f t="shared" si="512"/>
        <v>Takenouchi &amp; Kennedy 1965</v>
      </c>
      <c r="H1994">
        <v>423.15</v>
      </c>
      <c r="I1994">
        <v>1200</v>
      </c>
      <c r="J1994">
        <v>1.0922277076324873</v>
      </c>
      <c r="L1994">
        <v>3.4401566438925939E-2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 hidden="1">
      <c r="A1995" t="str">
        <f t="shared" si="512"/>
        <v>Takenouchi &amp; Kennedy 1965</v>
      </c>
      <c r="H1995">
        <v>423.15</v>
      </c>
      <c r="I1995">
        <v>1400</v>
      </c>
      <c r="J1995">
        <v>1.0922277076324873</v>
      </c>
      <c r="L1995">
        <v>3.5806271743948355E-2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1:25" hidden="1">
      <c r="A1996" t="str">
        <f t="shared" si="512"/>
        <v>Takenouchi &amp; Kennedy 1965</v>
      </c>
      <c r="H1996">
        <v>723.15</v>
      </c>
      <c r="I1996">
        <v>500</v>
      </c>
      <c r="J1996">
        <v>4.2778918548939089</v>
      </c>
      <c r="L1996">
        <v>1.0573478301694523E-2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 hidden="1">
      <c r="A1997" t="str">
        <f t="shared" si="512"/>
        <v>Takenouchi &amp; Kennedy 1965</v>
      </c>
      <c r="H1997">
        <v>723.15</v>
      </c>
      <c r="I1997">
        <v>600</v>
      </c>
      <c r="J1997">
        <v>4.2778918548939089</v>
      </c>
      <c r="L1997">
        <v>2.0402434087957333E-2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 hidden="1">
      <c r="A1998" t="str">
        <f t="shared" si="512"/>
        <v>Takenouchi &amp; Kennedy 1965</v>
      </c>
      <c r="H1998">
        <v>723.15</v>
      </c>
      <c r="I1998">
        <v>700</v>
      </c>
      <c r="J1998">
        <v>4.2778918548939089</v>
      </c>
      <c r="L1998">
        <v>2.9430690786598986E-2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 hidden="1">
      <c r="A1999" t="str">
        <f t="shared" si="512"/>
        <v>Takenouchi &amp; Kennedy 1965</v>
      </c>
      <c r="H1999">
        <v>723.15</v>
      </c>
      <c r="I1999">
        <v>800</v>
      </c>
      <c r="J1999">
        <v>4.2778918548939089</v>
      </c>
      <c r="L1999">
        <v>3.7604990909859595E-2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 hidden="1">
      <c r="A2000" t="str">
        <f t="shared" si="512"/>
        <v>Takenouchi &amp; Kennedy 1965</v>
      </c>
      <c r="H2000">
        <v>723.15</v>
      </c>
      <c r="I2000">
        <v>900</v>
      </c>
      <c r="J2000">
        <v>4.2778918548939089</v>
      </c>
      <c r="L2000">
        <v>4.5923570887620412E-2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 hidden="1">
      <c r="A2001" t="str">
        <f t="shared" si="512"/>
        <v>Takenouchi &amp; Kennedy 1965</v>
      </c>
      <c r="H2001">
        <v>623.15</v>
      </c>
      <c r="I2001">
        <v>200</v>
      </c>
      <c r="J2001">
        <v>4.2778918548939089</v>
      </c>
      <c r="L2001">
        <v>5.2560345532654965E-3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 hidden="1">
      <c r="A2002" t="str">
        <f t="shared" si="512"/>
        <v>Takenouchi &amp; Kennedy 1965</v>
      </c>
      <c r="H2002">
        <v>623.15</v>
      </c>
      <c r="I2002">
        <v>300</v>
      </c>
      <c r="J2002">
        <v>4.2778918548939089</v>
      </c>
      <c r="L2002">
        <v>1.2522530308264945E-2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 hidden="1">
      <c r="A2003" t="str">
        <f t="shared" si="512"/>
        <v>Takenouchi &amp; Kennedy 1965</v>
      </c>
      <c r="H2003">
        <v>623.15</v>
      </c>
      <c r="I2003">
        <v>400</v>
      </c>
      <c r="J2003">
        <v>4.2778918548939089</v>
      </c>
      <c r="L2003">
        <v>1.8914658778835438E-2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hidden="1">
      <c r="A2004" t="str">
        <f t="shared" ref="A2004:A2029" si="513">A2003</f>
        <v>Takenouchi &amp; Kennedy 1965</v>
      </c>
      <c r="H2004">
        <v>623.15</v>
      </c>
      <c r="I2004">
        <v>500</v>
      </c>
      <c r="J2004">
        <v>4.2778918548939089</v>
      </c>
      <c r="L2004">
        <v>2.4894649047678668E-2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 hidden="1">
      <c r="A2005" t="str">
        <f t="shared" si="513"/>
        <v>Takenouchi &amp; Kennedy 1965</v>
      </c>
      <c r="H2005">
        <v>623.15</v>
      </c>
      <c r="I2005">
        <v>600</v>
      </c>
      <c r="J2005">
        <v>4.2778918548939089</v>
      </c>
      <c r="L2005">
        <v>3.0444716435181408E-2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 hidden="1">
      <c r="A2006" t="str">
        <f t="shared" si="513"/>
        <v>Takenouchi &amp; Kennedy 1965</v>
      </c>
      <c r="H2006">
        <v>623.15</v>
      </c>
      <c r="I2006">
        <v>800</v>
      </c>
      <c r="J2006">
        <v>4.2778918548939089</v>
      </c>
      <c r="L2006">
        <v>3.9153620233402138E-2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 hidden="1">
      <c r="A2007" t="str">
        <f t="shared" si="513"/>
        <v>Takenouchi &amp; Kennedy 1965</v>
      </c>
      <c r="H2007">
        <v>623.15</v>
      </c>
      <c r="I2007">
        <v>1000</v>
      </c>
      <c r="J2007">
        <v>4.2778918548939089</v>
      </c>
      <c r="L2007">
        <v>4.7499677640240018E-2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 hidden="1">
      <c r="A2008" t="str">
        <f t="shared" si="513"/>
        <v>Takenouchi &amp; Kennedy 1965</v>
      </c>
      <c r="H2008">
        <v>623.15</v>
      </c>
      <c r="I2008">
        <v>1200</v>
      </c>
      <c r="J2008">
        <v>4.2778918548939089</v>
      </c>
      <c r="L2008">
        <v>5.4390284632154978E-2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 hidden="1">
      <c r="A2009" t="str">
        <f t="shared" si="513"/>
        <v>Takenouchi &amp; Kennedy 1965</v>
      </c>
      <c r="H2009">
        <v>623.15</v>
      </c>
      <c r="I2009">
        <v>1400</v>
      </c>
      <c r="J2009">
        <v>4.2778918548939089</v>
      </c>
      <c r="L2009">
        <v>6.083992902301269E-2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 hidden="1">
      <c r="A2010" t="str">
        <f t="shared" si="513"/>
        <v>Takenouchi &amp; Kennedy 1965</v>
      </c>
      <c r="H2010">
        <v>523.15</v>
      </c>
      <c r="I2010">
        <v>100</v>
      </c>
      <c r="J2010">
        <v>4.2778918548939089</v>
      </c>
      <c r="L2010">
        <v>4.7756917293426005E-3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 hidden="1">
      <c r="A2011" t="str">
        <f t="shared" si="513"/>
        <v>Takenouchi &amp; Kennedy 1965</v>
      </c>
      <c r="H2011">
        <v>523.15</v>
      </c>
      <c r="I2011">
        <v>200</v>
      </c>
      <c r="J2011">
        <v>4.2778918548939089</v>
      </c>
      <c r="L2011">
        <v>9.602054258156096E-3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 hidden="1">
      <c r="A2012" t="str">
        <f t="shared" si="513"/>
        <v>Takenouchi &amp; Kennedy 1965</v>
      </c>
      <c r="H2012">
        <v>523.15</v>
      </c>
      <c r="I2012">
        <v>300</v>
      </c>
      <c r="J2012">
        <v>4.2778918548939089</v>
      </c>
      <c r="L2012">
        <v>1.35001714923094E-2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1:25" hidden="1">
      <c r="A2013" t="str">
        <f t="shared" si="513"/>
        <v>Takenouchi &amp; Kennedy 1965</v>
      </c>
      <c r="H2013">
        <v>523.15</v>
      </c>
      <c r="I2013">
        <v>400</v>
      </c>
      <c r="J2013">
        <v>4.2778918548939089</v>
      </c>
      <c r="L2013">
        <v>1.6445635687125985E-2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 hidden="1">
      <c r="A2014" t="str">
        <f t="shared" si="513"/>
        <v>Takenouchi &amp; Kennedy 1965</v>
      </c>
      <c r="H2014">
        <v>523.15</v>
      </c>
      <c r="I2014">
        <v>500</v>
      </c>
      <c r="J2014">
        <v>4.2778918548939089</v>
      </c>
      <c r="L2014">
        <v>1.9905976872930491E-2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 hidden="1">
      <c r="A2015" t="str">
        <f t="shared" si="513"/>
        <v>Takenouchi &amp; Kennedy 1965</v>
      </c>
      <c r="H2015">
        <v>523.15</v>
      </c>
      <c r="I2015">
        <v>600</v>
      </c>
      <c r="J2015">
        <v>4.2778918548939089</v>
      </c>
      <c r="L2015">
        <v>2.2892736209870895E-2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 hidden="1">
      <c r="A2016" t="str">
        <f t="shared" si="513"/>
        <v>Takenouchi &amp; Kennedy 1965</v>
      </c>
      <c r="H2016">
        <v>523.15</v>
      </c>
      <c r="I2016">
        <v>800</v>
      </c>
      <c r="J2016">
        <v>4.2778918548939089</v>
      </c>
      <c r="L2016">
        <v>2.7913767704913581E-2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 hidden="1">
      <c r="A2017" t="str">
        <f t="shared" si="513"/>
        <v>Takenouchi &amp; Kennedy 1965</v>
      </c>
      <c r="H2017">
        <v>523.15</v>
      </c>
      <c r="I2017">
        <v>1000</v>
      </c>
      <c r="J2017">
        <v>4.2778918548939089</v>
      </c>
      <c r="L2017">
        <v>3.2479384583385527E-2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 hidden="1">
      <c r="A2018" t="str">
        <f t="shared" si="513"/>
        <v>Takenouchi &amp; Kennedy 1965</v>
      </c>
      <c r="H2018">
        <v>523.15</v>
      </c>
      <c r="I2018">
        <v>1200</v>
      </c>
      <c r="J2018">
        <v>4.2778918548939089</v>
      </c>
      <c r="L2018">
        <v>3.7604990909859595E-2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 hidden="1">
      <c r="A2019" t="str">
        <f t="shared" si="513"/>
        <v>Takenouchi &amp; Kennedy 1965</v>
      </c>
      <c r="H2019">
        <v>523.15</v>
      </c>
      <c r="I2019">
        <v>1400</v>
      </c>
      <c r="J2019">
        <v>4.2778918548939089</v>
      </c>
      <c r="L2019">
        <v>4.0707346561086412E-2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 hidden="1">
      <c r="A2020" t="str">
        <f t="shared" si="513"/>
        <v>Takenouchi &amp; Kennedy 1965</v>
      </c>
      <c r="H2020">
        <v>423.15</v>
      </c>
      <c r="I2020">
        <v>100</v>
      </c>
      <c r="J2020">
        <v>4.2778918548939089</v>
      </c>
      <c r="L2020">
        <v>4.2958555994449333E-3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 hidden="1">
      <c r="A2021" t="str">
        <f t="shared" si="513"/>
        <v>Takenouchi &amp; Kennedy 1965</v>
      </c>
      <c r="H2021">
        <v>423.15</v>
      </c>
      <c r="I2021">
        <v>200</v>
      </c>
      <c r="J2021">
        <v>4.2778918548939089</v>
      </c>
      <c r="L2021">
        <v>7.6653772480114908E-3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 hidden="1">
      <c r="A2022" t="str">
        <f t="shared" si="513"/>
        <v>Takenouchi &amp; Kennedy 1965</v>
      </c>
      <c r="H2022">
        <v>423.15</v>
      </c>
      <c r="I2022">
        <v>300</v>
      </c>
      <c r="J2022">
        <v>4.2778918548939089</v>
      </c>
      <c r="L2022">
        <v>1.0573478301694523E-2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 hidden="1">
      <c r="A2023" t="str">
        <f t="shared" si="513"/>
        <v>Takenouchi &amp; Kennedy 1965</v>
      </c>
      <c r="H2023">
        <v>423.15</v>
      </c>
      <c r="I2023">
        <v>400</v>
      </c>
      <c r="J2023">
        <v>4.2778918548939089</v>
      </c>
      <c r="L2023">
        <v>1.2034489754198931E-2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 hidden="1">
      <c r="A2024" t="str">
        <f t="shared" si="513"/>
        <v>Takenouchi &amp; Kennedy 1965</v>
      </c>
      <c r="H2024">
        <v>423.15</v>
      </c>
      <c r="I2024">
        <v>500</v>
      </c>
      <c r="J2024">
        <v>4.2778918548939089</v>
      </c>
      <c r="L2024">
        <v>1.35001714923094E-2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 hidden="1">
      <c r="A2025" t="str">
        <f t="shared" si="513"/>
        <v>Takenouchi &amp; Kennedy 1965</v>
      </c>
      <c r="H2025">
        <v>423.15</v>
      </c>
      <c r="I2025">
        <v>600</v>
      </c>
      <c r="J2025">
        <v>4.2778918548939089</v>
      </c>
      <c r="L2025">
        <v>1.5461717486211396E-2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 hidden="1">
      <c r="A2026" t="str">
        <f t="shared" si="513"/>
        <v>Takenouchi &amp; Kennedy 1965</v>
      </c>
      <c r="H2026">
        <v>423.15</v>
      </c>
      <c r="I2026">
        <v>800</v>
      </c>
      <c r="J2026">
        <v>4.2778918548939089</v>
      </c>
      <c r="L2026">
        <v>1.8419796189701385E-2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 hidden="1">
      <c r="A2027" t="str">
        <f t="shared" si="513"/>
        <v>Takenouchi &amp; Kennedy 1965</v>
      </c>
      <c r="H2027">
        <v>423.15</v>
      </c>
      <c r="I2027">
        <v>1000</v>
      </c>
      <c r="J2027">
        <v>4.2778918548939089</v>
      </c>
      <c r="L2027">
        <v>2.0899424558075634E-2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 hidden="1">
      <c r="A2028" t="str">
        <f t="shared" si="513"/>
        <v>Takenouchi &amp; Kennedy 1965</v>
      </c>
      <c r="H2028">
        <v>423.15</v>
      </c>
      <c r="I2028">
        <v>1200</v>
      </c>
      <c r="J2028">
        <v>4.2778918548939089</v>
      </c>
      <c r="L2028">
        <v>2.3392405886980362E-2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 hidden="1">
      <c r="A2029" t="str">
        <f t="shared" si="513"/>
        <v>Takenouchi &amp; Kennedy 1965</v>
      </c>
      <c r="H2029">
        <v>423.15</v>
      </c>
      <c r="I2029">
        <v>1400</v>
      </c>
      <c r="J2029">
        <v>4.2778918548939089</v>
      </c>
      <c r="L2029">
        <v>2.5898848327461161E-2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 hidden="1">
      <c r="A2030" t="s">
        <v>28</v>
      </c>
      <c r="H2030">
        <v>273.14999999999998</v>
      </c>
      <c r="I2030">
        <v>1.0189999999999999</v>
      </c>
      <c r="J2030">
        <f t="shared" ref="J2030:J2050" si="514">J2029</f>
        <v>4.2778918548939089</v>
      </c>
      <c r="L2030">
        <v>1.4519999999999999E-3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hidden="1">
      <c r="A2031" t="s">
        <v>28</v>
      </c>
      <c r="H2031">
        <v>274.14999999999998</v>
      </c>
      <c r="I2031">
        <v>1.02</v>
      </c>
      <c r="J2031">
        <f t="shared" si="514"/>
        <v>4.2778918548939089</v>
      </c>
      <c r="L2031">
        <v>1.3910000000000001E-3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5" hidden="1">
      <c r="A2032" t="s">
        <v>28</v>
      </c>
      <c r="H2032">
        <v>275.14999999999998</v>
      </c>
      <c r="I2032">
        <v>1.02</v>
      </c>
      <c r="J2032">
        <f t="shared" si="514"/>
        <v>4.2778918548939089</v>
      </c>
      <c r="L2032">
        <v>1.3320000000000001E-3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 hidden="1">
      <c r="A2033" t="s">
        <v>28</v>
      </c>
      <c r="H2033">
        <v>276.14999999999998</v>
      </c>
      <c r="I2033">
        <v>1.0209999999999999</v>
      </c>
      <c r="J2033">
        <f t="shared" si="514"/>
        <v>4.2778918548939089</v>
      </c>
      <c r="L2033">
        <v>1.276E-3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 hidden="1">
      <c r="A2034" t="s">
        <v>28</v>
      </c>
      <c r="H2034">
        <v>277.14999999999998</v>
      </c>
      <c r="I2034">
        <v>1.0209999999999999</v>
      </c>
      <c r="J2034">
        <f t="shared" si="514"/>
        <v>4.2778918548939089</v>
      </c>
      <c r="L2034">
        <v>1.2230000000000001E-3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 hidden="1">
      <c r="A2035" t="s">
        <v>28</v>
      </c>
      <c r="H2035">
        <v>278.14999999999998</v>
      </c>
      <c r="I2035">
        <v>1.022</v>
      </c>
      <c r="J2035">
        <f t="shared" si="514"/>
        <v>4.2778918548939089</v>
      </c>
      <c r="L2035">
        <v>1.1719999999999999E-3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 hidden="1">
      <c r="A2036" t="s">
        <v>28</v>
      </c>
      <c r="H2036">
        <v>279.14999999999998</v>
      </c>
      <c r="I2036">
        <v>1.0229999999999999</v>
      </c>
      <c r="J2036">
        <f t="shared" si="514"/>
        <v>4.2778918548939089</v>
      </c>
      <c r="L2036">
        <v>1.1240000000000002E-3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 hidden="1">
      <c r="A2037" t="s">
        <v>28</v>
      </c>
      <c r="H2037">
        <v>280.14999999999998</v>
      </c>
      <c r="I2037">
        <v>1.0229999999999999</v>
      </c>
      <c r="J2037">
        <f t="shared" si="514"/>
        <v>4.2778918548939089</v>
      </c>
      <c r="L2037">
        <v>1.103E-3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 hidden="1">
      <c r="A2038" t="s">
        <v>28</v>
      </c>
      <c r="H2038">
        <v>281.14999999999998</v>
      </c>
      <c r="I2038">
        <v>1.024</v>
      </c>
      <c r="J2038">
        <f t="shared" si="514"/>
        <v>4.2778918548939089</v>
      </c>
      <c r="L2038">
        <v>1.036E-3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 hidden="1">
      <c r="A2039" t="s">
        <v>28</v>
      </c>
      <c r="H2039">
        <v>282.14999999999998</v>
      </c>
      <c r="I2039">
        <v>1.0249999999999999</v>
      </c>
      <c r="J2039">
        <f t="shared" si="514"/>
        <v>4.2778918548939089</v>
      </c>
      <c r="L2039">
        <v>9.9550000000000007E-4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 hidden="1">
      <c r="A2040" t="s">
        <v>28</v>
      </c>
      <c r="H2040">
        <v>283.14999999999998</v>
      </c>
      <c r="I2040">
        <v>1.026</v>
      </c>
      <c r="J2040">
        <f t="shared" si="514"/>
        <v>4.2778918548939089</v>
      </c>
      <c r="L2040">
        <v>9.5809999999999992E-4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 hidden="1">
      <c r="A2041" t="s">
        <v>28</v>
      </c>
      <c r="H2041">
        <v>284.14999999999998</v>
      </c>
      <c r="I2041">
        <v>1.0269999999999999</v>
      </c>
      <c r="J2041">
        <f t="shared" si="514"/>
        <v>4.2778918548939089</v>
      </c>
      <c r="L2041">
        <v>9.2330000000000005E-4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 hidden="1">
      <c r="A2042" t="s">
        <v>28</v>
      </c>
      <c r="H2042">
        <v>285.14999999999998</v>
      </c>
      <c r="I2042">
        <v>1.028</v>
      </c>
      <c r="J2042">
        <f t="shared" si="514"/>
        <v>4.2778918548939089</v>
      </c>
      <c r="L2042">
        <v>8.9130000000000003E-4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 hidden="1">
      <c r="A2043" t="s">
        <v>28</v>
      </c>
      <c r="H2043">
        <v>286.14999999999998</v>
      </c>
      <c r="I2043">
        <v>1.0289999999999999</v>
      </c>
      <c r="J2043">
        <f t="shared" si="514"/>
        <v>4.2778918548939089</v>
      </c>
      <c r="L2043">
        <v>8.6189999999999997E-4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 hidden="1">
      <c r="A2044" t="s">
        <v>28</v>
      </c>
      <c r="H2044">
        <v>287.14999999999998</v>
      </c>
      <c r="I2044">
        <v>1.03</v>
      </c>
      <c r="J2044">
        <f t="shared" si="514"/>
        <v>4.2778918548939089</v>
      </c>
      <c r="L2044">
        <v>8.3520000000000003E-4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 hidden="1">
      <c r="A2045" t="s">
        <v>28</v>
      </c>
      <c r="H2045">
        <v>288.14999999999998</v>
      </c>
      <c r="I2045">
        <v>1.03</v>
      </c>
      <c r="J2045">
        <f t="shared" si="514"/>
        <v>4.2778918548939089</v>
      </c>
      <c r="L2045">
        <v>8.1089999999999992E-4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 hidden="1">
      <c r="A2046" t="s">
        <v>28</v>
      </c>
      <c r="H2046">
        <v>289.14999999999998</v>
      </c>
      <c r="I2046">
        <v>1.0309999999999999</v>
      </c>
      <c r="J2046">
        <f t="shared" si="514"/>
        <v>4.2778918548939089</v>
      </c>
      <c r="L2046">
        <v>7.8990000000000006E-4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 hidden="1">
      <c r="A2047" t="s">
        <v>28</v>
      </c>
      <c r="H2047">
        <v>290.14999999999998</v>
      </c>
      <c r="I2047">
        <v>1.0329999999999999</v>
      </c>
      <c r="J2047">
        <f t="shared" si="514"/>
        <v>4.2778918548939089</v>
      </c>
      <c r="L2047">
        <v>7.8120000000000002E-4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 hidden="1">
      <c r="A2048" t="s">
        <v>28</v>
      </c>
      <c r="H2048">
        <v>291.14999999999998</v>
      </c>
      <c r="I2048">
        <v>1.034</v>
      </c>
      <c r="J2048">
        <f t="shared" si="514"/>
        <v>4.2778918548939089</v>
      </c>
      <c r="L2048">
        <v>7.5449999999999996E-4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 hidden="1">
      <c r="A2049" t="s">
        <v>28</v>
      </c>
      <c r="H2049">
        <v>292.14999999999998</v>
      </c>
      <c r="I2049">
        <v>1.0349999999999999</v>
      </c>
      <c r="J2049">
        <f t="shared" si="514"/>
        <v>4.2778918548939089</v>
      </c>
      <c r="L2049">
        <v>7.4109999999999996E-4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5" hidden="1">
      <c r="A2050" t="s">
        <v>28</v>
      </c>
      <c r="H2050">
        <v>293.14999999999998</v>
      </c>
      <c r="I2050">
        <v>1.0369999999999999</v>
      </c>
      <c r="J2050">
        <f t="shared" si="514"/>
        <v>4.2778918548939089</v>
      </c>
      <c r="L2050">
        <v>7.3019999999999997E-4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 hidden="1">
      <c r="A2051" t="s">
        <v>84</v>
      </c>
      <c r="E2051">
        <v>0.311</v>
      </c>
      <c r="H2051">
        <v>298.14999999999998</v>
      </c>
      <c r="I2051">
        <v>25.33</v>
      </c>
      <c r="J2051">
        <v>0</v>
      </c>
      <c r="O2051">
        <f t="shared" ref="O2051:O2058" si="515">E2051/1000</f>
        <v>3.1100000000000002E-4</v>
      </c>
      <c r="S2051">
        <f t="shared" ref="S2051:S2082" si="516">S2050</f>
        <v>1</v>
      </c>
      <c r="T2051">
        <f t="shared" ref="T2051:T2082" si="517">T2050</f>
        <v>0</v>
      </c>
      <c r="U2051">
        <v>0</v>
      </c>
      <c r="V2051">
        <v>1</v>
      </c>
      <c r="W2051">
        <f t="shared" ref="W2051:W2082" si="518">W2050</f>
        <v>0</v>
      </c>
      <c r="X2051">
        <f t="shared" ref="X2051:X2082" si="519">X2050</f>
        <v>0</v>
      </c>
      <c r="Y2051">
        <f t="shared" ref="Y2051:Y2082" si="520">Y2050</f>
        <v>0</v>
      </c>
    </row>
    <row r="2052" spans="1:25" hidden="1">
      <c r="A2052" t="str">
        <f t="shared" ref="A2052:A2058" si="521">A2051</f>
        <v>Wiebe 1932</v>
      </c>
      <c r="E2052">
        <v>0.61899999999999999</v>
      </c>
      <c r="H2052">
        <f t="shared" ref="H2052:H2058" si="522">H2051</f>
        <v>298.14999999999998</v>
      </c>
      <c r="I2052">
        <v>50.66</v>
      </c>
      <c r="J2052">
        <f t="shared" ref="J2052:J2083" si="523">J2051</f>
        <v>0</v>
      </c>
      <c r="O2052">
        <f t="shared" si="515"/>
        <v>6.1899999999999998E-4</v>
      </c>
      <c r="S2052">
        <f t="shared" si="516"/>
        <v>1</v>
      </c>
      <c r="T2052">
        <f t="shared" si="517"/>
        <v>0</v>
      </c>
      <c r="U2052">
        <f t="shared" ref="U2052:U2083" si="524">U2051</f>
        <v>0</v>
      </c>
      <c r="V2052">
        <f t="shared" ref="V2052:V2083" si="525">V2051</f>
        <v>1</v>
      </c>
      <c r="W2052">
        <f t="shared" si="518"/>
        <v>0</v>
      </c>
      <c r="X2052">
        <f t="shared" si="519"/>
        <v>0</v>
      </c>
      <c r="Y2052">
        <f t="shared" si="520"/>
        <v>0</v>
      </c>
    </row>
    <row r="2053" spans="1:25" hidden="1">
      <c r="A2053" t="str">
        <f t="shared" si="521"/>
        <v>Wiebe 1932</v>
      </c>
      <c r="E2053">
        <v>1.2330000000000001</v>
      </c>
      <c r="H2053">
        <f t="shared" si="522"/>
        <v>298.14999999999998</v>
      </c>
      <c r="I2053">
        <v>101.3</v>
      </c>
      <c r="J2053">
        <f t="shared" si="523"/>
        <v>0</v>
      </c>
      <c r="O2053">
        <f t="shared" si="515"/>
        <v>1.2330000000000002E-3</v>
      </c>
      <c r="S2053">
        <f t="shared" si="516"/>
        <v>1</v>
      </c>
      <c r="T2053">
        <f t="shared" si="517"/>
        <v>0</v>
      </c>
      <c r="U2053">
        <f t="shared" si="524"/>
        <v>0</v>
      </c>
      <c r="V2053">
        <f t="shared" si="525"/>
        <v>1</v>
      </c>
      <c r="W2053">
        <f t="shared" si="518"/>
        <v>0</v>
      </c>
      <c r="X2053">
        <f t="shared" si="519"/>
        <v>0</v>
      </c>
      <c r="Y2053">
        <f t="shared" si="520"/>
        <v>0</v>
      </c>
    </row>
    <row r="2054" spans="1:25" hidden="1">
      <c r="A2054" t="str">
        <f t="shared" si="521"/>
        <v>Wiebe 1932</v>
      </c>
      <c r="E2054">
        <v>2.4169999999999998</v>
      </c>
      <c r="H2054">
        <f t="shared" si="522"/>
        <v>298.14999999999998</v>
      </c>
      <c r="I2054">
        <v>202.6</v>
      </c>
      <c r="J2054">
        <f t="shared" si="523"/>
        <v>0</v>
      </c>
      <c r="O2054">
        <f t="shared" si="515"/>
        <v>2.4169999999999999E-3</v>
      </c>
      <c r="S2054">
        <f t="shared" si="516"/>
        <v>1</v>
      </c>
      <c r="T2054">
        <f t="shared" si="517"/>
        <v>0</v>
      </c>
      <c r="U2054">
        <f t="shared" si="524"/>
        <v>0</v>
      </c>
      <c r="V2054">
        <f t="shared" si="525"/>
        <v>1</v>
      </c>
      <c r="W2054">
        <f t="shared" si="518"/>
        <v>0</v>
      </c>
      <c r="X2054">
        <f t="shared" si="519"/>
        <v>0</v>
      </c>
      <c r="Y2054">
        <f t="shared" si="520"/>
        <v>0</v>
      </c>
    </row>
    <row r="2055" spans="1:25" hidden="1">
      <c r="A2055" t="str">
        <f t="shared" si="521"/>
        <v>Wiebe 1932</v>
      </c>
      <c r="E2055">
        <v>4.673</v>
      </c>
      <c r="H2055">
        <f t="shared" si="522"/>
        <v>298.14999999999998</v>
      </c>
      <c r="I2055">
        <v>405.3</v>
      </c>
      <c r="J2055">
        <f t="shared" si="523"/>
        <v>0</v>
      </c>
      <c r="O2055">
        <f t="shared" si="515"/>
        <v>4.6730000000000001E-3</v>
      </c>
      <c r="S2055">
        <f t="shared" si="516"/>
        <v>1</v>
      </c>
      <c r="T2055">
        <f t="shared" si="517"/>
        <v>0</v>
      </c>
      <c r="U2055">
        <f t="shared" si="524"/>
        <v>0</v>
      </c>
      <c r="V2055">
        <f t="shared" si="525"/>
        <v>1</v>
      </c>
      <c r="W2055">
        <f t="shared" si="518"/>
        <v>0</v>
      </c>
      <c r="X2055">
        <f t="shared" si="519"/>
        <v>0</v>
      </c>
      <c r="Y2055">
        <f t="shared" si="520"/>
        <v>0</v>
      </c>
    </row>
    <row r="2056" spans="1:25" hidden="1">
      <c r="A2056" t="str">
        <f t="shared" si="521"/>
        <v>Wiebe 1932</v>
      </c>
      <c r="E2056">
        <v>6.7990000000000004</v>
      </c>
      <c r="H2056">
        <f t="shared" si="522"/>
        <v>298.14999999999998</v>
      </c>
      <c r="I2056">
        <v>607.9</v>
      </c>
      <c r="J2056">
        <f t="shared" si="523"/>
        <v>0</v>
      </c>
      <c r="O2056">
        <f t="shared" si="515"/>
        <v>6.7990000000000004E-3</v>
      </c>
      <c r="S2056">
        <f t="shared" si="516"/>
        <v>1</v>
      </c>
      <c r="T2056">
        <f t="shared" si="517"/>
        <v>0</v>
      </c>
      <c r="U2056">
        <f t="shared" si="524"/>
        <v>0</v>
      </c>
      <c r="V2056">
        <f t="shared" si="525"/>
        <v>1</v>
      </c>
      <c r="W2056">
        <f t="shared" si="518"/>
        <v>0</v>
      </c>
      <c r="X2056">
        <f t="shared" si="519"/>
        <v>0</v>
      </c>
      <c r="Y2056">
        <f t="shared" si="520"/>
        <v>0</v>
      </c>
    </row>
    <row r="2057" spans="1:25" hidden="1">
      <c r="A2057" t="str">
        <f t="shared" si="521"/>
        <v>Wiebe 1932</v>
      </c>
      <c r="E2057">
        <v>8.8249999999999993</v>
      </c>
      <c r="H2057">
        <f t="shared" si="522"/>
        <v>298.14999999999998</v>
      </c>
      <c r="I2057">
        <v>810.6</v>
      </c>
      <c r="J2057">
        <f t="shared" si="523"/>
        <v>0</v>
      </c>
      <c r="O2057">
        <f t="shared" si="515"/>
        <v>8.8249999999999995E-3</v>
      </c>
      <c r="S2057">
        <f t="shared" si="516"/>
        <v>1</v>
      </c>
      <c r="T2057">
        <f t="shared" si="517"/>
        <v>0</v>
      </c>
      <c r="U2057">
        <f t="shared" si="524"/>
        <v>0</v>
      </c>
      <c r="V2057">
        <f t="shared" si="525"/>
        <v>1</v>
      </c>
      <c r="W2057">
        <f t="shared" si="518"/>
        <v>0</v>
      </c>
      <c r="X2057">
        <f t="shared" si="519"/>
        <v>0</v>
      </c>
      <c r="Y2057">
        <f t="shared" si="520"/>
        <v>0</v>
      </c>
    </row>
    <row r="2058" spans="1:25" hidden="1">
      <c r="A2058" t="str">
        <f t="shared" si="521"/>
        <v>Wiebe 1932</v>
      </c>
      <c r="E2058">
        <v>10.744999999999999</v>
      </c>
      <c r="H2058">
        <f t="shared" si="522"/>
        <v>298.14999999999998</v>
      </c>
      <c r="I2058">
        <v>1013.3</v>
      </c>
      <c r="J2058">
        <f t="shared" si="523"/>
        <v>0</v>
      </c>
      <c r="O2058">
        <f t="shared" si="515"/>
        <v>1.0744999999999999E-2</v>
      </c>
      <c r="S2058">
        <f t="shared" si="516"/>
        <v>1</v>
      </c>
      <c r="T2058">
        <f t="shared" si="517"/>
        <v>0</v>
      </c>
      <c r="U2058">
        <f t="shared" si="524"/>
        <v>0</v>
      </c>
      <c r="V2058">
        <f t="shared" si="525"/>
        <v>1</v>
      </c>
      <c r="W2058">
        <f t="shared" si="518"/>
        <v>0</v>
      </c>
      <c r="X2058">
        <f t="shared" si="519"/>
        <v>0</v>
      </c>
      <c r="Y2058">
        <f t="shared" si="520"/>
        <v>0</v>
      </c>
    </row>
    <row r="2059" spans="1:25" hidden="1">
      <c r="A2059" t="s">
        <v>78</v>
      </c>
      <c r="E2059">
        <v>2.4899999999999999E-2</v>
      </c>
      <c r="H2059">
        <v>298.14999999999998</v>
      </c>
      <c r="I2059">
        <v>25.33</v>
      </c>
      <c r="J2059">
        <f t="shared" si="523"/>
        <v>0</v>
      </c>
      <c r="N2059">
        <f t="shared" ref="N2059:N2090" si="526">E2059/100</f>
        <v>2.4899999999999998E-4</v>
      </c>
      <c r="S2059">
        <f t="shared" si="516"/>
        <v>1</v>
      </c>
      <c r="T2059">
        <f t="shared" si="517"/>
        <v>0</v>
      </c>
      <c r="U2059">
        <f t="shared" si="524"/>
        <v>0</v>
      </c>
      <c r="V2059">
        <f t="shared" si="525"/>
        <v>1</v>
      </c>
      <c r="W2059">
        <f t="shared" si="518"/>
        <v>0</v>
      </c>
      <c r="X2059">
        <f t="shared" si="519"/>
        <v>0</v>
      </c>
      <c r="Y2059">
        <f t="shared" si="520"/>
        <v>0</v>
      </c>
    </row>
    <row r="2060" spans="1:25" hidden="1">
      <c r="A2060" t="str">
        <f t="shared" ref="A2060:A2090" si="527">A2059</f>
        <v>Wiebe 1933</v>
      </c>
      <c r="E2060">
        <v>4.8099999999999997E-2</v>
      </c>
      <c r="H2060">
        <f t="shared" ref="H2060:H2066" si="528">H2059</f>
        <v>298.14999999999998</v>
      </c>
      <c r="I2060">
        <v>50.66</v>
      </c>
      <c r="J2060">
        <f t="shared" si="523"/>
        <v>0</v>
      </c>
      <c r="N2060">
        <f t="shared" si="526"/>
        <v>4.8099999999999998E-4</v>
      </c>
      <c r="S2060">
        <f t="shared" si="516"/>
        <v>1</v>
      </c>
      <c r="T2060">
        <f t="shared" si="517"/>
        <v>0</v>
      </c>
      <c r="U2060">
        <f t="shared" si="524"/>
        <v>0</v>
      </c>
      <c r="V2060">
        <f t="shared" si="525"/>
        <v>1</v>
      </c>
      <c r="W2060">
        <f t="shared" si="518"/>
        <v>0</v>
      </c>
      <c r="X2060">
        <f t="shared" si="519"/>
        <v>0</v>
      </c>
      <c r="Y2060">
        <f t="shared" si="520"/>
        <v>0</v>
      </c>
    </row>
    <row r="2061" spans="1:25" hidden="1">
      <c r="A2061" t="str">
        <f t="shared" si="527"/>
        <v>Wiebe 1933</v>
      </c>
      <c r="E2061">
        <v>9.0200000000000002E-2</v>
      </c>
      <c r="H2061">
        <f t="shared" si="528"/>
        <v>298.14999999999998</v>
      </c>
      <c r="I2061">
        <v>101.33</v>
      </c>
      <c r="J2061">
        <f t="shared" si="523"/>
        <v>0</v>
      </c>
      <c r="N2061">
        <f t="shared" si="526"/>
        <v>9.0200000000000002E-4</v>
      </c>
      <c r="S2061">
        <f t="shared" si="516"/>
        <v>1</v>
      </c>
      <c r="T2061">
        <f t="shared" si="517"/>
        <v>0</v>
      </c>
      <c r="U2061">
        <f t="shared" si="524"/>
        <v>0</v>
      </c>
      <c r="V2061">
        <f t="shared" si="525"/>
        <v>1</v>
      </c>
      <c r="W2061">
        <f t="shared" si="518"/>
        <v>0</v>
      </c>
      <c r="X2061">
        <f t="shared" si="519"/>
        <v>0</v>
      </c>
      <c r="Y2061">
        <f t="shared" si="520"/>
        <v>0</v>
      </c>
    </row>
    <row r="2062" spans="1:25" hidden="1">
      <c r="A2062" t="str">
        <f t="shared" si="527"/>
        <v>Wiebe 1933</v>
      </c>
      <c r="E2062">
        <v>0.161</v>
      </c>
      <c r="H2062">
        <f t="shared" si="528"/>
        <v>298.14999999999998</v>
      </c>
      <c r="I2062">
        <v>202.65</v>
      </c>
      <c r="J2062">
        <f t="shared" si="523"/>
        <v>0</v>
      </c>
      <c r="N2062">
        <f t="shared" si="526"/>
        <v>1.6100000000000001E-3</v>
      </c>
      <c r="S2062">
        <f t="shared" si="516"/>
        <v>1</v>
      </c>
      <c r="T2062">
        <f t="shared" si="517"/>
        <v>0</v>
      </c>
      <c r="U2062">
        <f t="shared" si="524"/>
        <v>0</v>
      </c>
      <c r="V2062">
        <f t="shared" si="525"/>
        <v>1</v>
      </c>
      <c r="W2062">
        <f t="shared" si="518"/>
        <v>0</v>
      </c>
      <c r="X2062">
        <f t="shared" si="519"/>
        <v>0</v>
      </c>
      <c r="Y2062">
        <f t="shared" si="520"/>
        <v>0</v>
      </c>
    </row>
    <row r="2063" spans="1:25" hidden="1">
      <c r="A2063" t="str">
        <f t="shared" si="527"/>
        <v>Wiebe 1933</v>
      </c>
      <c r="E2063">
        <v>0.21829999999999999</v>
      </c>
      <c r="H2063">
        <f t="shared" si="528"/>
        <v>298.14999999999998</v>
      </c>
      <c r="I2063">
        <v>303.97000000000003</v>
      </c>
      <c r="J2063">
        <f t="shared" si="523"/>
        <v>0</v>
      </c>
      <c r="N2063">
        <f t="shared" si="526"/>
        <v>2.183E-3</v>
      </c>
      <c r="S2063">
        <f t="shared" si="516"/>
        <v>1</v>
      </c>
      <c r="T2063">
        <f t="shared" si="517"/>
        <v>0</v>
      </c>
      <c r="U2063">
        <f t="shared" si="524"/>
        <v>0</v>
      </c>
      <c r="V2063">
        <f t="shared" si="525"/>
        <v>1</v>
      </c>
      <c r="W2063">
        <f t="shared" si="518"/>
        <v>0</v>
      </c>
      <c r="X2063">
        <f t="shared" si="519"/>
        <v>0</v>
      </c>
      <c r="Y2063">
        <f t="shared" si="520"/>
        <v>0</v>
      </c>
    </row>
    <row r="2064" spans="1:25" hidden="1">
      <c r="A2064" t="str">
        <f t="shared" si="527"/>
        <v>Wiebe 1933</v>
      </c>
      <c r="E2064">
        <v>0.31630000000000003</v>
      </c>
      <c r="H2064">
        <f t="shared" si="528"/>
        <v>298.14999999999998</v>
      </c>
      <c r="I2064">
        <v>506.62</v>
      </c>
      <c r="J2064">
        <f t="shared" si="523"/>
        <v>0</v>
      </c>
      <c r="N2064">
        <f t="shared" si="526"/>
        <v>3.1630000000000004E-3</v>
      </c>
      <c r="S2064">
        <f t="shared" si="516"/>
        <v>1</v>
      </c>
      <c r="T2064">
        <f t="shared" si="517"/>
        <v>0</v>
      </c>
      <c r="U2064">
        <f t="shared" si="524"/>
        <v>0</v>
      </c>
      <c r="V2064">
        <f t="shared" si="525"/>
        <v>1</v>
      </c>
      <c r="W2064">
        <f t="shared" si="518"/>
        <v>0</v>
      </c>
      <c r="X2064">
        <f t="shared" si="519"/>
        <v>0</v>
      </c>
      <c r="Y2064">
        <f t="shared" si="520"/>
        <v>0</v>
      </c>
    </row>
    <row r="2065" spans="1:25" hidden="1">
      <c r="A2065" t="str">
        <f t="shared" si="527"/>
        <v>Wiebe 1933</v>
      </c>
      <c r="E2065">
        <v>0.43640000000000001</v>
      </c>
      <c r="H2065">
        <f t="shared" si="528"/>
        <v>298.14999999999998</v>
      </c>
      <c r="I2065">
        <v>810.6</v>
      </c>
      <c r="J2065">
        <f t="shared" si="523"/>
        <v>0</v>
      </c>
      <c r="N2065">
        <f t="shared" si="526"/>
        <v>4.3639999999999998E-3</v>
      </c>
      <c r="S2065">
        <f t="shared" si="516"/>
        <v>1</v>
      </c>
      <c r="T2065">
        <f t="shared" si="517"/>
        <v>0</v>
      </c>
      <c r="U2065">
        <f t="shared" si="524"/>
        <v>0</v>
      </c>
      <c r="V2065">
        <f t="shared" si="525"/>
        <v>1</v>
      </c>
      <c r="W2065">
        <f t="shared" si="518"/>
        <v>0</v>
      </c>
      <c r="X2065">
        <f t="shared" si="519"/>
        <v>0</v>
      </c>
      <c r="Y2065">
        <f t="shared" si="520"/>
        <v>0</v>
      </c>
    </row>
    <row r="2066" spans="1:25" hidden="1">
      <c r="A2066" t="str">
        <f t="shared" si="527"/>
        <v>Wiebe 1933</v>
      </c>
      <c r="E2066">
        <v>0.50829999999999997</v>
      </c>
      <c r="H2066">
        <f t="shared" si="528"/>
        <v>298.14999999999998</v>
      </c>
      <c r="I2066">
        <v>1013.25</v>
      </c>
      <c r="J2066">
        <f t="shared" si="523"/>
        <v>0</v>
      </c>
      <c r="N2066">
        <f t="shared" si="526"/>
        <v>5.0829999999999998E-3</v>
      </c>
      <c r="S2066">
        <f t="shared" si="516"/>
        <v>1</v>
      </c>
      <c r="T2066">
        <f t="shared" si="517"/>
        <v>0</v>
      </c>
      <c r="U2066">
        <f t="shared" si="524"/>
        <v>0</v>
      </c>
      <c r="V2066">
        <f t="shared" si="525"/>
        <v>1</v>
      </c>
      <c r="W2066">
        <f t="shared" si="518"/>
        <v>0</v>
      </c>
      <c r="X2066">
        <f t="shared" si="519"/>
        <v>0</v>
      </c>
      <c r="Y2066">
        <f t="shared" si="520"/>
        <v>0</v>
      </c>
    </row>
    <row r="2067" spans="1:25" hidden="1">
      <c r="A2067" t="str">
        <f t="shared" si="527"/>
        <v>Wiebe 1933</v>
      </c>
      <c r="E2067">
        <v>1.95E-2</v>
      </c>
      <c r="H2067">
        <v>323.14999999999998</v>
      </c>
      <c r="I2067">
        <v>25.33</v>
      </c>
      <c r="J2067">
        <f t="shared" si="523"/>
        <v>0</v>
      </c>
      <c r="N2067">
        <f t="shared" si="526"/>
        <v>1.95E-4</v>
      </c>
      <c r="S2067">
        <f t="shared" si="516"/>
        <v>1</v>
      </c>
      <c r="T2067">
        <f t="shared" si="517"/>
        <v>0</v>
      </c>
      <c r="U2067">
        <f t="shared" si="524"/>
        <v>0</v>
      </c>
      <c r="V2067">
        <f t="shared" si="525"/>
        <v>1</v>
      </c>
      <c r="W2067">
        <f t="shared" si="518"/>
        <v>0</v>
      </c>
      <c r="X2067">
        <f t="shared" si="519"/>
        <v>0</v>
      </c>
      <c r="Y2067">
        <f t="shared" si="520"/>
        <v>0</v>
      </c>
    </row>
    <row r="2068" spans="1:25" hidden="1">
      <c r="A2068" t="str">
        <f t="shared" si="527"/>
        <v>Wiebe 1933</v>
      </c>
      <c r="E2068">
        <v>3.8100000000000002E-2</v>
      </c>
      <c r="H2068">
        <f t="shared" ref="H2068:H2074" si="529">H2067</f>
        <v>323.14999999999998</v>
      </c>
      <c r="I2068">
        <v>50.66</v>
      </c>
      <c r="J2068">
        <f t="shared" si="523"/>
        <v>0</v>
      </c>
      <c r="N2068">
        <f t="shared" si="526"/>
        <v>3.8100000000000005E-4</v>
      </c>
      <c r="S2068">
        <f t="shared" si="516"/>
        <v>1</v>
      </c>
      <c r="T2068">
        <f t="shared" si="517"/>
        <v>0</v>
      </c>
      <c r="U2068">
        <f t="shared" si="524"/>
        <v>0</v>
      </c>
      <c r="V2068">
        <f t="shared" si="525"/>
        <v>1</v>
      </c>
      <c r="W2068">
        <f t="shared" si="518"/>
        <v>0</v>
      </c>
      <c r="X2068">
        <f t="shared" si="519"/>
        <v>0</v>
      </c>
      <c r="Y2068">
        <f t="shared" si="520"/>
        <v>0</v>
      </c>
    </row>
    <row r="2069" spans="1:25" hidden="1">
      <c r="A2069" t="str">
        <f t="shared" si="527"/>
        <v>Wiebe 1933</v>
      </c>
      <c r="E2069">
        <v>7.22E-2</v>
      </c>
      <c r="H2069">
        <f t="shared" si="529"/>
        <v>323.14999999999998</v>
      </c>
      <c r="I2069">
        <v>101.33</v>
      </c>
      <c r="J2069">
        <f t="shared" si="523"/>
        <v>0</v>
      </c>
      <c r="N2069">
        <f t="shared" si="526"/>
        <v>7.2199999999999999E-4</v>
      </c>
      <c r="S2069">
        <f t="shared" si="516"/>
        <v>1</v>
      </c>
      <c r="T2069">
        <f t="shared" si="517"/>
        <v>0</v>
      </c>
      <c r="U2069">
        <f t="shared" si="524"/>
        <v>0</v>
      </c>
      <c r="V2069">
        <f t="shared" si="525"/>
        <v>1</v>
      </c>
      <c r="W2069">
        <f t="shared" si="518"/>
        <v>0</v>
      </c>
      <c r="X2069">
        <f t="shared" si="519"/>
        <v>0</v>
      </c>
      <c r="Y2069">
        <f t="shared" si="520"/>
        <v>0</v>
      </c>
    </row>
    <row r="2070" spans="1:25" hidden="1">
      <c r="A2070" t="str">
        <f t="shared" si="527"/>
        <v>Wiebe 1933</v>
      </c>
      <c r="E2070">
        <v>0.13059999999999999</v>
      </c>
      <c r="H2070">
        <f t="shared" si="529"/>
        <v>323.14999999999998</v>
      </c>
      <c r="I2070">
        <v>202.65</v>
      </c>
      <c r="J2070">
        <f t="shared" si="523"/>
        <v>0</v>
      </c>
      <c r="N2070">
        <f t="shared" si="526"/>
        <v>1.3059999999999999E-3</v>
      </c>
      <c r="S2070">
        <f t="shared" si="516"/>
        <v>1</v>
      </c>
      <c r="T2070">
        <f t="shared" si="517"/>
        <v>0</v>
      </c>
      <c r="U2070">
        <f t="shared" si="524"/>
        <v>0</v>
      </c>
      <c r="V2070">
        <f t="shared" si="525"/>
        <v>1</v>
      </c>
      <c r="W2070">
        <f t="shared" si="518"/>
        <v>0</v>
      </c>
      <c r="X2070">
        <f t="shared" si="519"/>
        <v>0</v>
      </c>
      <c r="Y2070">
        <f t="shared" si="520"/>
        <v>0</v>
      </c>
    </row>
    <row r="2071" spans="1:25" hidden="1">
      <c r="A2071" t="str">
        <f t="shared" si="527"/>
        <v>Wiebe 1933</v>
      </c>
      <c r="E2071">
        <v>0.1807</v>
      </c>
      <c r="H2071">
        <f t="shared" si="529"/>
        <v>323.14999999999998</v>
      </c>
      <c r="I2071">
        <v>303.97000000000003</v>
      </c>
      <c r="J2071">
        <f t="shared" si="523"/>
        <v>0</v>
      </c>
      <c r="N2071">
        <f t="shared" si="526"/>
        <v>1.807E-3</v>
      </c>
      <c r="S2071">
        <f t="shared" si="516"/>
        <v>1</v>
      </c>
      <c r="T2071">
        <f t="shared" si="517"/>
        <v>0</v>
      </c>
      <c r="U2071">
        <f t="shared" si="524"/>
        <v>0</v>
      </c>
      <c r="V2071">
        <f t="shared" si="525"/>
        <v>1</v>
      </c>
      <c r="W2071">
        <f t="shared" si="518"/>
        <v>0</v>
      </c>
      <c r="X2071">
        <f t="shared" si="519"/>
        <v>0</v>
      </c>
      <c r="Y2071">
        <f t="shared" si="520"/>
        <v>0</v>
      </c>
    </row>
    <row r="2072" spans="1:25" hidden="1">
      <c r="A2072" t="str">
        <f t="shared" si="527"/>
        <v>Wiebe 1933</v>
      </c>
      <c r="E2072">
        <v>0.2651</v>
      </c>
      <c r="H2072">
        <f t="shared" si="529"/>
        <v>323.14999999999998</v>
      </c>
      <c r="I2072">
        <v>506.62</v>
      </c>
      <c r="J2072">
        <f t="shared" si="523"/>
        <v>0</v>
      </c>
      <c r="N2072">
        <f t="shared" si="526"/>
        <v>2.6510000000000001E-3</v>
      </c>
      <c r="S2072">
        <f t="shared" si="516"/>
        <v>1</v>
      </c>
      <c r="T2072">
        <f t="shared" si="517"/>
        <v>0</v>
      </c>
      <c r="U2072">
        <f t="shared" si="524"/>
        <v>0</v>
      </c>
      <c r="V2072">
        <f t="shared" si="525"/>
        <v>1</v>
      </c>
      <c r="W2072">
        <f t="shared" si="518"/>
        <v>0</v>
      </c>
      <c r="X2072">
        <f t="shared" si="519"/>
        <v>0</v>
      </c>
      <c r="Y2072">
        <f t="shared" si="520"/>
        <v>0</v>
      </c>
    </row>
    <row r="2073" spans="1:25" hidden="1">
      <c r="A2073" t="str">
        <f t="shared" si="527"/>
        <v>Wiebe 1933</v>
      </c>
      <c r="E2073">
        <v>0.37169999999999997</v>
      </c>
      <c r="H2073">
        <f t="shared" si="529"/>
        <v>323.14999999999998</v>
      </c>
      <c r="I2073">
        <v>810.6</v>
      </c>
      <c r="J2073">
        <f t="shared" si="523"/>
        <v>0</v>
      </c>
      <c r="N2073">
        <f t="shared" si="526"/>
        <v>3.7169999999999998E-3</v>
      </c>
      <c r="S2073">
        <f t="shared" si="516"/>
        <v>1</v>
      </c>
      <c r="T2073">
        <f t="shared" si="517"/>
        <v>0</v>
      </c>
      <c r="U2073">
        <f t="shared" si="524"/>
        <v>0</v>
      </c>
      <c r="V2073">
        <f t="shared" si="525"/>
        <v>1</v>
      </c>
      <c r="W2073">
        <f t="shared" si="518"/>
        <v>0</v>
      </c>
      <c r="X2073">
        <f t="shared" si="519"/>
        <v>0</v>
      </c>
      <c r="Y2073">
        <f t="shared" si="520"/>
        <v>0</v>
      </c>
    </row>
    <row r="2074" spans="1:25" hidden="1">
      <c r="A2074" t="str">
        <f t="shared" si="527"/>
        <v>Wiebe 1933</v>
      </c>
      <c r="E2074">
        <v>0.43559999999999999</v>
      </c>
      <c r="H2074">
        <f t="shared" si="529"/>
        <v>323.14999999999998</v>
      </c>
      <c r="I2074">
        <v>1013.25</v>
      </c>
      <c r="J2074">
        <f t="shared" si="523"/>
        <v>0</v>
      </c>
      <c r="N2074">
        <f t="shared" si="526"/>
        <v>4.3559999999999996E-3</v>
      </c>
      <c r="S2074">
        <f t="shared" si="516"/>
        <v>1</v>
      </c>
      <c r="T2074">
        <f t="shared" si="517"/>
        <v>0</v>
      </c>
      <c r="U2074">
        <f t="shared" si="524"/>
        <v>0</v>
      </c>
      <c r="V2074">
        <f t="shared" si="525"/>
        <v>1</v>
      </c>
      <c r="W2074">
        <f t="shared" si="518"/>
        <v>0</v>
      </c>
      <c r="X2074">
        <f t="shared" si="519"/>
        <v>0</v>
      </c>
      <c r="Y2074">
        <f t="shared" si="520"/>
        <v>0</v>
      </c>
    </row>
    <row r="2075" spans="1:25" hidden="1">
      <c r="A2075" t="str">
        <f t="shared" si="527"/>
        <v>Wiebe 1933</v>
      </c>
      <c r="E2075">
        <v>1.8100000000000002E-2</v>
      </c>
      <c r="H2075">
        <v>348.15</v>
      </c>
      <c r="I2075">
        <v>25.33</v>
      </c>
      <c r="J2075">
        <f t="shared" si="523"/>
        <v>0</v>
      </c>
      <c r="N2075">
        <f t="shared" si="526"/>
        <v>1.8100000000000001E-4</v>
      </c>
      <c r="S2075">
        <f t="shared" si="516"/>
        <v>1</v>
      </c>
      <c r="T2075">
        <f t="shared" si="517"/>
        <v>0</v>
      </c>
      <c r="U2075">
        <f t="shared" si="524"/>
        <v>0</v>
      </c>
      <c r="V2075">
        <f t="shared" si="525"/>
        <v>1</v>
      </c>
      <c r="W2075">
        <f t="shared" si="518"/>
        <v>0</v>
      </c>
      <c r="X2075">
        <f t="shared" si="519"/>
        <v>0</v>
      </c>
      <c r="Y2075">
        <f t="shared" si="520"/>
        <v>0</v>
      </c>
    </row>
    <row r="2076" spans="1:25" hidden="1">
      <c r="A2076" t="str">
        <f t="shared" si="527"/>
        <v>Wiebe 1933</v>
      </c>
      <c r="E2076">
        <v>3.5299999999999998E-2</v>
      </c>
      <c r="H2076">
        <f t="shared" ref="H2076:H2082" si="530">H2075</f>
        <v>348.15</v>
      </c>
      <c r="I2076">
        <v>50.66</v>
      </c>
      <c r="J2076">
        <f t="shared" si="523"/>
        <v>0</v>
      </c>
      <c r="N2076">
        <f t="shared" si="526"/>
        <v>3.5299999999999996E-4</v>
      </c>
      <c r="S2076">
        <f t="shared" si="516"/>
        <v>1</v>
      </c>
      <c r="T2076">
        <f t="shared" si="517"/>
        <v>0</v>
      </c>
      <c r="U2076">
        <f t="shared" si="524"/>
        <v>0</v>
      </c>
      <c r="V2076">
        <f t="shared" si="525"/>
        <v>1</v>
      </c>
      <c r="W2076">
        <f t="shared" si="518"/>
        <v>0</v>
      </c>
      <c r="X2076">
        <f t="shared" si="519"/>
        <v>0</v>
      </c>
      <c r="Y2076">
        <f t="shared" si="520"/>
        <v>0</v>
      </c>
    </row>
    <row r="2077" spans="1:25" hidden="1">
      <c r="A2077" t="str">
        <f t="shared" si="527"/>
        <v>Wiebe 1933</v>
      </c>
      <c r="E2077">
        <v>6.7599999999999993E-2</v>
      </c>
      <c r="H2077">
        <f t="shared" si="530"/>
        <v>348.15</v>
      </c>
      <c r="I2077">
        <v>101.33</v>
      </c>
      <c r="J2077">
        <f t="shared" si="523"/>
        <v>0</v>
      </c>
      <c r="N2077">
        <f t="shared" si="526"/>
        <v>6.7599999999999995E-4</v>
      </c>
      <c r="S2077">
        <f t="shared" si="516"/>
        <v>1</v>
      </c>
      <c r="T2077">
        <f t="shared" si="517"/>
        <v>0</v>
      </c>
      <c r="U2077">
        <f t="shared" si="524"/>
        <v>0</v>
      </c>
      <c r="V2077">
        <f t="shared" si="525"/>
        <v>1</v>
      </c>
      <c r="W2077">
        <f t="shared" si="518"/>
        <v>0</v>
      </c>
      <c r="X2077">
        <f t="shared" si="519"/>
        <v>0</v>
      </c>
      <c r="Y2077">
        <f t="shared" si="520"/>
        <v>0</v>
      </c>
    </row>
    <row r="2078" spans="1:25" hidden="1">
      <c r="A2078" t="str">
        <f t="shared" si="527"/>
        <v>Wiebe 1933</v>
      </c>
      <c r="E2078">
        <v>0.1236</v>
      </c>
      <c r="H2078">
        <f t="shared" si="530"/>
        <v>348.15</v>
      </c>
      <c r="I2078">
        <v>202.65</v>
      </c>
      <c r="J2078">
        <f t="shared" si="523"/>
        <v>0</v>
      </c>
      <c r="N2078">
        <f t="shared" si="526"/>
        <v>1.2360000000000001E-3</v>
      </c>
      <c r="S2078">
        <f t="shared" si="516"/>
        <v>1</v>
      </c>
      <c r="T2078">
        <f t="shared" si="517"/>
        <v>0</v>
      </c>
      <c r="U2078">
        <f t="shared" si="524"/>
        <v>0</v>
      </c>
      <c r="V2078">
        <f t="shared" si="525"/>
        <v>1</v>
      </c>
      <c r="W2078">
        <f t="shared" si="518"/>
        <v>0</v>
      </c>
      <c r="X2078">
        <f t="shared" si="519"/>
        <v>0</v>
      </c>
      <c r="Y2078">
        <f t="shared" si="520"/>
        <v>0</v>
      </c>
    </row>
    <row r="2079" spans="1:25" hidden="1">
      <c r="A2079" t="str">
        <f t="shared" si="527"/>
        <v>Wiebe 1933</v>
      </c>
      <c r="E2079">
        <v>0.1721</v>
      </c>
      <c r="H2079">
        <f t="shared" si="530"/>
        <v>348.15</v>
      </c>
      <c r="I2079">
        <v>303.97000000000003</v>
      </c>
      <c r="J2079">
        <f t="shared" si="523"/>
        <v>0</v>
      </c>
      <c r="N2079">
        <f t="shared" si="526"/>
        <v>1.7210000000000001E-3</v>
      </c>
      <c r="S2079">
        <f t="shared" si="516"/>
        <v>1</v>
      </c>
      <c r="T2079">
        <f t="shared" si="517"/>
        <v>0</v>
      </c>
      <c r="U2079">
        <f t="shared" si="524"/>
        <v>0</v>
      </c>
      <c r="V2079">
        <f t="shared" si="525"/>
        <v>1</v>
      </c>
      <c r="W2079">
        <f t="shared" si="518"/>
        <v>0</v>
      </c>
      <c r="X2079">
        <f t="shared" si="519"/>
        <v>0</v>
      </c>
      <c r="Y2079">
        <f t="shared" si="520"/>
        <v>0</v>
      </c>
    </row>
    <row r="2080" spans="1:25" hidden="1">
      <c r="A2080" t="str">
        <f t="shared" si="527"/>
        <v>Wiebe 1933</v>
      </c>
      <c r="E2080">
        <v>0.25540000000000002</v>
      </c>
      <c r="H2080">
        <f t="shared" si="530"/>
        <v>348.15</v>
      </c>
      <c r="I2080">
        <v>506.62</v>
      </c>
      <c r="J2080">
        <f t="shared" si="523"/>
        <v>0</v>
      </c>
      <c r="N2080">
        <f t="shared" si="526"/>
        <v>2.5540000000000003E-3</v>
      </c>
      <c r="S2080">
        <f t="shared" si="516"/>
        <v>1</v>
      </c>
      <c r="T2080">
        <f t="shared" si="517"/>
        <v>0</v>
      </c>
      <c r="U2080">
        <f t="shared" si="524"/>
        <v>0</v>
      </c>
      <c r="V2080">
        <f t="shared" si="525"/>
        <v>1</v>
      </c>
      <c r="W2080">
        <f t="shared" si="518"/>
        <v>0</v>
      </c>
      <c r="X2080">
        <f t="shared" si="519"/>
        <v>0</v>
      </c>
      <c r="Y2080">
        <f t="shared" si="520"/>
        <v>0</v>
      </c>
    </row>
    <row r="2081" spans="1:25" hidden="1">
      <c r="A2081" t="str">
        <f t="shared" si="527"/>
        <v>Wiebe 1933</v>
      </c>
      <c r="E2081">
        <v>0.3604</v>
      </c>
      <c r="H2081">
        <f t="shared" si="530"/>
        <v>348.15</v>
      </c>
      <c r="I2081">
        <v>810.6</v>
      </c>
      <c r="J2081">
        <f t="shared" si="523"/>
        <v>0</v>
      </c>
      <c r="N2081">
        <f t="shared" si="526"/>
        <v>3.604E-3</v>
      </c>
      <c r="S2081">
        <f t="shared" si="516"/>
        <v>1</v>
      </c>
      <c r="T2081">
        <f t="shared" si="517"/>
        <v>0</v>
      </c>
      <c r="U2081">
        <f t="shared" si="524"/>
        <v>0</v>
      </c>
      <c r="V2081">
        <f t="shared" si="525"/>
        <v>1</v>
      </c>
      <c r="W2081">
        <f t="shared" si="518"/>
        <v>0</v>
      </c>
      <c r="X2081">
        <f t="shared" si="519"/>
        <v>0</v>
      </c>
      <c r="Y2081">
        <f t="shared" si="520"/>
        <v>0</v>
      </c>
    </row>
    <row r="2082" spans="1:25" hidden="1">
      <c r="A2082" t="str">
        <f t="shared" si="527"/>
        <v>Wiebe 1933</v>
      </c>
      <c r="E2082">
        <v>0.42220000000000002</v>
      </c>
      <c r="H2082">
        <f t="shared" si="530"/>
        <v>348.15</v>
      </c>
      <c r="I2082">
        <v>1013.25</v>
      </c>
      <c r="J2082">
        <f t="shared" si="523"/>
        <v>0</v>
      </c>
      <c r="N2082">
        <f t="shared" si="526"/>
        <v>4.2220000000000001E-3</v>
      </c>
      <c r="S2082">
        <f t="shared" si="516"/>
        <v>1</v>
      </c>
      <c r="T2082">
        <f t="shared" si="517"/>
        <v>0</v>
      </c>
      <c r="U2082">
        <f t="shared" si="524"/>
        <v>0</v>
      </c>
      <c r="V2082">
        <f t="shared" si="525"/>
        <v>1</v>
      </c>
      <c r="W2082">
        <f t="shared" si="518"/>
        <v>0</v>
      </c>
      <c r="X2082">
        <f t="shared" si="519"/>
        <v>0</v>
      </c>
      <c r="Y2082">
        <f t="shared" si="520"/>
        <v>0</v>
      </c>
    </row>
    <row r="2083" spans="1:25" hidden="1">
      <c r="A2083" t="str">
        <f t="shared" si="527"/>
        <v>Wiebe 1933</v>
      </c>
      <c r="E2083">
        <v>1.9E-2</v>
      </c>
      <c r="H2083">
        <v>373.15</v>
      </c>
      <c r="I2083">
        <v>25.33</v>
      </c>
      <c r="J2083">
        <f t="shared" si="523"/>
        <v>0</v>
      </c>
      <c r="N2083">
        <f t="shared" si="526"/>
        <v>1.8999999999999998E-4</v>
      </c>
      <c r="S2083">
        <f t="shared" ref="S2083:S2114" si="531">S2082</f>
        <v>1</v>
      </c>
      <c r="T2083">
        <f t="shared" ref="T2083:T2114" si="532">T2082</f>
        <v>0</v>
      </c>
      <c r="U2083">
        <f t="shared" si="524"/>
        <v>0</v>
      </c>
      <c r="V2083">
        <f t="shared" si="525"/>
        <v>1</v>
      </c>
      <c r="W2083">
        <f t="shared" ref="W2083:W2114" si="533">W2082</f>
        <v>0</v>
      </c>
      <c r="X2083">
        <f t="shared" ref="X2083:X2114" si="534">X2082</f>
        <v>0</v>
      </c>
      <c r="Y2083">
        <f t="shared" ref="Y2083:Y2114" si="535">Y2082</f>
        <v>0</v>
      </c>
    </row>
    <row r="2084" spans="1:25" hidden="1">
      <c r="A2084" t="str">
        <f t="shared" si="527"/>
        <v>Wiebe 1933</v>
      </c>
      <c r="E2084">
        <v>3.6900000000000002E-2</v>
      </c>
      <c r="H2084">
        <f t="shared" ref="H2084:H2090" si="536">H2083</f>
        <v>373.15</v>
      </c>
      <c r="I2084">
        <v>50.66</v>
      </c>
      <c r="J2084">
        <f t="shared" ref="J2084:J2115" si="537">J2083</f>
        <v>0</v>
      </c>
      <c r="N2084">
        <f t="shared" si="526"/>
        <v>3.6900000000000002E-4</v>
      </c>
      <c r="S2084">
        <f t="shared" si="531"/>
        <v>1</v>
      </c>
      <c r="T2084">
        <f t="shared" si="532"/>
        <v>0</v>
      </c>
      <c r="U2084">
        <f t="shared" ref="U2084:U2115" si="538">U2083</f>
        <v>0</v>
      </c>
      <c r="V2084">
        <f t="shared" ref="V2084:V2115" si="539">V2083</f>
        <v>1</v>
      </c>
      <c r="W2084">
        <f t="shared" si="533"/>
        <v>0</v>
      </c>
      <c r="X2084">
        <f t="shared" si="534"/>
        <v>0</v>
      </c>
      <c r="Y2084">
        <f t="shared" si="535"/>
        <v>0</v>
      </c>
    </row>
    <row r="2085" spans="1:25" hidden="1">
      <c r="A2085" t="str">
        <f t="shared" si="527"/>
        <v>Wiebe 1933</v>
      </c>
      <c r="E2085">
        <v>7.0400000000000004E-2</v>
      </c>
      <c r="H2085">
        <f t="shared" si="536"/>
        <v>373.15</v>
      </c>
      <c r="I2085">
        <v>101.33</v>
      </c>
      <c r="J2085">
        <f t="shared" si="537"/>
        <v>0</v>
      </c>
      <c r="N2085">
        <f t="shared" si="526"/>
        <v>7.0400000000000009E-4</v>
      </c>
      <c r="S2085">
        <f t="shared" si="531"/>
        <v>1</v>
      </c>
      <c r="T2085">
        <f t="shared" si="532"/>
        <v>0</v>
      </c>
      <c r="U2085">
        <f t="shared" si="538"/>
        <v>0</v>
      </c>
      <c r="V2085">
        <f t="shared" si="539"/>
        <v>1</v>
      </c>
      <c r="W2085">
        <f t="shared" si="533"/>
        <v>0</v>
      </c>
      <c r="X2085">
        <f t="shared" si="534"/>
        <v>0</v>
      </c>
      <c r="Y2085">
        <f t="shared" si="535"/>
        <v>0</v>
      </c>
    </row>
    <row r="2086" spans="1:25" hidden="1">
      <c r="A2086" t="str">
        <f t="shared" si="527"/>
        <v>Wiebe 1933</v>
      </c>
      <c r="E2086">
        <v>0.13</v>
      </c>
      <c r="H2086">
        <f t="shared" si="536"/>
        <v>373.15</v>
      </c>
      <c r="I2086">
        <v>202.65</v>
      </c>
      <c r="J2086">
        <f t="shared" si="537"/>
        <v>0</v>
      </c>
      <c r="N2086">
        <f t="shared" si="526"/>
        <v>1.2999999999999999E-3</v>
      </c>
      <c r="S2086">
        <f t="shared" si="531"/>
        <v>1</v>
      </c>
      <c r="T2086">
        <f t="shared" si="532"/>
        <v>0</v>
      </c>
      <c r="U2086">
        <f t="shared" si="538"/>
        <v>0</v>
      </c>
      <c r="V2086">
        <f t="shared" si="539"/>
        <v>1</v>
      </c>
      <c r="W2086">
        <f t="shared" si="533"/>
        <v>0</v>
      </c>
      <c r="X2086">
        <f t="shared" si="534"/>
        <v>0</v>
      </c>
      <c r="Y2086">
        <f t="shared" si="535"/>
        <v>0</v>
      </c>
    </row>
    <row r="2087" spans="1:25" hidden="1">
      <c r="A2087" t="str">
        <f t="shared" si="527"/>
        <v>Wiebe 1933</v>
      </c>
      <c r="E2087">
        <v>0.18160000000000001</v>
      </c>
      <c r="H2087">
        <f t="shared" si="536"/>
        <v>373.15</v>
      </c>
      <c r="I2087">
        <v>303.97000000000003</v>
      </c>
      <c r="J2087">
        <f t="shared" si="537"/>
        <v>0</v>
      </c>
      <c r="N2087">
        <f t="shared" si="526"/>
        <v>1.8160000000000001E-3</v>
      </c>
      <c r="S2087">
        <f t="shared" si="531"/>
        <v>1</v>
      </c>
      <c r="T2087">
        <f t="shared" si="532"/>
        <v>0</v>
      </c>
      <c r="U2087">
        <f t="shared" si="538"/>
        <v>0</v>
      </c>
      <c r="V2087">
        <f t="shared" si="539"/>
        <v>1</v>
      </c>
      <c r="W2087">
        <f t="shared" si="533"/>
        <v>0</v>
      </c>
      <c r="X2087">
        <f t="shared" si="534"/>
        <v>0</v>
      </c>
      <c r="Y2087">
        <f t="shared" si="535"/>
        <v>0</v>
      </c>
    </row>
    <row r="2088" spans="1:25" hidden="1">
      <c r="A2088" t="str">
        <f t="shared" si="527"/>
        <v>Wiebe 1933</v>
      </c>
      <c r="E2088">
        <v>0.2707</v>
      </c>
      <c r="H2088">
        <f t="shared" si="536"/>
        <v>373.15</v>
      </c>
      <c r="I2088">
        <v>506.62</v>
      </c>
      <c r="J2088">
        <f t="shared" si="537"/>
        <v>0</v>
      </c>
      <c r="N2088">
        <f t="shared" si="526"/>
        <v>2.7069999999999998E-3</v>
      </c>
      <c r="S2088">
        <f t="shared" si="531"/>
        <v>1</v>
      </c>
      <c r="T2088">
        <f t="shared" si="532"/>
        <v>0</v>
      </c>
      <c r="U2088">
        <f t="shared" si="538"/>
        <v>0</v>
      </c>
      <c r="V2088">
        <f t="shared" si="539"/>
        <v>1</v>
      </c>
      <c r="W2088">
        <f t="shared" si="533"/>
        <v>0</v>
      </c>
      <c r="X2088">
        <f t="shared" si="534"/>
        <v>0</v>
      </c>
      <c r="Y2088">
        <f t="shared" si="535"/>
        <v>0</v>
      </c>
    </row>
    <row r="2089" spans="1:25" hidden="1">
      <c r="A2089" t="str">
        <f t="shared" si="527"/>
        <v>Wiebe 1933</v>
      </c>
      <c r="E2089">
        <v>0.38190000000000002</v>
      </c>
      <c r="H2089">
        <f t="shared" si="536"/>
        <v>373.15</v>
      </c>
      <c r="I2089">
        <v>810.6</v>
      </c>
      <c r="J2089">
        <f t="shared" si="537"/>
        <v>0</v>
      </c>
      <c r="N2089">
        <f t="shared" si="526"/>
        <v>3.8190000000000003E-3</v>
      </c>
      <c r="S2089">
        <f t="shared" si="531"/>
        <v>1</v>
      </c>
      <c r="T2089">
        <f t="shared" si="532"/>
        <v>0</v>
      </c>
      <c r="U2089">
        <f t="shared" si="538"/>
        <v>0</v>
      </c>
      <c r="V2089">
        <f t="shared" si="539"/>
        <v>1</v>
      </c>
      <c r="W2089">
        <f t="shared" si="533"/>
        <v>0</v>
      </c>
      <c r="X2089">
        <f t="shared" si="534"/>
        <v>0</v>
      </c>
      <c r="Y2089">
        <f t="shared" si="535"/>
        <v>0</v>
      </c>
    </row>
    <row r="2090" spans="1:25" hidden="1">
      <c r="A2090" t="str">
        <f t="shared" si="527"/>
        <v>Wiebe 1933</v>
      </c>
      <c r="E2090">
        <v>0.44500000000000001</v>
      </c>
      <c r="H2090">
        <f t="shared" si="536"/>
        <v>373.15</v>
      </c>
      <c r="I2090">
        <v>1013.25</v>
      </c>
      <c r="J2090">
        <f t="shared" si="537"/>
        <v>0</v>
      </c>
      <c r="N2090">
        <f t="shared" si="526"/>
        <v>4.45E-3</v>
      </c>
      <c r="S2090">
        <f t="shared" si="531"/>
        <v>1</v>
      </c>
      <c r="T2090">
        <f t="shared" si="532"/>
        <v>0</v>
      </c>
      <c r="U2090">
        <f t="shared" si="538"/>
        <v>0</v>
      </c>
      <c r="V2090">
        <f t="shared" si="539"/>
        <v>1</v>
      </c>
      <c r="W2090">
        <f t="shared" si="533"/>
        <v>0</v>
      </c>
      <c r="X2090">
        <f t="shared" si="534"/>
        <v>0</v>
      </c>
      <c r="Y2090">
        <f t="shared" si="535"/>
        <v>0</v>
      </c>
    </row>
    <row r="2091" spans="1:25" hidden="1">
      <c r="A2091" t="s">
        <v>85</v>
      </c>
      <c r="H2091">
        <v>273.14999999999998</v>
      </c>
      <c r="I2091">
        <v>25.33</v>
      </c>
      <c r="J2091">
        <f t="shared" si="537"/>
        <v>0</v>
      </c>
      <c r="O2091">
        <v>3.8299999999999999E-4</v>
      </c>
      <c r="S2091">
        <f t="shared" si="531"/>
        <v>1</v>
      </c>
      <c r="T2091">
        <f t="shared" si="532"/>
        <v>0</v>
      </c>
      <c r="U2091">
        <f t="shared" si="538"/>
        <v>0</v>
      </c>
      <c r="V2091">
        <f t="shared" si="539"/>
        <v>1</v>
      </c>
      <c r="W2091">
        <f t="shared" si="533"/>
        <v>0</v>
      </c>
      <c r="X2091">
        <f t="shared" si="534"/>
        <v>0</v>
      </c>
      <c r="Y2091">
        <f t="shared" si="535"/>
        <v>0</v>
      </c>
    </row>
    <row r="2092" spans="1:25" hidden="1">
      <c r="A2092" t="str">
        <f t="shared" ref="A2092:A2130" si="540">A2091</f>
        <v>Wiebe 1934</v>
      </c>
      <c r="H2092">
        <f t="shared" ref="H2092:H2098" si="541">H2091</f>
        <v>273.14999999999998</v>
      </c>
      <c r="I2092">
        <v>50.66</v>
      </c>
      <c r="J2092">
        <f t="shared" si="537"/>
        <v>0</v>
      </c>
      <c r="O2092">
        <v>7.6800000000000002E-4</v>
      </c>
      <c r="S2092">
        <f t="shared" si="531"/>
        <v>1</v>
      </c>
      <c r="T2092">
        <f t="shared" si="532"/>
        <v>0</v>
      </c>
      <c r="U2092">
        <f t="shared" si="538"/>
        <v>0</v>
      </c>
      <c r="V2092">
        <f t="shared" si="539"/>
        <v>1</v>
      </c>
      <c r="W2092">
        <f t="shared" si="533"/>
        <v>0</v>
      </c>
      <c r="X2092">
        <f t="shared" si="534"/>
        <v>0</v>
      </c>
      <c r="Y2092">
        <f t="shared" si="535"/>
        <v>0</v>
      </c>
    </row>
    <row r="2093" spans="1:25" hidden="1">
      <c r="A2093" t="str">
        <f t="shared" si="540"/>
        <v>Wiebe 1934</v>
      </c>
      <c r="H2093">
        <f t="shared" si="541"/>
        <v>273.14999999999998</v>
      </c>
      <c r="I2093">
        <v>101.33</v>
      </c>
      <c r="J2093">
        <f t="shared" si="537"/>
        <v>0</v>
      </c>
      <c r="O2093">
        <v>1.5200000000000001E-3</v>
      </c>
      <c r="S2093">
        <f t="shared" si="531"/>
        <v>1</v>
      </c>
      <c r="T2093">
        <f t="shared" si="532"/>
        <v>0</v>
      </c>
      <c r="U2093">
        <f t="shared" si="538"/>
        <v>0</v>
      </c>
      <c r="V2093">
        <f t="shared" si="539"/>
        <v>1</v>
      </c>
      <c r="W2093">
        <f t="shared" si="533"/>
        <v>0</v>
      </c>
      <c r="X2093">
        <f t="shared" si="534"/>
        <v>0</v>
      </c>
      <c r="Y2093">
        <f t="shared" si="535"/>
        <v>0</v>
      </c>
    </row>
    <row r="2094" spans="1:25" hidden="1">
      <c r="A2094" t="str">
        <f t="shared" si="540"/>
        <v>Wiebe 1934</v>
      </c>
      <c r="H2094">
        <f t="shared" si="541"/>
        <v>273.14999999999998</v>
      </c>
      <c r="I2094">
        <v>202.65</v>
      </c>
      <c r="J2094">
        <f t="shared" si="537"/>
        <v>0</v>
      </c>
      <c r="O2094">
        <v>2.983E-3</v>
      </c>
      <c r="S2094">
        <f t="shared" si="531"/>
        <v>1</v>
      </c>
      <c r="T2094">
        <f t="shared" si="532"/>
        <v>0</v>
      </c>
      <c r="U2094">
        <f t="shared" si="538"/>
        <v>0</v>
      </c>
      <c r="V2094">
        <f t="shared" si="539"/>
        <v>1</v>
      </c>
      <c r="W2094">
        <f t="shared" si="533"/>
        <v>0</v>
      </c>
      <c r="X2094">
        <f t="shared" si="534"/>
        <v>0</v>
      </c>
      <c r="Y2094">
        <f t="shared" si="535"/>
        <v>0</v>
      </c>
    </row>
    <row r="2095" spans="1:25" hidden="1">
      <c r="A2095" t="str">
        <f t="shared" si="540"/>
        <v>Wiebe 1934</v>
      </c>
      <c r="H2095">
        <f t="shared" si="541"/>
        <v>273.14999999999998</v>
      </c>
      <c r="I2095">
        <v>405.3</v>
      </c>
      <c r="J2095">
        <f t="shared" si="537"/>
        <v>0</v>
      </c>
      <c r="O2095">
        <v>5.6899999999999997E-3</v>
      </c>
      <c r="S2095">
        <f t="shared" si="531"/>
        <v>1</v>
      </c>
      <c r="T2095">
        <f t="shared" si="532"/>
        <v>0</v>
      </c>
      <c r="U2095">
        <f t="shared" si="538"/>
        <v>0</v>
      </c>
      <c r="V2095">
        <f t="shared" si="539"/>
        <v>1</v>
      </c>
      <c r="W2095">
        <f t="shared" si="533"/>
        <v>0</v>
      </c>
      <c r="X2095">
        <f t="shared" si="534"/>
        <v>0</v>
      </c>
      <c r="Y2095">
        <f t="shared" si="535"/>
        <v>0</v>
      </c>
    </row>
    <row r="2096" spans="1:25" hidden="1">
      <c r="A2096" t="str">
        <f t="shared" si="540"/>
        <v>Wiebe 1934</v>
      </c>
      <c r="H2096">
        <f t="shared" si="541"/>
        <v>273.14999999999998</v>
      </c>
      <c r="I2096">
        <v>607.95000000000005</v>
      </c>
      <c r="J2096">
        <f t="shared" si="537"/>
        <v>0</v>
      </c>
      <c r="O2096">
        <v>8.2389999999999998E-3</v>
      </c>
      <c r="S2096">
        <f t="shared" si="531"/>
        <v>1</v>
      </c>
      <c r="T2096">
        <f t="shared" si="532"/>
        <v>0</v>
      </c>
      <c r="U2096">
        <f t="shared" si="538"/>
        <v>0</v>
      </c>
      <c r="V2096">
        <f t="shared" si="539"/>
        <v>1</v>
      </c>
      <c r="W2096">
        <f t="shared" si="533"/>
        <v>0</v>
      </c>
      <c r="X2096">
        <f t="shared" si="534"/>
        <v>0</v>
      </c>
      <c r="Y2096">
        <f t="shared" si="535"/>
        <v>0</v>
      </c>
    </row>
    <row r="2097" spans="1:25" hidden="1">
      <c r="A2097" t="str">
        <f t="shared" si="540"/>
        <v>Wiebe 1934</v>
      </c>
      <c r="H2097">
        <f t="shared" si="541"/>
        <v>273.14999999999998</v>
      </c>
      <c r="I2097">
        <v>810.6</v>
      </c>
      <c r="J2097">
        <f t="shared" si="537"/>
        <v>0</v>
      </c>
      <c r="O2097">
        <v>1.0619E-2</v>
      </c>
      <c r="S2097">
        <f t="shared" si="531"/>
        <v>1</v>
      </c>
      <c r="T2097">
        <f t="shared" si="532"/>
        <v>0</v>
      </c>
      <c r="U2097">
        <f t="shared" si="538"/>
        <v>0</v>
      </c>
      <c r="V2097">
        <f t="shared" si="539"/>
        <v>1</v>
      </c>
      <c r="W2097">
        <f t="shared" si="533"/>
        <v>0</v>
      </c>
      <c r="X2097">
        <f t="shared" si="534"/>
        <v>0</v>
      </c>
      <c r="Y2097">
        <f t="shared" si="535"/>
        <v>0</v>
      </c>
    </row>
    <row r="2098" spans="1:25" hidden="1">
      <c r="A2098" t="str">
        <f t="shared" si="540"/>
        <v>Wiebe 1934</v>
      </c>
      <c r="H2098">
        <f t="shared" si="541"/>
        <v>273.14999999999998</v>
      </c>
      <c r="I2098">
        <v>1013.25</v>
      </c>
      <c r="J2098">
        <f t="shared" si="537"/>
        <v>0</v>
      </c>
      <c r="O2098">
        <v>1.2699999999999999E-2</v>
      </c>
      <c r="S2098">
        <f t="shared" si="531"/>
        <v>1</v>
      </c>
      <c r="T2098">
        <f t="shared" si="532"/>
        <v>0</v>
      </c>
      <c r="U2098">
        <f t="shared" si="538"/>
        <v>0</v>
      </c>
      <c r="V2098">
        <f t="shared" si="539"/>
        <v>1</v>
      </c>
      <c r="W2098">
        <f t="shared" si="533"/>
        <v>0</v>
      </c>
      <c r="X2098">
        <f t="shared" si="534"/>
        <v>0</v>
      </c>
      <c r="Y2098">
        <f t="shared" si="535"/>
        <v>0</v>
      </c>
    </row>
    <row r="2099" spans="1:25" hidden="1">
      <c r="A2099" t="str">
        <f t="shared" si="540"/>
        <v>Wiebe 1934</v>
      </c>
      <c r="H2099">
        <v>298.14999999999998</v>
      </c>
      <c r="I2099">
        <v>25.33</v>
      </c>
      <c r="J2099">
        <f t="shared" si="537"/>
        <v>0</v>
      </c>
      <c r="O2099">
        <v>3.1100000000000002E-4</v>
      </c>
      <c r="S2099">
        <f t="shared" si="531"/>
        <v>1</v>
      </c>
      <c r="T2099">
        <f t="shared" si="532"/>
        <v>0</v>
      </c>
      <c r="U2099">
        <f t="shared" si="538"/>
        <v>0</v>
      </c>
      <c r="V2099">
        <f t="shared" si="539"/>
        <v>1</v>
      </c>
      <c r="W2099">
        <f t="shared" si="533"/>
        <v>0</v>
      </c>
      <c r="X2099">
        <f t="shared" si="534"/>
        <v>0</v>
      </c>
      <c r="Y2099">
        <f t="shared" si="535"/>
        <v>0</v>
      </c>
    </row>
    <row r="2100" spans="1:25" hidden="1">
      <c r="A2100" t="str">
        <f t="shared" si="540"/>
        <v>Wiebe 1934</v>
      </c>
      <c r="H2100">
        <f t="shared" ref="H2100:H2106" si="542">H2099</f>
        <v>298.14999999999998</v>
      </c>
      <c r="I2100">
        <v>50.66</v>
      </c>
      <c r="J2100">
        <f t="shared" si="537"/>
        <v>0</v>
      </c>
      <c r="O2100">
        <v>6.1899999999999998E-4</v>
      </c>
      <c r="S2100">
        <f t="shared" si="531"/>
        <v>1</v>
      </c>
      <c r="T2100">
        <f t="shared" si="532"/>
        <v>0</v>
      </c>
      <c r="U2100">
        <f t="shared" si="538"/>
        <v>0</v>
      </c>
      <c r="V2100">
        <f t="shared" si="539"/>
        <v>1</v>
      </c>
      <c r="W2100">
        <f t="shared" si="533"/>
        <v>0</v>
      </c>
      <c r="X2100">
        <f t="shared" si="534"/>
        <v>0</v>
      </c>
      <c r="Y2100">
        <f t="shared" si="535"/>
        <v>0</v>
      </c>
    </row>
    <row r="2101" spans="1:25" hidden="1">
      <c r="A2101" t="str">
        <f t="shared" si="540"/>
        <v>Wiebe 1934</v>
      </c>
      <c r="H2101">
        <f t="shared" si="542"/>
        <v>298.14999999999998</v>
      </c>
      <c r="I2101">
        <v>101.33</v>
      </c>
      <c r="J2101">
        <f t="shared" si="537"/>
        <v>0</v>
      </c>
      <c r="O2101">
        <v>1.2329999999999999E-3</v>
      </c>
      <c r="S2101">
        <f t="shared" si="531"/>
        <v>1</v>
      </c>
      <c r="T2101">
        <f t="shared" si="532"/>
        <v>0</v>
      </c>
      <c r="U2101">
        <f t="shared" si="538"/>
        <v>0</v>
      </c>
      <c r="V2101">
        <f t="shared" si="539"/>
        <v>1</v>
      </c>
      <c r="W2101">
        <f t="shared" si="533"/>
        <v>0</v>
      </c>
      <c r="X2101">
        <f t="shared" si="534"/>
        <v>0</v>
      </c>
      <c r="Y2101">
        <f t="shared" si="535"/>
        <v>0</v>
      </c>
    </row>
    <row r="2102" spans="1:25" hidden="1">
      <c r="A2102" t="str">
        <f t="shared" si="540"/>
        <v>Wiebe 1934</v>
      </c>
      <c r="H2102">
        <f t="shared" si="542"/>
        <v>298.14999999999998</v>
      </c>
      <c r="I2102">
        <v>202.65</v>
      </c>
      <c r="J2102">
        <f t="shared" si="537"/>
        <v>0</v>
      </c>
      <c r="O2102">
        <v>2.4169999999999999E-3</v>
      </c>
      <c r="S2102">
        <f t="shared" si="531"/>
        <v>1</v>
      </c>
      <c r="T2102">
        <f t="shared" si="532"/>
        <v>0</v>
      </c>
      <c r="U2102">
        <f t="shared" si="538"/>
        <v>0</v>
      </c>
      <c r="V2102">
        <f t="shared" si="539"/>
        <v>1</v>
      </c>
      <c r="W2102">
        <f t="shared" si="533"/>
        <v>0</v>
      </c>
      <c r="X2102">
        <f t="shared" si="534"/>
        <v>0</v>
      </c>
      <c r="Y2102">
        <f t="shared" si="535"/>
        <v>0</v>
      </c>
    </row>
    <row r="2103" spans="1:25" hidden="1">
      <c r="A2103" t="str">
        <f t="shared" si="540"/>
        <v>Wiebe 1934</v>
      </c>
      <c r="H2103">
        <f t="shared" si="542"/>
        <v>298.14999999999998</v>
      </c>
      <c r="I2103">
        <v>405.3</v>
      </c>
      <c r="J2103">
        <f t="shared" si="537"/>
        <v>0</v>
      </c>
      <c r="O2103">
        <v>4.6730000000000001E-3</v>
      </c>
      <c r="S2103">
        <f t="shared" si="531"/>
        <v>1</v>
      </c>
      <c r="T2103">
        <f t="shared" si="532"/>
        <v>0</v>
      </c>
      <c r="U2103">
        <f t="shared" si="538"/>
        <v>0</v>
      </c>
      <c r="V2103">
        <f t="shared" si="539"/>
        <v>1</v>
      </c>
      <c r="W2103">
        <f t="shared" si="533"/>
        <v>0</v>
      </c>
      <c r="X2103">
        <f t="shared" si="534"/>
        <v>0</v>
      </c>
      <c r="Y2103">
        <f t="shared" si="535"/>
        <v>0</v>
      </c>
    </row>
    <row r="2104" spans="1:25" hidden="1">
      <c r="A2104" t="str">
        <f t="shared" si="540"/>
        <v>Wiebe 1934</v>
      </c>
      <c r="H2104">
        <f t="shared" si="542"/>
        <v>298.14999999999998</v>
      </c>
      <c r="I2104">
        <v>607.95000000000005</v>
      </c>
      <c r="J2104">
        <f t="shared" si="537"/>
        <v>0</v>
      </c>
      <c r="O2104">
        <v>6.7990000000000004E-3</v>
      </c>
      <c r="S2104">
        <f t="shared" si="531"/>
        <v>1</v>
      </c>
      <c r="T2104">
        <f t="shared" si="532"/>
        <v>0</v>
      </c>
      <c r="U2104">
        <f t="shared" si="538"/>
        <v>0</v>
      </c>
      <c r="V2104">
        <f t="shared" si="539"/>
        <v>1</v>
      </c>
      <c r="W2104">
        <f t="shared" si="533"/>
        <v>0</v>
      </c>
      <c r="X2104">
        <f t="shared" si="534"/>
        <v>0</v>
      </c>
      <c r="Y2104">
        <f t="shared" si="535"/>
        <v>0</v>
      </c>
    </row>
    <row r="2105" spans="1:25" hidden="1">
      <c r="A2105" t="str">
        <f t="shared" si="540"/>
        <v>Wiebe 1934</v>
      </c>
      <c r="H2105">
        <f t="shared" si="542"/>
        <v>298.14999999999998</v>
      </c>
      <c r="I2105">
        <v>810.6</v>
      </c>
      <c r="J2105">
        <f t="shared" si="537"/>
        <v>0</v>
      </c>
      <c r="O2105">
        <v>8.8249999999999995E-3</v>
      </c>
      <c r="S2105">
        <f t="shared" si="531"/>
        <v>1</v>
      </c>
      <c r="T2105">
        <f t="shared" si="532"/>
        <v>0</v>
      </c>
      <c r="U2105">
        <f t="shared" si="538"/>
        <v>0</v>
      </c>
      <c r="V2105">
        <f t="shared" si="539"/>
        <v>1</v>
      </c>
      <c r="W2105">
        <f t="shared" si="533"/>
        <v>0</v>
      </c>
      <c r="X2105">
        <f t="shared" si="534"/>
        <v>0</v>
      </c>
      <c r="Y2105">
        <f t="shared" si="535"/>
        <v>0</v>
      </c>
    </row>
    <row r="2106" spans="1:25" hidden="1">
      <c r="A2106" t="str">
        <f t="shared" si="540"/>
        <v>Wiebe 1934</v>
      </c>
      <c r="H2106">
        <f t="shared" si="542"/>
        <v>298.14999999999998</v>
      </c>
      <c r="I2106">
        <v>1013.25</v>
      </c>
      <c r="J2106">
        <f t="shared" si="537"/>
        <v>0</v>
      </c>
      <c r="O2106">
        <v>1.0744999999999999E-2</v>
      </c>
      <c r="S2106">
        <f t="shared" si="531"/>
        <v>1</v>
      </c>
      <c r="T2106">
        <f t="shared" si="532"/>
        <v>0</v>
      </c>
      <c r="U2106">
        <f t="shared" si="538"/>
        <v>0</v>
      </c>
      <c r="V2106">
        <f t="shared" si="539"/>
        <v>1</v>
      </c>
      <c r="W2106">
        <f t="shared" si="533"/>
        <v>0</v>
      </c>
      <c r="X2106">
        <f t="shared" si="534"/>
        <v>0</v>
      </c>
      <c r="Y2106">
        <f t="shared" si="535"/>
        <v>0</v>
      </c>
    </row>
    <row r="2107" spans="1:25" hidden="1">
      <c r="A2107" t="str">
        <f t="shared" si="540"/>
        <v>Wiebe 1934</v>
      </c>
      <c r="H2107">
        <v>323.14999999999998</v>
      </c>
      <c r="I2107">
        <v>25.33</v>
      </c>
      <c r="J2107">
        <f t="shared" si="537"/>
        <v>0</v>
      </c>
      <c r="O2107">
        <v>2.9E-4</v>
      </c>
      <c r="S2107">
        <f t="shared" si="531"/>
        <v>1</v>
      </c>
      <c r="T2107">
        <f t="shared" si="532"/>
        <v>0</v>
      </c>
      <c r="U2107">
        <f t="shared" si="538"/>
        <v>0</v>
      </c>
      <c r="V2107">
        <f t="shared" si="539"/>
        <v>1</v>
      </c>
      <c r="W2107">
        <f t="shared" si="533"/>
        <v>0</v>
      </c>
      <c r="X2107">
        <f t="shared" si="534"/>
        <v>0</v>
      </c>
      <c r="Y2107">
        <f t="shared" si="535"/>
        <v>0</v>
      </c>
    </row>
    <row r="2108" spans="1:25" hidden="1">
      <c r="A2108" t="str">
        <f t="shared" si="540"/>
        <v>Wiebe 1934</v>
      </c>
      <c r="H2108">
        <f>H2107</f>
        <v>323.14999999999998</v>
      </c>
      <c r="I2108">
        <v>50.66</v>
      </c>
      <c r="J2108">
        <f t="shared" si="537"/>
        <v>0</v>
      </c>
      <c r="O2108">
        <v>5.7799999999999995E-4</v>
      </c>
      <c r="S2108">
        <f t="shared" si="531"/>
        <v>1</v>
      </c>
      <c r="T2108">
        <f t="shared" si="532"/>
        <v>0</v>
      </c>
      <c r="U2108">
        <f t="shared" si="538"/>
        <v>0</v>
      </c>
      <c r="V2108">
        <f t="shared" si="539"/>
        <v>1</v>
      </c>
      <c r="W2108">
        <f t="shared" si="533"/>
        <v>0</v>
      </c>
      <c r="X2108">
        <f t="shared" si="534"/>
        <v>0</v>
      </c>
      <c r="Y2108">
        <f t="shared" si="535"/>
        <v>0</v>
      </c>
    </row>
    <row r="2109" spans="1:25" hidden="1">
      <c r="A2109" t="str">
        <f t="shared" si="540"/>
        <v>Wiebe 1934</v>
      </c>
      <c r="H2109">
        <f>H2108</f>
        <v>323.14999999999998</v>
      </c>
      <c r="I2109">
        <v>101.33</v>
      </c>
      <c r="J2109">
        <f t="shared" si="537"/>
        <v>0</v>
      </c>
      <c r="O2109">
        <v>1.1509999999999999E-3</v>
      </c>
      <c r="S2109">
        <f t="shared" si="531"/>
        <v>1</v>
      </c>
      <c r="T2109">
        <f t="shared" si="532"/>
        <v>0</v>
      </c>
      <c r="U2109">
        <f t="shared" si="538"/>
        <v>0</v>
      </c>
      <c r="V2109">
        <f t="shared" si="539"/>
        <v>1</v>
      </c>
      <c r="W2109">
        <f t="shared" si="533"/>
        <v>0</v>
      </c>
      <c r="X2109">
        <f t="shared" si="534"/>
        <v>0</v>
      </c>
      <c r="Y2109">
        <f t="shared" si="535"/>
        <v>0</v>
      </c>
    </row>
    <row r="2110" spans="1:25" hidden="1">
      <c r="A2110" t="str">
        <f t="shared" si="540"/>
        <v>Wiebe 1934</v>
      </c>
      <c r="H2110">
        <f>H2109</f>
        <v>323.14999999999998</v>
      </c>
      <c r="I2110">
        <v>202.65</v>
      </c>
      <c r="J2110">
        <f t="shared" si="537"/>
        <v>0</v>
      </c>
      <c r="O2110">
        <v>2.2560000000000002E-3</v>
      </c>
      <c r="S2110">
        <f t="shared" si="531"/>
        <v>1</v>
      </c>
      <c r="T2110">
        <f t="shared" si="532"/>
        <v>0</v>
      </c>
      <c r="U2110">
        <f t="shared" si="538"/>
        <v>0</v>
      </c>
      <c r="V2110">
        <f t="shared" si="539"/>
        <v>1</v>
      </c>
      <c r="W2110">
        <f t="shared" si="533"/>
        <v>0</v>
      </c>
      <c r="X2110">
        <f t="shared" si="534"/>
        <v>0</v>
      </c>
      <c r="Y2110">
        <f t="shared" si="535"/>
        <v>0</v>
      </c>
    </row>
    <row r="2111" spans="1:25" hidden="1">
      <c r="A2111" t="str">
        <f t="shared" si="540"/>
        <v>Wiebe 1934</v>
      </c>
      <c r="H2111">
        <v>323.14999999999998</v>
      </c>
      <c r="I2111">
        <v>405.3</v>
      </c>
      <c r="J2111">
        <f t="shared" si="537"/>
        <v>0</v>
      </c>
      <c r="O2111">
        <v>4.3870000000000003E-3</v>
      </c>
      <c r="S2111">
        <f t="shared" si="531"/>
        <v>1</v>
      </c>
      <c r="T2111">
        <f t="shared" si="532"/>
        <v>0</v>
      </c>
      <c r="U2111">
        <f t="shared" si="538"/>
        <v>0</v>
      </c>
      <c r="V2111">
        <f t="shared" si="539"/>
        <v>1</v>
      </c>
      <c r="W2111">
        <f t="shared" si="533"/>
        <v>0</v>
      </c>
      <c r="X2111">
        <f t="shared" si="534"/>
        <v>0</v>
      </c>
      <c r="Y2111">
        <f t="shared" si="535"/>
        <v>0</v>
      </c>
    </row>
    <row r="2112" spans="1:25" hidden="1">
      <c r="A2112" t="str">
        <f t="shared" si="540"/>
        <v>Wiebe 1934</v>
      </c>
      <c r="H2112">
        <f>H2111</f>
        <v>323.14999999999998</v>
      </c>
      <c r="I2112">
        <v>607.95000000000005</v>
      </c>
      <c r="J2112">
        <f t="shared" si="537"/>
        <v>0</v>
      </c>
      <c r="O2112">
        <v>6.4019999999999997E-3</v>
      </c>
      <c r="S2112">
        <f t="shared" si="531"/>
        <v>1</v>
      </c>
      <c r="T2112">
        <f t="shared" si="532"/>
        <v>0</v>
      </c>
      <c r="U2112">
        <f t="shared" si="538"/>
        <v>0</v>
      </c>
      <c r="V2112">
        <f t="shared" si="539"/>
        <v>1</v>
      </c>
      <c r="W2112">
        <f t="shared" si="533"/>
        <v>0</v>
      </c>
      <c r="X2112">
        <f t="shared" si="534"/>
        <v>0</v>
      </c>
      <c r="Y2112">
        <f t="shared" si="535"/>
        <v>0</v>
      </c>
    </row>
    <row r="2113" spans="1:25" hidden="1">
      <c r="A2113" t="str">
        <f t="shared" si="540"/>
        <v>Wiebe 1934</v>
      </c>
      <c r="H2113">
        <f>H2112</f>
        <v>323.14999999999998</v>
      </c>
      <c r="I2113">
        <v>810.6</v>
      </c>
      <c r="J2113">
        <f t="shared" si="537"/>
        <v>0</v>
      </c>
      <c r="O2113">
        <v>8.3160000000000005E-3</v>
      </c>
      <c r="S2113">
        <f t="shared" si="531"/>
        <v>1</v>
      </c>
      <c r="T2113">
        <f t="shared" si="532"/>
        <v>0</v>
      </c>
      <c r="U2113">
        <f t="shared" si="538"/>
        <v>0</v>
      </c>
      <c r="V2113">
        <f t="shared" si="539"/>
        <v>1</v>
      </c>
      <c r="W2113">
        <f t="shared" si="533"/>
        <v>0</v>
      </c>
      <c r="X2113">
        <f t="shared" si="534"/>
        <v>0</v>
      </c>
      <c r="Y2113">
        <f t="shared" si="535"/>
        <v>0</v>
      </c>
    </row>
    <row r="2114" spans="1:25" hidden="1">
      <c r="A2114" t="str">
        <f t="shared" si="540"/>
        <v>Wiebe 1934</v>
      </c>
      <c r="H2114">
        <f>H2113</f>
        <v>323.14999999999998</v>
      </c>
      <c r="I2114">
        <v>1013.25</v>
      </c>
      <c r="J2114">
        <f t="shared" si="537"/>
        <v>0</v>
      </c>
      <c r="O2114">
        <v>1.0187999999999999E-2</v>
      </c>
      <c r="S2114">
        <f t="shared" si="531"/>
        <v>1</v>
      </c>
      <c r="T2114">
        <f t="shared" si="532"/>
        <v>0</v>
      </c>
      <c r="U2114">
        <f t="shared" si="538"/>
        <v>0</v>
      </c>
      <c r="V2114">
        <f t="shared" si="539"/>
        <v>1</v>
      </c>
      <c r="W2114">
        <f t="shared" si="533"/>
        <v>0</v>
      </c>
      <c r="X2114">
        <f t="shared" si="534"/>
        <v>0</v>
      </c>
      <c r="Y2114">
        <f t="shared" si="535"/>
        <v>0</v>
      </c>
    </row>
    <row r="2115" spans="1:25" hidden="1">
      <c r="A2115" t="str">
        <f t="shared" si="540"/>
        <v>Wiebe 1934</v>
      </c>
      <c r="H2115">
        <v>348.15</v>
      </c>
      <c r="I2115">
        <v>25.33</v>
      </c>
      <c r="J2115">
        <f t="shared" si="537"/>
        <v>0</v>
      </c>
      <c r="O2115">
        <v>2.9500000000000001E-4</v>
      </c>
      <c r="S2115">
        <f t="shared" ref="S2115:S2130" si="543">S2114</f>
        <v>1</v>
      </c>
      <c r="T2115">
        <f t="shared" ref="T2115:T2130" si="544">T2114</f>
        <v>0</v>
      </c>
      <c r="U2115">
        <f t="shared" si="538"/>
        <v>0</v>
      </c>
      <c r="V2115">
        <f t="shared" si="539"/>
        <v>1</v>
      </c>
      <c r="W2115">
        <f t="shared" ref="W2115:W2130" si="545">W2114</f>
        <v>0</v>
      </c>
      <c r="X2115">
        <f t="shared" ref="X2115:X2130" si="546">X2114</f>
        <v>0</v>
      </c>
      <c r="Y2115">
        <f t="shared" ref="Y2115:Y2130" si="547">Y2114</f>
        <v>0</v>
      </c>
    </row>
    <row r="2116" spans="1:25" hidden="1">
      <c r="A2116" t="str">
        <f t="shared" si="540"/>
        <v>Wiebe 1934</v>
      </c>
      <c r="H2116">
        <f t="shared" ref="H2116:H2122" si="548">H2115</f>
        <v>348.15</v>
      </c>
      <c r="I2116">
        <v>50.66</v>
      </c>
      <c r="J2116">
        <f t="shared" ref="J2116:J2130" si="549">J2115</f>
        <v>0</v>
      </c>
      <c r="O2116">
        <v>5.9000000000000003E-4</v>
      </c>
      <c r="S2116">
        <f t="shared" si="543"/>
        <v>1</v>
      </c>
      <c r="T2116">
        <f t="shared" si="544"/>
        <v>0</v>
      </c>
      <c r="U2116">
        <f t="shared" ref="U2116:U2130" si="550">U2115</f>
        <v>0</v>
      </c>
      <c r="V2116">
        <f t="shared" ref="V2116:V2130" si="551">V2115</f>
        <v>1</v>
      </c>
      <c r="W2116">
        <f t="shared" si="545"/>
        <v>0</v>
      </c>
      <c r="X2116">
        <f t="shared" si="546"/>
        <v>0</v>
      </c>
      <c r="Y2116">
        <f t="shared" si="547"/>
        <v>0</v>
      </c>
    </row>
    <row r="2117" spans="1:25" hidden="1">
      <c r="A2117" t="str">
        <f t="shared" si="540"/>
        <v>Wiebe 1934</v>
      </c>
      <c r="H2117">
        <f t="shared" si="548"/>
        <v>348.15</v>
      </c>
      <c r="I2117">
        <v>101.32</v>
      </c>
      <c r="J2117">
        <f t="shared" si="549"/>
        <v>0</v>
      </c>
      <c r="O2117">
        <v>1.173E-3</v>
      </c>
      <c r="S2117">
        <f t="shared" si="543"/>
        <v>1</v>
      </c>
      <c r="T2117">
        <f t="shared" si="544"/>
        <v>0</v>
      </c>
      <c r="U2117">
        <f t="shared" si="550"/>
        <v>0</v>
      </c>
      <c r="V2117">
        <f t="shared" si="551"/>
        <v>1</v>
      </c>
      <c r="W2117">
        <f t="shared" si="545"/>
        <v>0</v>
      </c>
      <c r="X2117">
        <f t="shared" si="546"/>
        <v>0</v>
      </c>
      <c r="Y2117">
        <f t="shared" si="547"/>
        <v>0</v>
      </c>
    </row>
    <row r="2118" spans="1:25" hidden="1">
      <c r="A2118" t="str">
        <f t="shared" si="540"/>
        <v>Wiebe 1934</v>
      </c>
      <c r="H2118">
        <f t="shared" si="548"/>
        <v>348.15</v>
      </c>
      <c r="I2118">
        <v>202.65</v>
      </c>
      <c r="J2118">
        <f t="shared" si="549"/>
        <v>0</v>
      </c>
      <c r="O2118">
        <v>2.31E-3</v>
      </c>
      <c r="S2118">
        <f t="shared" si="543"/>
        <v>1</v>
      </c>
      <c r="T2118">
        <f t="shared" si="544"/>
        <v>0</v>
      </c>
      <c r="U2118">
        <f t="shared" si="550"/>
        <v>0</v>
      </c>
      <c r="V2118">
        <f t="shared" si="551"/>
        <v>1</v>
      </c>
      <c r="W2118">
        <f t="shared" si="545"/>
        <v>0</v>
      </c>
      <c r="X2118">
        <f t="shared" si="546"/>
        <v>0</v>
      </c>
      <c r="Y2118">
        <f t="shared" si="547"/>
        <v>0</v>
      </c>
    </row>
    <row r="2119" spans="1:25" hidden="1">
      <c r="A2119" t="str">
        <f t="shared" si="540"/>
        <v>Wiebe 1934</v>
      </c>
      <c r="H2119">
        <f t="shared" si="548"/>
        <v>348.15</v>
      </c>
      <c r="I2119">
        <v>405.3</v>
      </c>
      <c r="J2119">
        <f t="shared" si="549"/>
        <v>0</v>
      </c>
      <c r="O2119">
        <v>4.4869999999999997E-3</v>
      </c>
      <c r="S2119">
        <f t="shared" si="543"/>
        <v>1</v>
      </c>
      <c r="T2119">
        <f t="shared" si="544"/>
        <v>0</v>
      </c>
      <c r="U2119">
        <f t="shared" si="550"/>
        <v>0</v>
      </c>
      <c r="V2119">
        <f t="shared" si="551"/>
        <v>1</v>
      </c>
      <c r="W2119">
        <f t="shared" si="545"/>
        <v>0</v>
      </c>
      <c r="X2119">
        <f t="shared" si="546"/>
        <v>0</v>
      </c>
      <c r="Y2119">
        <f t="shared" si="547"/>
        <v>0</v>
      </c>
    </row>
    <row r="2120" spans="1:25" hidden="1">
      <c r="A2120" t="str">
        <f t="shared" si="540"/>
        <v>Wiebe 1934</v>
      </c>
      <c r="H2120">
        <f t="shared" si="548"/>
        <v>348.15</v>
      </c>
      <c r="I2120">
        <v>607.95000000000005</v>
      </c>
      <c r="J2120">
        <f t="shared" si="549"/>
        <v>0</v>
      </c>
      <c r="O2120">
        <v>6.5449999999999996E-3</v>
      </c>
      <c r="S2120">
        <f t="shared" si="543"/>
        <v>1</v>
      </c>
      <c r="T2120">
        <f t="shared" si="544"/>
        <v>0</v>
      </c>
      <c r="U2120">
        <f t="shared" si="550"/>
        <v>0</v>
      </c>
      <c r="V2120">
        <f t="shared" si="551"/>
        <v>1</v>
      </c>
      <c r="W2120">
        <f t="shared" si="545"/>
        <v>0</v>
      </c>
      <c r="X2120">
        <f t="shared" si="546"/>
        <v>0</v>
      </c>
      <c r="Y2120">
        <f t="shared" si="547"/>
        <v>0</v>
      </c>
    </row>
    <row r="2121" spans="1:25" hidden="1">
      <c r="A2121" t="str">
        <f t="shared" si="540"/>
        <v>Wiebe 1934</v>
      </c>
      <c r="H2121">
        <f t="shared" si="548"/>
        <v>348.15</v>
      </c>
      <c r="I2121">
        <v>810.6</v>
      </c>
      <c r="J2121">
        <f t="shared" si="549"/>
        <v>0</v>
      </c>
      <c r="O2121">
        <v>8.5039999999999994E-3</v>
      </c>
      <c r="S2121">
        <f t="shared" si="543"/>
        <v>1</v>
      </c>
      <c r="T2121">
        <f t="shared" si="544"/>
        <v>0</v>
      </c>
      <c r="U2121">
        <f t="shared" si="550"/>
        <v>0</v>
      </c>
      <c r="V2121">
        <f t="shared" si="551"/>
        <v>1</v>
      </c>
      <c r="W2121">
        <f t="shared" si="545"/>
        <v>0</v>
      </c>
      <c r="X2121">
        <f t="shared" si="546"/>
        <v>0</v>
      </c>
      <c r="Y2121">
        <f t="shared" si="547"/>
        <v>0</v>
      </c>
    </row>
    <row r="2122" spans="1:25" hidden="1">
      <c r="A2122" t="str">
        <f t="shared" si="540"/>
        <v>Wiebe 1934</v>
      </c>
      <c r="H2122">
        <f t="shared" si="548"/>
        <v>348.15</v>
      </c>
      <c r="I2122">
        <v>1013.25</v>
      </c>
      <c r="J2122">
        <f t="shared" si="549"/>
        <v>0</v>
      </c>
      <c r="O2122">
        <v>1.0385E-2</v>
      </c>
      <c r="S2122">
        <f t="shared" si="543"/>
        <v>1</v>
      </c>
      <c r="T2122">
        <f t="shared" si="544"/>
        <v>0</v>
      </c>
      <c r="U2122">
        <f t="shared" si="550"/>
        <v>0</v>
      </c>
      <c r="V2122">
        <f t="shared" si="551"/>
        <v>1</v>
      </c>
      <c r="W2122">
        <f t="shared" si="545"/>
        <v>0</v>
      </c>
      <c r="X2122">
        <f t="shared" si="546"/>
        <v>0</v>
      </c>
      <c r="Y2122">
        <f t="shared" si="547"/>
        <v>0</v>
      </c>
    </row>
    <row r="2123" spans="1:25" hidden="1">
      <c r="A2123" t="str">
        <f t="shared" si="540"/>
        <v>Wiebe 1934</v>
      </c>
      <c r="H2123">
        <v>373.15</v>
      </c>
      <c r="I2123">
        <v>25.33</v>
      </c>
      <c r="J2123">
        <f t="shared" si="549"/>
        <v>0</v>
      </c>
      <c r="O2123">
        <v>3.3E-4</v>
      </c>
      <c r="S2123">
        <f t="shared" si="543"/>
        <v>1</v>
      </c>
      <c r="T2123">
        <f t="shared" si="544"/>
        <v>0</v>
      </c>
      <c r="U2123">
        <f t="shared" si="550"/>
        <v>0</v>
      </c>
      <c r="V2123">
        <f t="shared" si="551"/>
        <v>1</v>
      </c>
      <c r="W2123">
        <f t="shared" si="545"/>
        <v>0</v>
      </c>
      <c r="X2123">
        <f t="shared" si="546"/>
        <v>0</v>
      </c>
      <c r="Y2123">
        <f t="shared" si="547"/>
        <v>0</v>
      </c>
    </row>
    <row r="2124" spans="1:25" hidden="1">
      <c r="A2124" t="str">
        <f t="shared" si="540"/>
        <v>Wiebe 1934</v>
      </c>
      <c r="H2124">
        <f t="shared" ref="H2124:H2130" si="552">H2123</f>
        <v>373.15</v>
      </c>
      <c r="I2124">
        <v>50.66</v>
      </c>
      <c r="J2124">
        <f t="shared" si="549"/>
        <v>0</v>
      </c>
      <c r="O2124">
        <v>6.5099999999999999E-4</v>
      </c>
      <c r="S2124">
        <f t="shared" si="543"/>
        <v>1</v>
      </c>
      <c r="T2124">
        <f t="shared" si="544"/>
        <v>0</v>
      </c>
      <c r="U2124">
        <f t="shared" si="550"/>
        <v>0</v>
      </c>
      <c r="V2124">
        <f t="shared" si="551"/>
        <v>1</v>
      </c>
      <c r="W2124">
        <f t="shared" si="545"/>
        <v>0</v>
      </c>
      <c r="X2124">
        <f t="shared" si="546"/>
        <v>0</v>
      </c>
      <c r="Y2124">
        <f t="shared" si="547"/>
        <v>0</v>
      </c>
    </row>
    <row r="2125" spans="1:25" hidden="1">
      <c r="A2125" t="str">
        <f t="shared" si="540"/>
        <v>Wiebe 1934</v>
      </c>
      <c r="H2125">
        <f t="shared" si="552"/>
        <v>373.15</v>
      </c>
      <c r="I2125">
        <v>101.32</v>
      </c>
      <c r="J2125">
        <f t="shared" si="549"/>
        <v>0</v>
      </c>
      <c r="O2125">
        <v>1.2880000000000001E-3</v>
      </c>
      <c r="S2125">
        <f t="shared" si="543"/>
        <v>1</v>
      </c>
      <c r="T2125">
        <f t="shared" si="544"/>
        <v>0</v>
      </c>
      <c r="U2125">
        <f t="shared" si="550"/>
        <v>0</v>
      </c>
      <c r="V2125">
        <f t="shared" si="551"/>
        <v>1</v>
      </c>
      <c r="W2125">
        <f t="shared" si="545"/>
        <v>0</v>
      </c>
      <c r="X2125">
        <f t="shared" si="546"/>
        <v>0</v>
      </c>
      <c r="Y2125">
        <f t="shared" si="547"/>
        <v>0</v>
      </c>
    </row>
    <row r="2126" spans="1:25" hidden="1">
      <c r="A2126" t="str">
        <f t="shared" si="540"/>
        <v>Wiebe 1934</v>
      </c>
      <c r="H2126">
        <f t="shared" si="552"/>
        <v>373.15</v>
      </c>
      <c r="I2126">
        <v>202.65</v>
      </c>
      <c r="J2126">
        <f t="shared" si="549"/>
        <v>0</v>
      </c>
      <c r="O2126">
        <v>2.526E-3</v>
      </c>
      <c r="S2126">
        <f t="shared" si="543"/>
        <v>1</v>
      </c>
      <c r="T2126">
        <f t="shared" si="544"/>
        <v>0</v>
      </c>
      <c r="U2126">
        <f t="shared" si="550"/>
        <v>0</v>
      </c>
      <c r="V2126">
        <f t="shared" si="551"/>
        <v>1</v>
      </c>
      <c r="W2126">
        <f t="shared" si="545"/>
        <v>0</v>
      </c>
      <c r="X2126">
        <f t="shared" si="546"/>
        <v>0</v>
      </c>
      <c r="Y2126">
        <f t="shared" si="547"/>
        <v>0</v>
      </c>
    </row>
    <row r="2127" spans="1:25" hidden="1">
      <c r="A2127" t="str">
        <f t="shared" si="540"/>
        <v>Wiebe 1934</v>
      </c>
      <c r="H2127">
        <f t="shared" si="552"/>
        <v>373.15</v>
      </c>
      <c r="I2127">
        <v>405.3</v>
      </c>
      <c r="J2127">
        <f t="shared" si="549"/>
        <v>0</v>
      </c>
      <c r="O2127">
        <v>4.8650000000000004E-3</v>
      </c>
      <c r="S2127">
        <f t="shared" si="543"/>
        <v>1</v>
      </c>
      <c r="T2127">
        <f t="shared" si="544"/>
        <v>0</v>
      </c>
      <c r="U2127">
        <f t="shared" si="550"/>
        <v>0</v>
      </c>
      <c r="V2127">
        <f t="shared" si="551"/>
        <v>1</v>
      </c>
      <c r="W2127">
        <f t="shared" si="545"/>
        <v>0</v>
      </c>
      <c r="X2127">
        <f t="shared" si="546"/>
        <v>0</v>
      </c>
      <c r="Y2127">
        <f t="shared" si="547"/>
        <v>0</v>
      </c>
    </row>
    <row r="2128" spans="1:25" hidden="1">
      <c r="A2128" t="str">
        <f t="shared" si="540"/>
        <v>Wiebe 1934</v>
      </c>
      <c r="H2128">
        <f t="shared" si="552"/>
        <v>373.15</v>
      </c>
      <c r="I2128">
        <v>607.95000000000005</v>
      </c>
      <c r="J2128">
        <f t="shared" si="549"/>
        <v>0</v>
      </c>
      <c r="O2128">
        <v>7.0910000000000001E-3</v>
      </c>
      <c r="S2128">
        <f t="shared" si="543"/>
        <v>1</v>
      </c>
      <c r="T2128">
        <f t="shared" si="544"/>
        <v>0</v>
      </c>
      <c r="U2128">
        <f t="shared" si="550"/>
        <v>0</v>
      </c>
      <c r="V2128">
        <f t="shared" si="551"/>
        <v>1</v>
      </c>
      <c r="W2128">
        <f t="shared" si="545"/>
        <v>0</v>
      </c>
      <c r="X2128">
        <f t="shared" si="546"/>
        <v>0</v>
      </c>
      <c r="Y2128">
        <f t="shared" si="547"/>
        <v>0</v>
      </c>
    </row>
    <row r="2129" spans="1:25" hidden="1">
      <c r="A2129" t="str">
        <f t="shared" si="540"/>
        <v>Wiebe 1934</v>
      </c>
      <c r="H2129">
        <f t="shared" si="552"/>
        <v>373.15</v>
      </c>
      <c r="I2129">
        <v>810.6</v>
      </c>
      <c r="J2129">
        <f t="shared" si="549"/>
        <v>0</v>
      </c>
      <c r="O2129">
        <v>9.1900000000000003E-3</v>
      </c>
      <c r="S2129">
        <f t="shared" si="543"/>
        <v>1</v>
      </c>
      <c r="T2129">
        <f t="shared" si="544"/>
        <v>0</v>
      </c>
      <c r="U2129">
        <f t="shared" si="550"/>
        <v>0</v>
      </c>
      <c r="V2129">
        <f t="shared" si="551"/>
        <v>1</v>
      </c>
      <c r="W2129">
        <f t="shared" si="545"/>
        <v>0</v>
      </c>
      <c r="X2129">
        <f t="shared" si="546"/>
        <v>0</v>
      </c>
      <c r="Y2129">
        <f t="shared" si="547"/>
        <v>0</v>
      </c>
    </row>
    <row r="2130" spans="1:25" hidden="1">
      <c r="A2130" t="str">
        <f t="shared" si="540"/>
        <v>Wiebe 1934</v>
      </c>
      <c r="H2130">
        <f t="shared" si="552"/>
        <v>373.15</v>
      </c>
      <c r="I2130">
        <v>1013.25</v>
      </c>
      <c r="J2130">
        <f t="shared" si="549"/>
        <v>0</v>
      </c>
      <c r="O2130">
        <v>1.1147000000000001E-2</v>
      </c>
      <c r="S2130">
        <f t="shared" si="543"/>
        <v>1</v>
      </c>
      <c r="T2130">
        <f t="shared" si="544"/>
        <v>0</v>
      </c>
      <c r="U2130">
        <f t="shared" si="550"/>
        <v>0</v>
      </c>
      <c r="V2130">
        <f t="shared" si="551"/>
        <v>1</v>
      </c>
      <c r="W2130">
        <f t="shared" si="545"/>
        <v>0</v>
      </c>
      <c r="X2130">
        <f t="shared" si="546"/>
        <v>0</v>
      </c>
      <c r="Y2130">
        <f t="shared" si="547"/>
        <v>0</v>
      </c>
    </row>
    <row r="2131" spans="1:25" hidden="1">
      <c r="A2131" t="s">
        <v>38</v>
      </c>
      <c r="H2131">
        <v>323.14999999999998</v>
      </c>
      <c r="I2131">
        <v>25.33</v>
      </c>
      <c r="J2131">
        <v>0</v>
      </c>
      <c r="L2131" s="3">
        <v>7.7970000000000001E-3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</row>
    <row r="2132" spans="1:25" hidden="1">
      <c r="A2132" t="str">
        <f t="shared" ref="A2132:A2159" si="553">A2131</f>
        <v>Wiebe 1939</v>
      </c>
      <c r="H2132">
        <f t="shared" ref="H2132:H2141" si="554">H2131</f>
        <v>323.14999999999998</v>
      </c>
      <c r="I2132">
        <v>50.66</v>
      </c>
      <c r="J2132">
        <v>0</v>
      </c>
      <c r="L2132" s="3">
        <v>1.3769999999999999E-2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 hidden="1">
      <c r="A2133" t="str">
        <f t="shared" si="553"/>
        <v>Wiebe 1939</v>
      </c>
      <c r="H2133">
        <f t="shared" si="554"/>
        <v>323.14999999999998</v>
      </c>
      <c r="I2133">
        <v>75.989999999999995</v>
      </c>
      <c r="J2133">
        <v>0</v>
      </c>
      <c r="L2133" s="3">
        <v>1.7909999999999999E-2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</row>
    <row r="2134" spans="1:25" hidden="1">
      <c r="A2134" t="str">
        <f t="shared" si="553"/>
        <v>Wiebe 1939</v>
      </c>
      <c r="H2134">
        <f t="shared" si="554"/>
        <v>323.14999999999998</v>
      </c>
      <c r="I2134">
        <v>101.325</v>
      </c>
      <c r="J2134">
        <v>0</v>
      </c>
      <c r="L2134" s="3">
        <v>2.0320000000000001E-2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 hidden="1">
      <c r="A2135" t="str">
        <f t="shared" si="553"/>
        <v>Wiebe 1939</v>
      </c>
      <c r="H2135">
        <f t="shared" si="554"/>
        <v>323.14999999999998</v>
      </c>
      <c r="I2135">
        <v>126.66</v>
      </c>
      <c r="J2135">
        <v>0</v>
      </c>
      <c r="L2135" s="3">
        <v>2.12E-2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 hidden="1">
      <c r="A2136" t="str">
        <f t="shared" si="553"/>
        <v>Wiebe 1939</v>
      </c>
      <c r="H2136">
        <f t="shared" si="554"/>
        <v>323.14999999999998</v>
      </c>
      <c r="I2136">
        <v>152</v>
      </c>
      <c r="J2136">
        <v>0</v>
      </c>
      <c r="L2136" s="3">
        <v>2.188E-2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hidden="1">
      <c r="A2137" t="str">
        <f t="shared" si="553"/>
        <v>Wiebe 1939</v>
      </c>
      <c r="H2137">
        <f t="shared" si="554"/>
        <v>323.14999999999998</v>
      </c>
      <c r="I2137">
        <v>202.6</v>
      </c>
      <c r="J2137">
        <v>0</v>
      </c>
      <c r="L2137" s="3">
        <v>2.3040000000000001E-2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</row>
    <row r="2138" spans="1:25" hidden="1">
      <c r="A2138" t="str">
        <f t="shared" si="553"/>
        <v>Wiebe 1939</v>
      </c>
      <c r="H2138">
        <f t="shared" si="554"/>
        <v>323.14999999999998</v>
      </c>
      <c r="I2138">
        <v>304</v>
      </c>
      <c r="J2138">
        <v>0</v>
      </c>
      <c r="L2138" s="3">
        <v>2.4740000000000002E-2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 hidden="1">
      <c r="A2139" t="str">
        <f t="shared" si="553"/>
        <v>Wiebe 1939</v>
      </c>
      <c r="H2139">
        <f t="shared" si="554"/>
        <v>323.14999999999998</v>
      </c>
      <c r="I2139">
        <v>405.3</v>
      </c>
      <c r="J2139">
        <v>0</v>
      </c>
      <c r="L2139" s="3">
        <v>2.623E-2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 hidden="1">
      <c r="A2140" t="str">
        <f t="shared" si="553"/>
        <v>Wiebe 1939</v>
      </c>
      <c r="H2140">
        <f t="shared" si="554"/>
        <v>323.14999999999998</v>
      </c>
      <c r="I2140">
        <v>608.9</v>
      </c>
      <c r="J2140">
        <v>0</v>
      </c>
      <c r="L2140" s="3">
        <v>2.887E-2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 hidden="1">
      <c r="A2141" t="str">
        <f t="shared" si="553"/>
        <v>Wiebe 1939</v>
      </c>
      <c r="H2141">
        <f t="shared" si="554"/>
        <v>323.14999999999998</v>
      </c>
      <c r="I2141">
        <v>709.3</v>
      </c>
      <c r="J2141">
        <v>0</v>
      </c>
      <c r="L2141" s="3">
        <v>3.0089999999999999E-2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</row>
    <row r="2142" spans="1:25" hidden="1">
      <c r="A2142" t="str">
        <f t="shared" si="553"/>
        <v>Wiebe 1939</v>
      </c>
      <c r="H2142">
        <v>348.15</v>
      </c>
      <c r="I2142">
        <v>25.33</v>
      </c>
      <c r="J2142">
        <v>0</v>
      </c>
      <c r="L2142" s="3">
        <v>5.4850000000000003E-3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 hidden="1">
      <c r="A2143" t="str">
        <f t="shared" si="553"/>
        <v>Wiebe 1939</v>
      </c>
      <c r="H2143">
        <f t="shared" ref="H2143:H2150" si="555">H2142</f>
        <v>348.15</v>
      </c>
      <c r="I2143">
        <v>50.66</v>
      </c>
      <c r="J2143">
        <v>0</v>
      </c>
      <c r="L2143" s="3">
        <v>1.009E-2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 hidden="1">
      <c r="A2144" t="str">
        <f t="shared" si="553"/>
        <v>Wiebe 1939</v>
      </c>
      <c r="H2144">
        <f t="shared" si="555"/>
        <v>348.15</v>
      </c>
      <c r="I2144">
        <v>75.989999999999995</v>
      </c>
      <c r="J2144">
        <v>0</v>
      </c>
      <c r="L2144" s="3">
        <v>1.3610000000000001E-2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 hidden="1">
      <c r="A2145" t="str">
        <f t="shared" si="553"/>
        <v>Wiebe 1939</v>
      </c>
      <c r="H2145">
        <f t="shared" si="555"/>
        <v>348.15</v>
      </c>
      <c r="I2145">
        <v>101.325</v>
      </c>
      <c r="J2145">
        <v>0</v>
      </c>
      <c r="L2145" s="3">
        <v>1.6400000000000001E-2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</row>
    <row r="2146" spans="1:25" hidden="1">
      <c r="A2146" t="str">
        <f t="shared" si="553"/>
        <v>Wiebe 1939</v>
      </c>
      <c r="H2146">
        <f t="shared" si="555"/>
        <v>348.15</v>
      </c>
      <c r="I2146">
        <v>152</v>
      </c>
      <c r="J2146">
        <v>0</v>
      </c>
      <c r="L2146" s="3">
        <v>1.95E-2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 hidden="1">
      <c r="A2147" t="str">
        <f t="shared" si="553"/>
        <v>Wiebe 1939</v>
      </c>
      <c r="H2147">
        <f t="shared" si="555"/>
        <v>348.15</v>
      </c>
      <c r="I2147">
        <v>202.6</v>
      </c>
      <c r="J2147">
        <v>0</v>
      </c>
      <c r="L2147" s="3">
        <v>2.112E-2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</row>
    <row r="2148" spans="1:25" hidden="1">
      <c r="A2148" t="str">
        <f t="shared" si="553"/>
        <v>Wiebe 1939</v>
      </c>
      <c r="H2148">
        <f t="shared" si="555"/>
        <v>348.15</v>
      </c>
      <c r="I2148">
        <v>304</v>
      </c>
      <c r="J2148">
        <v>0</v>
      </c>
      <c r="L2148" s="3">
        <v>2.332E-2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 hidden="1">
      <c r="A2149" t="str">
        <f t="shared" si="553"/>
        <v>Wiebe 1939</v>
      </c>
      <c r="H2149">
        <f t="shared" si="555"/>
        <v>348.15</v>
      </c>
      <c r="I2149">
        <v>405.4</v>
      </c>
      <c r="J2149">
        <v>0</v>
      </c>
      <c r="L2149" s="3">
        <v>2.5149999999999999E-2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 hidden="1">
      <c r="A2150" t="str">
        <f t="shared" si="553"/>
        <v>Wiebe 1939</v>
      </c>
      <c r="H2150">
        <f t="shared" si="555"/>
        <v>348.15</v>
      </c>
      <c r="I2150">
        <v>709.3</v>
      </c>
      <c r="J2150">
        <v>0</v>
      </c>
      <c r="L2150" s="3">
        <v>2.9520000000000001E-2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5" hidden="1">
      <c r="A2151" t="str">
        <f t="shared" si="553"/>
        <v>Wiebe 1939</v>
      </c>
      <c r="H2151">
        <v>373.15</v>
      </c>
      <c r="I2151">
        <v>25.33</v>
      </c>
      <c r="J2151">
        <v>0</v>
      </c>
      <c r="L2151" s="3">
        <v>4.3229999999999996E-3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 hidden="1">
      <c r="A2152" t="str">
        <f t="shared" si="553"/>
        <v>Wiebe 1939</v>
      </c>
      <c r="H2152">
        <f t="shared" ref="H2152:H2159" si="556">H2151</f>
        <v>373.15</v>
      </c>
      <c r="I2152">
        <v>50.66</v>
      </c>
      <c r="J2152">
        <v>0</v>
      </c>
      <c r="L2152" s="3">
        <v>8.1700000000000002E-3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1:25" hidden="1">
      <c r="A2153" t="str">
        <f t="shared" si="553"/>
        <v>Wiebe 1939</v>
      </c>
      <c r="H2153">
        <f t="shared" si="556"/>
        <v>373.15</v>
      </c>
      <c r="I2153">
        <v>75.989999999999995</v>
      </c>
      <c r="J2153">
        <v>0</v>
      </c>
      <c r="L2153" s="3">
        <v>1.1429999999999999E-2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1:25" hidden="1">
      <c r="A2154" t="str">
        <f t="shared" si="553"/>
        <v>Wiebe 1939</v>
      </c>
      <c r="H2154">
        <f t="shared" si="556"/>
        <v>373.15</v>
      </c>
      <c r="I2154">
        <v>101.325</v>
      </c>
      <c r="J2154">
        <v>0</v>
      </c>
      <c r="L2154" s="3">
        <v>1.41E-2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 hidden="1">
      <c r="A2155" t="str">
        <f t="shared" si="553"/>
        <v>Wiebe 1939</v>
      </c>
      <c r="H2155">
        <f t="shared" si="556"/>
        <v>373.15</v>
      </c>
      <c r="I2155">
        <v>152</v>
      </c>
      <c r="J2155">
        <v>0</v>
      </c>
      <c r="L2155" s="3">
        <v>1.806E-2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 hidden="1">
      <c r="A2156" t="str">
        <f t="shared" si="553"/>
        <v>Wiebe 1939</v>
      </c>
      <c r="H2156">
        <f t="shared" si="556"/>
        <v>373.15</v>
      </c>
      <c r="I2156">
        <v>202.6</v>
      </c>
      <c r="J2156">
        <v>0</v>
      </c>
      <c r="L2156" s="3">
        <v>2.0369999999999999E-2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 hidden="1">
      <c r="A2157" t="str">
        <f t="shared" si="553"/>
        <v>Wiebe 1939</v>
      </c>
      <c r="H2157">
        <f t="shared" si="556"/>
        <v>373.15</v>
      </c>
      <c r="I2157">
        <v>304</v>
      </c>
      <c r="J2157">
        <v>0</v>
      </c>
      <c r="L2157" s="3">
        <v>2.334E-2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 hidden="1">
      <c r="A2158" t="str">
        <f t="shared" si="553"/>
        <v>Wiebe 1939</v>
      </c>
      <c r="H2158">
        <f t="shared" si="556"/>
        <v>373.15</v>
      </c>
      <c r="I2158">
        <v>405.3</v>
      </c>
      <c r="J2158">
        <v>0</v>
      </c>
      <c r="L2158" s="3">
        <v>2.554E-2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 hidden="1">
      <c r="A2159" t="str">
        <f t="shared" si="553"/>
        <v>Wiebe 1939</v>
      </c>
      <c r="H2159">
        <f t="shared" si="556"/>
        <v>373.15</v>
      </c>
      <c r="I2159">
        <v>709.3</v>
      </c>
      <c r="J2159">
        <v>0</v>
      </c>
      <c r="L2159" s="3">
        <v>3.022E-2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 hidden="1">
      <c r="A2160" t="s">
        <v>39</v>
      </c>
      <c r="H2160">
        <v>291.14999999999998</v>
      </c>
      <c r="I2160">
        <v>25.33</v>
      </c>
      <c r="J2160">
        <v>0</v>
      </c>
      <c r="L2160" s="3">
        <v>1.554E-2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5" hidden="1">
      <c r="A2161" t="str">
        <f t="shared" ref="A2161:A2181" si="557">A2160</f>
        <v>Wiebe&amp;Gaddy 1940</v>
      </c>
      <c r="H2161">
        <f>H2160</f>
        <v>291.14999999999998</v>
      </c>
      <c r="I2161">
        <v>50.66</v>
      </c>
      <c r="J2161">
        <v>0</v>
      </c>
      <c r="L2161" s="3">
        <v>2.5270000000000001E-2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 hidden="1">
      <c r="A2162" t="str">
        <f t="shared" si="557"/>
        <v>Wiebe&amp;Gaddy 1940</v>
      </c>
      <c r="H2162">
        <v>298.14999999999998</v>
      </c>
      <c r="I2162">
        <v>50.66</v>
      </c>
      <c r="J2162">
        <v>0</v>
      </c>
      <c r="L2162" s="3">
        <v>2.1559999999999999E-2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</row>
    <row r="2163" spans="1:25" hidden="1">
      <c r="A2163" t="str">
        <f t="shared" si="557"/>
        <v>Wiebe&amp;Gaddy 1940</v>
      </c>
      <c r="H2163">
        <v>304.19</v>
      </c>
      <c r="I2163">
        <v>25.33</v>
      </c>
      <c r="J2163">
        <v>0</v>
      </c>
      <c r="L2163" s="3">
        <v>1.1339999999999999E-2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hidden="1">
      <c r="A2164" t="str">
        <f t="shared" si="557"/>
        <v>Wiebe&amp;Gaddy 1940</v>
      </c>
      <c r="H2164">
        <f>H2163</f>
        <v>304.19</v>
      </c>
      <c r="I2164">
        <v>50.66</v>
      </c>
      <c r="J2164">
        <v>0</v>
      </c>
      <c r="L2164" s="3">
        <v>1.917E-2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 hidden="1">
      <c r="A2165" t="str">
        <f t="shared" si="557"/>
        <v>Wiebe&amp;Gaddy 1940</v>
      </c>
      <c r="H2165">
        <v>308.14999999999998</v>
      </c>
      <c r="I2165">
        <v>25.33</v>
      </c>
      <c r="J2165">
        <v>0</v>
      </c>
      <c r="L2165" s="3">
        <v>1.0370000000000001E-2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 hidden="1">
      <c r="A2166" t="str">
        <f t="shared" si="557"/>
        <v>Wiebe&amp;Gaddy 1940</v>
      </c>
      <c r="H2166">
        <f t="shared" ref="H2166:H2172" si="558">H2165</f>
        <v>308.14999999999998</v>
      </c>
      <c r="I2166">
        <v>50.66</v>
      </c>
      <c r="J2166">
        <v>0</v>
      </c>
      <c r="L2166" s="3">
        <v>1.7659999999999999E-2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 hidden="1">
      <c r="A2167" t="str">
        <f t="shared" si="557"/>
        <v>Wiebe&amp;Gaddy 1940</v>
      </c>
      <c r="H2167">
        <f t="shared" si="558"/>
        <v>308.14999999999998</v>
      </c>
      <c r="I2167">
        <v>75.989999999999995</v>
      </c>
      <c r="J2167">
        <v>0</v>
      </c>
      <c r="L2167" s="3">
        <v>2.2030000000000001E-2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hidden="1">
      <c r="A2168" t="str">
        <f t="shared" si="557"/>
        <v>Wiebe&amp;Gaddy 1940</v>
      </c>
      <c r="H2168">
        <f t="shared" si="558"/>
        <v>308.14999999999998</v>
      </c>
      <c r="I2168">
        <v>101.33</v>
      </c>
      <c r="J2168">
        <v>0</v>
      </c>
      <c r="L2168" s="3">
        <v>2.3029999999999998E-2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 hidden="1">
      <c r="A2169" t="str">
        <f t="shared" si="557"/>
        <v>Wiebe&amp;Gaddy 1940</v>
      </c>
      <c r="H2169">
        <f t="shared" si="558"/>
        <v>308.14999999999998</v>
      </c>
      <c r="I2169">
        <v>152</v>
      </c>
      <c r="J2169">
        <v>0</v>
      </c>
      <c r="L2169" s="3">
        <v>2.41E-2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 hidden="1">
      <c r="A2170" t="str">
        <f t="shared" si="557"/>
        <v>Wiebe&amp;Gaddy 1940</v>
      </c>
      <c r="H2170">
        <f t="shared" si="558"/>
        <v>308.14999999999998</v>
      </c>
      <c r="I2170">
        <v>202.6</v>
      </c>
      <c r="J2170">
        <v>0</v>
      </c>
      <c r="L2170" s="3">
        <v>2.511E-2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 hidden="1">
      <c r="A2171" t="str">
        <f t="shared" si="557"/>
        <v>Wiebe&amp;Gaddy 1940</v>
      </c>
      <c r="H2171">
        <f t="shared" si="558"/>
        <v>308.14999999999998</v>
      </c>
      <c r="I2171">
        <v>405.3</v>
      </c>
      <c r="J2171">
        <v>0</v>
      </c>
      <c r="L2171" s="3">
        <v>2.81E-2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 hidden="1">
      <c r="A2172" t="str">
        <f t="shared" si="557"/>
        <v>Wiebe&amp;Gaddy 1940</v>
      </c>
      <c r="H2172">
        <f t="shared" si="558"/>
        <v>308.14999999999998</v>
      </c>
      <c r="I2172">
        <v>506.6</v>
      </c>
      <c r="J2172">
        <v>0</v>
      </c>
      <c r="L2172" s="3">
        <v>2.9829999999999999E-2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 hidden="1">
      <c r="A2173" t="str">
        <f t="shared" si="557"/>
        <v>Wiebe&amp;Gaddy 1940</v>
      </c>
      <c r="H2173">
        <v>313.14999999999998</v>
      </c>
      <c r="I2173">
        <v>25.33</v>
      </c>
      <c r="J2173">
        <v>0</v>
      </c>
      <c r="L2173" s="3">
        <v>9.3159999999999996E-3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</row>
    <row r="2174" spans="1:25" hidden="1">
      <c r="A2174" t="str">
        <f t="shared" si="557"/>
        <v>Wiebe&amp;Gaddy 1940</v>
      </c>
      <c r="H2174">
        <f t="shared" ref="H2174:H2181" si="559">H2173</f>
        <v>313.14999999999998</v>
      </c>
      <c r="I2174">
        <v>50.66</v>
      </c>
      <c r="J2174">
        <v>0</v>
      </c>
      <c r="L2174" s="3">
        <v>1.6199999999999999E-2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 hidden="1">
      <c r="A2175" t="str">
        <f t="shared" si="557"/>
        <v>Wiebe&amp;Gaddy 1940</v>
      </c>
      <c r="H2175">
        <f t="shared" si="559"/>
        <v>313.14999999999998</v>
      </c>
      <c r="I2175">
        <v>75.989999999999995</v>
      </c>
      <c r="J2175">
        <v>0</v>
      </c>
      <c r="L2175" s="3">
        <v>2.0459999999999999E-2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1:25" hidden="1">
      <c r="A2176" t="str">
        <f t="shared" si="557"/>
        <v>Wiebe&amp;Gaddy 1940</v>
      </c>
      <c r="H2176">
        <f t="shared" si="559"/>
        <v>313.14999999999998</v>
      </c>
      <c r="I2176">
        <v>101.33</v>
      </c>
      <c r="J2176">
        <v>0</v>
      </c>
      <c r="L2176" s="3">
        <v>2.2009999999999998E-2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1:25" hidden="1">
      <c r="A2177" t="str">
        <f t="shared" si="557"/>
        <v>Wiebe&amp;Gaddy 1940</v>
      </c>
      <c r="H2177">
        <f t="shared" si="559"/>
        <v>313.14999999999998</v>
      </c>
      <c r="I2177">
        <v>126.7</v>
      </c>
      <c r="J2177">
        <v>0</v>
      </c>
      <c r="L2177" s="3">
        <v>2.2710000000000001E-2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 hidden="1">
      <c r="A2178" t="str">
        <f t="shared" si="557"/>
        <v>Wiebe&amp;Gaddy 1940</v>
      </c>
      <c r="H2178">
        <f t="shared" si="559"/>
        <v>313.14999999999998</v>
      </c>
      <c r="I2178">
        <v>152</v>
      </c>
      <c r="J2178">
        <v>0</v>
      </c>
      <c r="L2178" s="3">
        <v>2.3230000000000001E-2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 hidden="1">
      <c r="A2179" t="str">
        <f t="shared" si="557"/>
        <v>Wiebe&amp;Gaddy 1940</v>
      </c>
      <c r="H2179">
        <f t="shared" si="559"/>
        <v>313.14999999999998</v>
      </c>
      <c r="I2179">
        <v>202.6</v>
      </c>
      <c r="J2179">
        <v>0</v>
      </c>
      <c r="L2179" s="3">
        <v>2.504E-2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 hidden="1">
      <c r="A2180" t="str">
        <f t="shared" si="557"/>
        <v>Wiebe&amp;Gaddy 1940</v>
      </c>
      <c r="H2180">
        <f t="shared" si="559"/>
        <v>313.14999999999998</v>
      </c>
      <c r="I2180">
        <v>405.3</v>
      </c>
      <c r="J2180">
        <v>0</v>
      </c>
      <c r="L2180" s="3">
        <v>2.7439999999999999E-2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hidden="1">
      <c r="A2181" t="str">
        <f t="shared" si="557"/>
        <v>Wiebe&amp;Gaddy 1940</v>
      </c>
      <c r="H2181">
        <f t="shared" si="559"/>
        <v>313.14999999999998</v>
      </c>
      <c r="I2181">
        <v>506.6</v>
      </c>
      <c r="J2181">
        <v>0</v>
      </c>
      <c r="L2181" s="3">
        <v>2.887E-2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 hidden="1">
      <c r="A2182" t="s">
        <v>40</v>
      </c>
      <c r="H2182">
        <v>298.14999999999998</v>
      </c>
      <c r="I2182">
        <v>1.01325</v>
      </c>
      <c r="J2182">
        <v>0</v>
      </c>
      <c r="K2182">
        <v>2.7820472662020035E-2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 hidden="1">
      <c r="A2183" t="str">
        <f t="shared" ref="A2183:A2220" si="560">A2182</f>
        <v>Wiebe&amp;Gaddy 1941</v>
      </c>
      <c r="H2183">
        <v>298.14999999999998</v>
      </c>
      <c r="I2183">
        <v>25.331250000000001</v>
      </c>
      <c r="J2183">
        <v>0</v>
      </c>
      <c r="K2183">
        <v>1.6396511288065115E-3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 hidden="1">
      <c r="A2184" t="str">
        <f t="shared" si="560"/>
        <v>Wiebe&amp;Gaddy 1941</v>
      </c>
      <c r="H2184">
        <v>298.14999999999998</v>
      </c>
      <c r="I2184">
        <v>50.662500000000001</v>
      </c>
      <c r="J2184">
        <v>0</v>
      </c>
      <c r="K2184">
        <v>1.2922958105745824E-3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</row>
    <row r="2185" spans="1:25" hidden="1">
      <c r="A2185" t="str">
        <f t="shared" si="560"/>
        <v>Wiebe&amp;Gaddy 1941</v>
      </c>
      <c r="H2185">
        <v>298.14999999999998</v>
      </c>
      <c r="I2185">
        <v>101.325</v>
      </c>
      <c r="J2185">
        <v>0</v>
      </c>
      <c r="K2185">
        <v>3.3110147626044212E-3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 hidden="1">
      <c r="A2186" t="str">
        <f t="shared" si="560"/>
        <v>Wiebe&amp;Gaddy 1941</v>
      </c>
      <c r="H2186">
        <v>298.14999999999998</v>
      </c>
      <c r="I2186">
        <v>151.98750000000001</v>
      </c>
      <c r="J2186">
        <v>0</v>
      </c>
      <c r="K2186">
        <v>3.5828549921562143E-3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 hidden="1">
      <c r="A2187" t="str">
        <f t="shared" si="560"/>
        <v>Wiebe&amp;Gaddy 1941</v>
      </c>
      <c r="H2187">
        <v>298.14999999999998</v>
      </c>
      <c r="I2187">
        <v>202.65</v>
      </c>
      <c r="J2187">
        <v>0</v>
      </c>
      <c r="K2187">
        <v>3.755767036200286E-3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 hidden="1">
      <c r="A2188" t="str">
        <f t="shared" si="560"/>
        <v>Wiebe&amp;Gaddy 1941</v>
      </c>
      <c r="H2188">
        <v>298.14999999999998</v>
      </c>
      <c r="I2188">
        <v>455.96249999999998</v>
      </c>
      <c r="J2188">
        <v>0</v>
      </c>
      <c r="K2188">
        <v>3.9903374154444081E-3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 hidden="1">
      <c r="A2189" t="str">
        <f t="shared" si="560"/>
        <v>Wiebe&amp;Gaddy 1941</v>
      </c>
      <c r="H2189">
        <v>298.14999999999998</v>
      </c>
      <c r="I2189">
        <v>481.29374999999999</v>
      </c>
      <c r="J2189">
        <v>0</v>
      </c>
      <c r="K2189">
        <v>3.9779943599297747E-3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 hidden="1">
      <c r="A2190" t="str">
        <f t="shared" si="560"/>
        <v>Wiebe&amp;Gaddy 1941</v>
      </c>
      <c r="H2190">
        <v>298.14999999999998</v>
      </c>
      <c r="I2190">
        <v>506.625</v>
      </c>
      <c r="J2190">
        <v>0</v>
      </c>
      <c r="K2190">
        <v>3.9533073311094416E-3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 hidden="1">
      <c r="A2191" t="str">
        <f t="shared" si="560"/>
        <v>Wiebe&amp;Gaddy 1941</v>
      </c>
      <c r="H2191">
        <v>304.19</v>
      </c>
      <c r="I2191">
        <v>1.01325</v>
      </c>
      <c r="J2191">
        <v>0</v>
      </c>
      <c r="K2191">
        <v>3.8289910199358651E-2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5" hidden="1">
      <c r="A2192" t="str">
        <f t="shared" si="560"/>
        <v>Wiebe&amp;Gaddy 1941</v>
      </c>
      <c r="H2192">
        <v>304.19</v>
      </c>
      <c r="I2192">
        <v>25.331250000000001</v>
      </c>
      <c r="J2192">
        <v>0</v>
      </c>
      <c r="K2192">
        <v>2.2717135671828713E-3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 hidden="1">
      <c r="A2193" t="str">
        <f t="shared" si="560"/>
        <v>Wiebe&amp;Gaddy 1941</v>
      </c>
      <c r="H2193">
        <v>304.19</v>
      </c>
      <c r="I2193">
        <v>50.662500000000001</v>
      </c>
      <c r="J2193">
        <v>0</v>
      </c>
      <c r="K2193">
        <v>1.6024460452533395E-3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 hidden="1">
      <c r="A2194" t="str">
        <f t="shared" si="560"/>
        <v>Wiebe&amp;Gaddy 1941</v>
      </c>
      <c r="H2194">
        <v>304.19</v>
      </c>
      <c r="I2194">
        <v>101.325</v>
      </c>
      <c r="J2194">
        <v>0</v>
      </c>
      <c r="K2194">
        <v>3.6322645577610943E-3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5" hidden="1">
      <c r="A2195" t="str">
        <f t="shared" si="560"/>
        <v>Wiebe&amp;Gaddy 1941</v>
      </c>
      <c r="H2195">
        <v>304.19</v>
      </c>
      <c r="I2195">
        <v>202.65</v>
      </c>
      <c r="J2195">
        <v>0</v>
      </c>
      <c r="K2195">
        <v>4.1877847069445549E-3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 hidden="1">
      <c r="A2196" t="str">
        <f t="shared" si="560"/>
        <v>Wiebe&amp;Gaddy 1941</v>
      </c>
      <c r="H2196">
        <v>304.19</v>
      </c>
      <c r="I2196">
        <v>405.3</v>
      </c>
      <c r="J2196">
        <v>0</v>
      </c>
      <c r="K2196">
        <v>4.7426857460121288E-3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 hidden="1">
      <c r="A2197" t="str">
        <f t="shared" si="560"/>
        <v>Wiebe&amp;Gaddy 1941</v>
      </c>
      <c r="H2197">
        <v>304.19</v>
      </c>
      <c r="I2197">
        <v>506.625</v>
      </c>
      <c r="J2197">
        <v>0</v>
      </c>
      <c r="K2197">
        <v>4.7796571611619185E-3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 hidden="1">
      <c r="A2198" t="str">
        <f t="shared" si="560"/>
        <v>Wiebe&amp;Gaddy 1941</v>
      </c>
      <c r="H2198">
        <v>304.19</v>
      </c>
      <c r="I2198">
        <v>531.95624999999995</v>
      </c>
      <c r="J2198">
        <v>0</v>
      </c>
      <c r="K2198">
        <v>4.7303613305323478E-3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 hidden="1">
      <c r="A2199" t="str">
        <f t="shared" si="560"/>
        <v>Wiebe&amp;Gaddy 1941</v>
      </c>
      <c r="H2199">
        <v>304.19</v>
      </c>
      <c r="I2199">
        <v>557.28750000000002</v>
      </c>
      <c r="J2199">
        <v>0</v>
      </c>
      <c r="K2199">
        <v>4.7550098562694253E-3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5" hidden="1">
      <c r="A2200" t="str">
        <f t="shared" si="560"/>
        <v>Wiebe&amp;Gaddy 1941</v>
      </c>
      <c r="H2200">
        <v>323.14999999999998</v>
      </c>
      <c r="I2200">
        <v>1.01325</v>
      </c>
      <c r="J2200">
        <v>0</v>
      </c>
      <c r="K2200">
        <v>0.10371022736541179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 hidden="1">
      <c r="A2201" t="str">
        <f t="shared" si="560"/>
        <v>Wiebe&amp;Gaddy 1941</v>
      </c>
      <c r="H2201">
        <v>323.14999999999998</v>
      </c>
      <c r="I2201">
        <v>25.331250000000001</v>
      </c>
      <c r="J2201">
        <v>0</v>
      </c>
      <c r="K2201">
        <v>6.1579605620342114E-3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 hidden="1">
      <c r="A2202" t="str">
        <f t="shared" si="560"/>
        <v>Wiebe&amp;Gaddy 1941</v>
      </c>
      <c r="H2202">
        <v>323.14999999999998</v>
      </c>
      <c r="I2202">
        <v>50.662500000000001</v>
      </c>
      <c r="J2202">
        <v>0</v>
      </c>
      <c r="K2202">
        <v>3.8175067947814733E-3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 hidden="1">
      <c r="A2203" t="str">
        <f t="shared" si="560"/>
        <v>Wiebe&amp;Gaddy 1941</v>
      </c>
      <c r="H2203">
        <v>323.14999999999998</v>
      </c>
      <c r="I2203">
        <v>60.795000000000002</v>
      </c>
      <c r="J2203">
        <v>0</v>
      </c>
      <c r="K2203">
        <v>3.5581483716544847E-3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 hidden="1">
      <c r="A2204" t="str">
        <f t="shared" si="560"/>
        <v>Wiebe&amp;Gaddy 1941</v>
      </c>
      <c r="H2204">
        <v>323.14999999999998</v>
      </c>
      <c r="I2204">
        <v>75.993750000000006</v>
      </c>
      <c r="J2204">
        <v>0</v>
      </c>
      <c r="K2204">
        <v>3.4840211582584544E-3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5" hidden="1">
      <c r="A2205" t="str">
        <f t="shared" si="560"/>
        <v>Wiebe&amp;Gaddy 1941</v>
      </c>
      <c r="H2205">
        <v>323.14999999999998</v>
      </c>
      <c r="I2205">
        <v>101.325</v>
      </c>
      <c r="J2205">
        <v>0</v>
      </c>
      <c r="K2205">
        <v>4.4714780789766361E-3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 hidden="1">
      <c r="A2206" t="str">
        <f t="shared" si="560"/>
        <v>Wiebe&amp;Gaddy 1941</v>
      </c>
      <c r="H2206">
        <v>323.14999999999998</v>
      </c>
      <c r="I2206">
        <v>151.98750000000001</v>
      </c>
      <c r="J2206">
        <v>0</v>
      </c>
      <c r="K2206">
        <v>6.0596369386326709E-3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 hidden="1">
      <c r="A2207" t="str">
        <f t="shared" si="560"/>
        <v>Wiebe&amp;Gaddy 1941</v>
      </c>
      <c r="H2207">
        <v>323.14999999999998</v>
      </c>
      <c r="I2207">
        <v>202.65</v>
      </c>
      <c r="J2207">
        <v>0</v>
      </c>
      <c r="K2207">
        <v>6.7229441024357567E-3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 hidden="1">
      <c r="A2208" t="str">
        <f t="shared" si="560"/>
        <v>Wiebe&amp;Gaddy 1941</v>
      </c>
      <c r="H2208">
        <v>323.14999999999998</v>
      </c>
      <c r="I2208">
        <v>405.3</v>
      </c>
      <c r="J2208">
        <v>0</v>
      </c>
      <c r="K2208">
        <v>7.5324515550289212E-3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 hidden="1">
      <c r="A2209" t="str">
        <f t="shared" si="560"/>
        <v>Wiebe&amp;Gaddy 1941</v>
      </c>
      <c r="H2209">
        <v>323.14999999999998</v>
      </c>
      <c r="I2209">
        <v>607.95000000000005</v>
      </c>
      <c r="J2209">
        <v>0</v>
      </c>
      <c r="K2209">
        <v>7.8632335181373914E-3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 hidden="1">
      <c r="A2210" t="str">
        <f t="shared" si="560"/>
        <v>Wiebe&amp;Gaddy 1941</v>
      </c>
      <c r="H2210">
        <v>323.14999999999998</v>
      </c>
      <c r="I2210">
        <v>709.27499999999998</v>
      </c>
      <c r="J2210">
        <v>0</v>
      </c>
      <c r="K2210">
        <v>7.9489558150861624E-3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 hidden="1">
      <c r="A2211" t="str">
        <f t="shared" si="560"/>
        <v>Wiebe&amp;Gaddy 1941</v>
      </c>
      <c r="H2211">
        <v>348.15</v>
      </c>
      <c r="I2211">
        <v>1.01325</v>
      </c>
      <c r="J2211">
        <v>0</v>
      </c>
      <c r="K2211">
        <v>0.23141744147474388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5" hidden="1">
      <c r="A2212" t="str">
        <f t="shared" si="560"/>
        <v>Wiebe&amp;Gaddy 1941</v>
      </c>
      <c r="H2212">
        <v>348.15</v>
      </c>
      <c r="I2212">
        <v>25.331250000000001</v>
      </c>
      <c r="J2212">
        <v>0</v>
      </c>
      <c r="K2212">
        <v>1.0525936039743453E-2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 hidden="1">
      <c r="A2213" t="str">
        <f t="shared" si="560"/>
        <v>Wiebe&amp;Gaddy 1941</v>
      </c>
      <c r="H2213">
        <v>348.15</v>
      </c>
      <c r="I2213">
        <v>101.325</v>
      </c>
      <c r="J2213">
        <v>0</v>
      </c>
      <c r="K2213">
        <v>8.2182723382082969E-3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5" hidden="1">
      <c r="A2214" t="str">
        <f t="shared" si="560"/>
        <v>Wiebe&amp;Gaddy 1941</v>
      </c>
      <c r="H2214">
        <v>348.15</v>
      </c>
      <c r="I2214">
        <v>111.4575</v>
      </c>
      <c r="J2214">
        <v>0</v>
      </c>
      <c r="K2214">
        <v>8.0469060177532775E-3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 hidden="1">
      <c r="A2215" t="str">
        <f t="shared" si="560"/>
        <v>Wiebe&amp;Gaddy 1941</v>
      </c>
      <c r="H2215">
        <v>348.15</v>
      </c>
      <c r="I2215">
        <v>126.65625</v>
      </c>
      <c r="J2215">
        <v>0</v>
      </c>
      <c r="K2215">
        <v>8.4752108302460043E-3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 hidden="1">
      <c r="A2216" t="str">
        <f t="shared" si="560"/>
        <v>Wiebe&amp;Gaddy 1941</v>
      </c>
      <c r="H2216">
        <v>348.15</v>
      </c>
      <c r="I2216">
        <v>151.98750000000001</v>
      </c>
      <c r="J2216">
        <v>0</v>
      </c>
      <c r="K2216">
        <v>9.4650134801510105E-3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1:25" hidden="1">
      <c r="A2217" t="str">
        <f t="shared" si="560"/>
        <v>Wiebe&amp;Gaddy 1941</v>
      </c>
      <c r="H2217">
        <v>348.15</v>
      </c>
      <c r="I2217">
        <v>202.65</v>
      </c>
      <c r="J2217">
        <v>0</v>
      </c>
      <c r="K2217">
        <v>1.1195462510454878E-2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 hidden="1">
      <c r="A2218" t="str">
        <f t="shared" si="560"/>
        <v>Wiebe&amp;Gaddy 1941</v>
      </c>
      <c r="H2218">
        <v>348.15</v>
      </c>
      <c r="I2218">
        <v>405.3</v>
      </c>
      <c r="J2218">
        <v>0</v>
      </c>
      <c r="K2218">
        <v>1.3016847052313622E-2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 hidden="1">
      <c r="A2219" t="str">
        <f t="shared" si="560"/>
        <v>Wiebe&amp;Gaddy 1941</v>
      </c>
      <c r="H2219">
        <v>348.15</v>
      </c>
      <c r="I2219">
        <v>607.95000000000005</v>
      </c>
      <c r="J2219">
        <v>0</v>
      </c>
      <c r="K2219">
        <v>1.3743523450969797E-2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 hidden="1">
      <c r="A2220" t="str">
        <f t="shared" si="560"/>
        <v>Wiebe&amp;Gaddy 1941</v>
      </c>
      <c r="H2220">
        <v>348.15</v>
      </c>
      <c r="I2220">
        <v>709.27499999999998</v>
      </c>
      <c r="J2220">
        <v>0</v>
      </c>
      <c r="K2220">
        <v>1.3804031519809346E-2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 hidden="1">
      <c r="A2221" t="s">
        <v>75</v>
      </c>
      <c r="E2221">
        <v>5.9900000000000003E-4</v>
      </c>
      <c r="F2221">
        <v>0.99746000000000001</v>
      </c>
      <c r="H2221">
        <v>298.2</v>
      </c>
      <c r="I2221">
        <v>25</v>
      </c>
      <c r="J2221">
        <v>0</v>
      </c>
      <c r="K2221">
        <f t="shared" ref="K2221:K2235" si="561">1-F2221</f>
        <v>2.5399999999999867E-3</v>
      </c>
      <c r="P2221">
        <f t="shared" ref="P2221:P2235" si="562">E2221</f>
        <v>5.9900000000000003E-4</v>
      </c>
      <c r="S2221">
        <f t="shared" ref="S2221:S2235" si="563">S2220</f>
        <v>1</v>
      </c>
      <c r="T2221">
        <f t="shared" ref="T2221:T2235" si="564">T2220</f>
        <v>0</v>
      </c>
      <c r="U2221">
        <f t="shared" ref="U2221:U2235" si="565">U2220</f>
        <v>0</v>
      </c>
      <c r="V2221">
        <f t="shared" ref="V2221:V2235" si="566">V2220</f>
        <v>0</v>
      </c>
      <c r="W2221">
        <f t="shared" ref="W2221:W2235" si="567">W2220</f>
        <v>0</v>
      </c>
      <c r="X2221">
        <f t="shared" ref="X2221:X2235" si="568">X2220</f>
        <v>0</v>
      </c>
      <c r="Y2221">
        <f t="shared" ref="Y2221:Y2235" si="569">Y2220</f>
        <v>0</v>
      </c>
    </row>
    <row r="2222" spans="1:25" hidden="1">
      <c r="A2222" t="str">
        <f t="shared" ref="A2222:A2235" si="570">A2221</f>
        <v>Yarym-Agaev 1985</v>
      </c>
      <c r="E2222">
        <v>1.1199999999999999E-3</v>
      </c>
      <c r="F2222">
        <v>0.99853999999999998</v>
      </c>
      <c r="H2222">
        <f>H2221</f>
        <v>298.2</v>
      </c>
      <c r="I2222">
        <v>50</v>
      </c>
      <c r="J2222">
        <v>0</v>
      </c>
      <c r="K2222">
        <f t="shared" si="561"/>
        <v>1.4600000000000168E-3</v>
      </c>
      <c r="P2222">
        <f t="shared" si="562"/>
        <v>1.1199999999999999E-3</v>
      </c>
      <c r="S2222">
        <f t="shared" si="563"/>
        <v>1</v>
      </c>
      <c r="T2222">
        <f t="shared" si="564"/>
        <v>0</v>
      </c>
      <c r="U2222">
        <f t="shared" si="565"/>
        <v>0</v>
      </c>
      <c r="V2222">
        <f t="shared" si="566"/>
        <v>0</v>
      </c>
      <c r="W2222">
        <f t="shared" si="567"/>
        <v>0</v>
      </c>
      <c r="X2222">
        <f t="shared" si="568"/>
        <v>0</v>
      </c>
      <c r="Y2222">
        <f t="shared" si="569"/>
        <v>0</v>
      </c>
    </row>
    <row r="2223" spans="1:25" hidden="1">
      <c r="A2223" t="str">
        <f t="shared" si="570"/>
        <v>Yarym-Agaev 1985</v>
      </c>
      <c r="E2223">
        <v>1.4599999999999999E-3</v>
      </c>
      <c r="F2223">
        <v>0.99906600000000001</v>
      </c>
      <c r="H2223">
        <f>H2222</f>
        <v>298.2</v>
      </c>
      <c r="I2223">
        <v>75</v>
      </c>
      <c r="J2223">
        <v>0</v>
      </c>
      <c r="K2223">
        <f t="shared" si="561"/>
        <v>9.3399999999999039E-4</v>
      </c>
      <c r="P2223">
        <f t="shared" si="562"/>
        <v>1.4599999999999999E-3</v>
      </c>
      <c r="S2223">
        <f t="shared" si="563"/>
        <v>1</v>
      </c>
      <c r="T2223">
        <f t="shared" si="564"/>
        <v>0</v>
      </c>
      <c r="U2223">
        <f t="shared" si="565"/>
        <v>0</v>
      </c>
      <c r="V2223">
        <f t="shared" si="566"/>
        <v>0</v>
      </c>
      <c r="W2223">
        <f t="shared" si="567"/>
        <v>0</v>
      </c>
      <c r="X2223">
        <f t="shared" si="568"/>
        <v>0</v>
      </c>
      <c r="Y2223">
        <f t="shared" si="569"/>
        <v>0</v>
      </c>
    </row>
    <row r="2224" spans="1:25" hidden="1">
      <c r="A2224" t="str">
        <f t="shared" si="570"/>
        <v>Yarym-Agaev 1985</v>
      </c>
      <c r="E2224">
        <v>1.9E-3</v>
      </c>
      <c r="F2224">
        <v>0.99917999999999996</v>
      </c>
      <c r="H2224">
        <f>H2223</f>
        <v>298.2</v>
      </c>
      <c r="I2224">
        <v>100</v>
      </c>
      <c r="J2224">
        <v>0</v>
      </c>
      <c r="K2224">
        <f t="shared" si="561"/>
        <v>8.2000000000004292E-4</v>
      </c>
      <c r="P2224">
        <f t="shared" si="562"/>
        <v>1.9E-3</v>
      </c>
      <c r="S2224">
        <f t="shared" si="563"/>
        <v>1</v>
      </c>
      <c r="T2224">
        <f t="shared" si="564"/>
        <v>0</v>
      </c>
      <c r="U2224">
        <f t="shared" si="565"/>
        <v>0</v>
      </c>
      <c r="V2224">
        <f t="shared" si="566"/>
        <v>0</v>
      </c>
      <c r="W2224">
        <f t="shared" si="567"/>
        <v>0</v>
      </c>
      <c r="X2224">
        <f t="shared" si="568"/>
        <v>0</v>
      </c>
      <c r="Y2224">
        <f t="shared" si="569"/>
        <v>0</v>
      </c>
    </row>
    <row r="2225" spans="1:25" hidden="1">
      <c r="A2225" t="str">
        <f t="shared" si="570"/>
        <v>Yarym-Agaev 1985</v>
      </c>
      <c r="E2225">
        <v>2.2100000000000002E-3</v>
      </c>
      <c r="F2225">
        <v>0.99941599999999997</v>
      </c>
      <c r="H2225">
        <f>H2224</f>
        <v>298.2</v>
      </c>
      <c r="I2225">
        <v>125</v>
      </c>
      <c r="J2225">
        <v>0</v>
      </c>
      <c r="K2225">
        <f t="shared" si="561"/>
        <v>5.8400000000002894E-4</v>
      </c>
      <c r="P2225">
        <f t="shared" si="562"/>
        <v>2.2100000000000002E-3</v>
      </c>
      <c r="S2225">
        <f t="shared" si="563"/>
        <v>1</v>
      </c>
      <c r="T2225">
        <f t="shared" si="564"/>
        <v>0</v>
      </c>
      <c r="U2225">
        <f t="shared" si="565"/>
        <v>0</v>
      </c>
      <c r="V2225">
        <f t="shared" si="566"/>
        <v>0</v>
      </c>
      <c r="W2225">
        <f t="shared" si="567"/>
        <v>0</v>
      </c>
      <c r="X2225">
        <f t="shared" si="568"/>
        <v>0</v>
      </c>
      <c r="Y2225">
        <f t="shared" si="569"/>
        <v>0</v>
      </c>
    </row>
    <row r="2226" spans="1:25" hidden="1">
      <c r="A2226" t="str">
        <f t="shared" si="570"/>
        <v>Yarym-Agaev 1985</v>
      </c>
      <c r="E2226">
        <v>4.8999999999999998E-4</v>
      </c>
      <c r="F2226">
        <v>0.99697000000000002</v>
      </c>
      <c r="H2226">
        <v>313.2</v>
      </c>
      <c r="I2226">
        <v>25</v>
      </c>
      <c r="J2226">
        <v>0</v>
      </c>
      <c r="K2226">
        <f t="shared" si="561"/>
        <v>3.0299999999999772E-3</v>
      </c>
      <c r="P2226">
        <f t="shared" si="562"/>
        <v>4.8999999999999998E-4</v>
      </c>
      <c r="S2226">
        <f t="shared" si="563"/>
        <v>1</v>
      </c>
      <c r="T2226">
        <f t="shared" si="564"/>
        <v>0</v>
      </c>
      <c r="U2226">
        <f t="shared" si="565"/>
        <v>0</v>
      </c>
      <c r="V2226">
        <f t="shared" si="566"/>
        <v>0</v>
      </c>
      <c r="W2226">
        <f t="shared" si="567"/>
        <v>0</v>
      </c>
      <c r="X2226">
        <f t="shared" si="568"/>
        <v>0</v>
      </c>
      <c r="Y2226">
        <f t="shared" si="569"/>
        <v>0</v>
      </c>
    </row>
    <row r="2227" spans="1:25" hidden="1">
      <c r="A2227" t="str">
        <f t="shared" si="570"/>
        <v>Yarym-Agaev 1985</v>
      </c>
      <c r="E2227">
        <v>9.2900000000000003E-4</v>
      </c>
      <c r="F2227">
        <v>0.99812999999999996</v>
      </c>
      <c r="H2227">
        <f>H2226</f>
        <v>313.2</v>
      </c>
      <c r="I2227">
        <v>50</v>
      </c>
      <c r="J2227">
        <v>0</v>
      </c>
      <c r="K2227">
        <f t="shared" si="561"/>
        <v>1.8700000000000383E-3</v>
      </c>
      <c r="P2227">
        <f t="shared" si="562"/>
        <v>9.2900000000000003E-4</v>
      </c>
      <c r="S2227">
        <f t="shared" si="563"/>
        <v>1</v>
      </c>
      <c r="T2227">
        <f t="shared" si="564"/>
        <v>0</v>
      </c>
      <c r="U2227">
        <f t="shared" si="565"/>
        <v>0</v>
      </c>
      <c r="V2227">
        <f t="shared" si="566"/>
        <v>0</v>
      </c>
      <c r="W2227">
        <f t="shared" si="567"/>
        <v>0</v>
      </c>
      <c r="X2227">
        <f t="shared" si="568"/>
        <v>0</v>
      </c>
      <c r="Y2227">
        <f t="shared" si="569"/>
        <v>0</v>
      </c>
    </row>
    <row r="2228" spans="1:25" hidden="1">
      <c r="A2228" t="str">
        <f t="shared" si="570"/>
        <v>Yarym-Agaev 1985</v>
      </c>
      <c r="E2228">
        <v>1.2700000000000001E-3</v>
      </c>
      <c r="F2228">
        <v>0.99865999999999999</v>
      </c>
      <c r="H2228">
        <f>H2227</f>
        <v>313.2</v>
      </c>
      <c r="I2228">
        <v>75</v>
      </c>
      <c r="J2228">
        <v>0</v>
      </c>
      <c r="K2228">
        <f t="shared" si="561"/>
        <v>1.3400000000000079E-3</v>
      </c>
      <c r="P2228">
        <f t="shared" si="562"/>
        <v>1.2700000000000001E-3</v>
      </c>
      <c r="S2228">
        <f t="shared" si="563"/>
        <v>1</v>
      </c>
      <c r="T2228">
        <f t="shared" si="564"/>
        <v>0</v>
      </c>
      <c r="U2228">
        <f t="shared" si="565"/>
        <v>0</v>
      </c>
      <c r="V2228">
        <f t="shared" si="566"/>
        <v>0</v>
      </c>
      <c r="W2228">
        <f t="shared" si="567"/>
        <v>0</v>
      </c>
      <c r="X2228">
        <f t="shared" si="568"/>
        <v>0</v>
      </c>
      <c r="Y2228">
        <f t="shared" si="569"/>
        <v>0</v>
      </c>
    </row>
    <row r="2229" spans="1:25" hidden="1">
      <c r="A2229" t="str">
        <f t="shared" si="570"/>
        <v>Yarym-Agaev 1985</v>
      </c>
      <c r="E2229">
        <v>1.64E-3</v>
      </c>
      <c r="F2229">
        <v>0.99887999999999999</v>
      </c>
      <c r="H2229">
        <f>H2228</f>
        <v>313.2</v>
      </c>
      <c r="I2229">
        <v>100</v>
      </c>
      <c r="J2229">
        <v>0</v>
      </c>
      <c r="K2229">
        <f t="shared" si="561"/>
        <v>1.1200000000000099E-3</v>
      </c>
      <c r="P2229">
        <f t="shared" si="562"/>
        <v>1.64E-3</v>
      </c>
      <c r="S2229">
        <f t="shared" si="563"/>
        <v>1</v>
      </c>
      <c r="T2229">
        <f t="shared" si="564"/>
        <v>0</v>
      </c>
      <c r="U2229">
        <f t="shared" si="565"/>
        <v>0</v>
      </c>
      <c r="V2229">
        <f t="shared" si="566"/>
        <v>0</v>
      </c>
      <c r="W2229">
        <f t="shared" si="567"/>
        <v>0</v>
      </c>
      <c r="X2229">
        <f t="shared" si="568"/>
        <v>0</v>
      </c>
      <c r="Y2229">
        <f t="shared" si="569"/>
        <v>0</v>
      </c>
    </row>
    <row r="2230" spans="1:25" hidden="1">
      <c r="A2230" t="str">
        <f t="shared" si="570"/>
        <v>Yarym-Agaev 1985</v>
      </c>
      <c r="E2230">
        <v>1.8699999999999999E-3</v>
      </c>
      <c r="F2230">
        <v>0.99907400000000002</v>
      </c>
      <c r="H2230">
        <f>H2229</f>
        <v>313.2</v>
      </c>
      <c r="I2230">
        <v>125</v>
      </c>
      <c r="J2230">
        <v>0</v>
      </c>
      <c r="K2230">
        <f t="shared" si="561"/>
        <v>9.2599999999998239E-4</v>
      </c>
      <c r="P2230">
        <f t="shared" si="562"/>
        <v>1.8699999999999999E-3</v>
      </c>
      <c r="S2230">
        <f t="shared" si="563"/>
        <v>1</v>
      </c>
      <c r="T2230">
        <f t="shared" si="564"/>
        <v>0</v>
      </c>
      <c r="U2230">
        <f t="shared" si="565"/>
        <v>0</v>
      </c>
      <c r="V2230">
        <f t="shared" si="566"/>
        <v>0</v>
      </c>
      <c r="W2230">
        <f t="shared" si="567"/>
        <v>0</v>
      </c>
      <c r="X2230">
        <f t="shared" si="568"/>
        <v>0</v>
      </c>
      <c r="Y2230">
        <f t="shared" si="569"/>
        <v>0</v>
      </c>
    </row>
    <row r="2231" spans="1:25" hidden="1">
      <c r="A2231" t="str">
        <f t="shared" si="570"/>
        <v>Yarym-Agaev 1985</v>
      </c>
      <c r="E2231">
        <v>4.0499999999999998E-4</v>
      </c>
      <c r="F2231">
        <v>0.99016999999999999</v>
      </c>
      <c r="H2231">
        <v>338.2</v>
      </c>
      <c r="I2231">
        <v>25</v>
      </c>
      <c r="J2231">
        <v>0</v>
      </c>
      <c r="K2231">
        <f t="shared" si="561"/>
        <v>9.8300000000000054E-3</v>
      </c>
      <c r="P2231">
        <f t="shared" si="562"/>
        <v>4.0499999999999998E-4</v>
      </c>
      <c r="S2231">
        <f t="shared" si="563"/>
        <v>1</v>
      </c>
      <c r="T2231">
        <f t="shared" si="564"/>
        <v>0</v>
      </c>
      <c r="U2231">
        <f t="shared" si="565"/>
        <v>0</v>
      </c>
      <c r="V2231">
        <f t="shared" si="566"/>
        <v>0</v>
      </c>
      <c r="W2231">
        <f t="shared" si="567"/>
        <v>0</v>
      </c>
      <c r="X2231">
        <f t="shared" si="568"/>
        <v>0</v>
      </c>
      <c r="Y2231">
        <f t="shared" si="569"/>
        <v>0</v>
      </c>
    </row>
    <row r="2232" spans="1:25" hidden="1">
      <c r="A2232" t="str">
        <f t="shared" si="570"/>
        <v>Yarym-Agaev 1985</v>
      </c>
      <c r="E2232">
        <v>7.7099999999999998E-4</v>
      </c>
      <c r="F2232">
        <v>0.99390999999999996</v>
      </c>
      <c r="H2232">
        <f>H2231</f>
        <v>338.2</v>
      </c>
      <c r="I2232">
        <v>50</v>
      </c>
      <c r="J2232">
        <v>0</v>
      </c>
      <c r="K2232">
        <f t="shared" si="561"/>
        <v>6.0900000000000398E-3</v>
      </c>
      <c r="P2232">
        <f t="shared" si="562"/>
        <v>7.7099999999999998E-4</v>
      </c>
      <c r="S2232">
        <f t="shared" si="563"/>
        <v>1</v>
      </c>
      <c r="T2232">
        <f t="shared" si="564"/>
        <v>0</v>
      </c>
      <c r="U2232">
        <f t="shared" si="565"/>
        <v>0</v>
      </c>
      <c r="V2232">
        <f t="shared" si="566"/>
        <v>0</v>
      </c>
      <c r="W2232">
        <f t="shared" si="567"/>
        <v>0</v>
      </c>
      <c r="X2232">
        <f t="shared" si="568"/>
        <v>0</v>
      </c>
      <c r="Y2232">
        <f t="shared" si="569"/>
        <v>0</v>
      </c>
    </row>
    <row r="2233" spans="1:25" hidden="1">
      <c r="A2233" t="str">
        <f t="shared" si="570"/>
        <v>Yarym-Agaev 1985</v>
      </c>
      <c r="E2233">
        <v>1.1000000000000001E-3</v>
      </c>
      <c r="F2233">
        <v>0.99551999999999996</v>
      </c>
      <c r="H2233">
        <f>H2232</f>
        <v>338.2</v>
      </c>
      <c r="I2233">
        <v>75</v>
      </c>
      <c r="J2233">
        <v>0</v>
      </c>
      <c r="K2233">
        <f t="shared" si="561"/>
        <v>4.4800000000000395E-3</v>
      </c>
      <c r="P2233">
        <f t="shared" si="562"/>
        <v>1.1000000000000001E-3</v>
      </c>
      <c r="S2233">
        <f t="shared" si="563"/>
        <v>1</v>
      </c>
      <c r="T2233">
        <f t="shared" si="564"/>
        <v>0</v>
      </c>
      <c r="U2233">
        <f t="shared" si="565"/>
        <v>0</v>
      </c>
      <c r="V2233">
        <f t="shared" si="566"/>
        <v>0</v>
      </c>
      <c r="W2233">
        <f t="shared" si="567"/>
        <v>0</v>
      </c>
      <c r="X2233">
        <f t="shared" si="568"/>
        <v>0</v>
      </c>
      <c r="Y2233">
        <f t="shared" si="569"/>
        <v>0</v>
      </c>
    </row>
    <row r="2234" spans="1:25" hidden="1">
      <c r="A2234" t="str">
        <f t="shared" si="570"/>
        <v>Yarym-Agaev 1985</v>
      </c>
      <c r="E2234">
        <v>1.3600000000000001E-3</v>
      </c>
      <c r="F2234">
        <v>0.99651999999999996</v>
      </c>
      <c r="H2234">
        <f>H2233</f>
        <v>338.2</v>
      </c>
      <c r="I2234">
        <v>100</v>
      </c>
      <c r="J2234">
        <v>0</v>
      </c>
      <c r="K2234">
        <f t="shared" si="561"/>
        <v>3.4800000000000386E-3</v>
      </c>
      <c r="P2234">
        <f t="shared" si="562"/>
        <v>1.3600000000000001E-3</v>
      </c>
      <c r="S2234">
        <f t="shared" si="563"/>
        <v>1</v>
      </c>
      <c r="T2234">
        <f t="shared" si="564"/>
        <v>0</v>
      </c>
      <c r="U2234">
        <f t="shared" si="565"/>
        <v>0</v>
      </c>
      <c r="V2234">
        <f t="shared" si="566"/>
        <v>0</v>
      </c>
      <c r="W2234">
        <f t="shared" si="567"/>
        <v>0</v>
      </c>
      <c r="X2234">
        <f t="shared" si="568"/>
        <v>0</v>
      </c>
      <c r="Y2234">
        <f t="shared" si="569"/>
        <v>0</v>
      </c>
    </row>
    <row r="2235" spans="1:25" hidden="1">
      <c r="A2235" t="str">
        <f t="shared" si="570"/>
        <v>Yarym-Agaev 1985</v>
      </c>
      <c r="E2235">
        <v>1.6199999999999999E-3</v>
      </c>
      <c r="F2235">
        <v>0.99702000000000002</v>
      </c>
      <c r="H2235">
        <f>H2234</f>
        <v>338.2</v>
      </c>
      <c r="I2235">
        <v>125</v>
      </c>
      <c r="J2235">
        <v>0</v>
      </c>
      <c r="K2235">
        <f t="shared" si="561"/>
        <v>2.9799999999999827E-3</v>
      </c>
      <c r="P2235">
        <f t="shared" si="562"/>
        <v>1.6199999999999999E-3</v>
      </c>
      <c r="S2235">
        <f t="shared" si="563"/>
        <v>1</v>
      </c>
      <c r="T2235">
        <f t="shared" si="564"/>
        <v>0</v>
      </c>
      <c r="U2235">
        <f t="shared" si="565"/>
        <v>0</v>
      </c>
      <c r="V2235">
        <f t="shared" si="566"/>
        <v>0</v>
      </c>
      <c r="W2235">
        <f t="shared" si="567"/>
        <v>0</v>
      </c>
      <c r="X2235">
        <f t="shared" si="568"/>
        <v>0</v>
      </c>
      <c r="Y2235">
        <f t="shared" si="569"/>
        <v>0</v>
      </c>
    </row>
    <row r="2236" spans="1:25" hidden="1">
      <c r="A2236" t="s">
        <v>37</v>
      </c>
      <c r="H2236">
        <v>273</v>
      </c>
      <c r="I2236">
        <f>10.7*1.01325</f>
        <v>10.841774999999998</v>
      </c>
      <c r="J2236">
        <v>0</v>
      </c>
      <c r="L2236" s="3">
        <v>1.332E-2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 hidden="1">
      <c r="A2237" t="str">
        <f t="shared" ref="A2237:A2268" si="571">A2236</f>
        <v>Zel'venskii 1937</v>
      </c>
      <c r="H2237">
        <f>H2236</f>
        <v>273</v>
      </c>
      <c r="I2237">
        <f>15.74*1.01325</f>
        <v>15.948555000000001</v>
      </c>
      <c r="J2237">
        <v>0</v>
      </c>
      <c r="L2237" s="3">
        <v>1.8100000000000002E-2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 hidden="1">
      <c r="A2238" t="str">
        <f t="shared" si="571"/>
        <v>Zel'venskii 1937</v>
      </c>
      <c r="H2238">
        <f>H2237</f>
        <v>273</v>
      </c>
      <c r="I2238">
        <f>29.47*1.01325</f>
        <v>29.860477499999998</v>
      </c>
      <c r="J2238">
        <v>0</v>
      </c>
      <c r="L2238" s="3">
        <v>2.639E-2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hidden="1">
      <c r="A2239" t="str">
        <f t="shared" si="571"/>
        <v>Zel'venskii 1937</v>
      </c>
      <c r="H2239">
        <v>298</v>
      </c>
      <c r="I2239">
        <v>11.125484999999999</v>
      </c>
      <c r="J2239">
        <v>0</v>
      </c>
      <c r="L2239" s="3">
        <v>6.1700000000000001E-3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 hidden="1">
      <c r="A2240" t="str">
        <f t="shared" si="571"/>
        <v>Zel'venskii 1937</v>
      </c>
      <c r="H2240">
        <f t="shared" ref="H2240:H2252" si="572">H2239</f>
        <v>298</v>
      </c>
      <c r="I2240">
        <v>11.176147499999999</v>
      </c>
      <c r="J2240">
        <v>0</v>
      </c>
      <c r="L2240" s="3">
        <v>6.234E-3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 hidden="1">
      <c r="A2241" t="str">
        <f t="shared" si="571"/>
        <v>Zel'venskii 1937</v>
      </c>
      <c r="H2241">
        <f t="shared" si="572"/>
        <v>298</v>
      </c>
      <c r="I2241">
        <v>23.223690000000001</v>
      </c>
      <c r="J2241">
        <v>0</v>
      </c>
      <c r="L2241" s="3">
        <v>1.2399E-2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 spans="1:25" hidden="1">
      <c r="A2242" t="str">
        <f t="shared" si="571"/>
        <v>Zel'venskii 1937</v>
      </c>
      <c r="H2242">
        <f t="shared" si="572"/>
        <v>298</v>
      </c>
      <c r="I2242">
        <v>24.986744999999999</v>
      </c>
      <c r="J2242">
        <v>0</v>
      </c>
      <c r="L2242" s="3">
        <v>1.2714E-2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</row>
    <row r="2243" spans="1:25" hidden="1">
      <c r="A2243" t="str">
        <f t="shared" si="571"/>
        <v>Zel'venskii 1937</v>
      </c>
      <c r="H2243">
        <f t="shared" si="572"/>
        <v>298</v>
      </c>
      <c r="I2243">
        <v>25.098202499999999</v>
      </c>
      <c r="J2243">
        <v>0</v>
      </c>
      <c r="L2243" s="3">
        <v>1.2848999999999999E-2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 hidden="1">
      <c r="A2244" t="str">
        <f t="shared" si="571"/>
        <v>Zel'venskii 1937</v>
      </c>
      <c r="H2244">
        <f t="shared" si="572"/>
        <v>298</v>
      </c>
      <c r="I2244">
        <v>26.3445</v>
      </c>
      <c r="J2244">
        <v>0</v>
      </c>
      <c r="L2244" s="3">
        <v>1.3427E-2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 hidden="1">
      <c r="A2245" t="str">
        <f t="shared" si="571"/>
        <v>Zel'venskii 1937</v>
      </c>
      <c r="H2245">
        <f t="shared" si="572"/>
        <v>298</v>
      </c>
      <c r="I2245">
        <v>31.816049999999997</v>
      </c>
      <c r="J2245">
        <v>0</v>
      </c>
      <c r="L2245" s="3">
        <v>1.5570000000000001E-2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 hidden="1">
      <c r="A2246" t="str">
        <f t="shared" si="571"/>
        <v>Zel'venskii 1937</v>
      </c>
      <c r="H2246">
        <f t="shared" si="572"/>
        <v>298</v>
      </c>
      <c r="I2246">
        <v>34.865932499999992</v>
      </c>
      <c r="J2246">
        <v>0</v>
      </c>
      <c r="L2246" s="3">
        <v>1.6619999999999999E-2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 hidden="1">
      <c r="A2247" t="str">
        <f t="shared" si="571"/>
        <v>Zel'venskii 1937</v>
      </c>
      <c r="H2247">
        <f t="shared" si="572"/>
        <v>298</v>
      </c>
      <c r="I2247">
        <v>39.344497499999996</v>
      </c>
      <c r="J2247">
        <v>0</v>
      </c>
      <c r="L2247" s="3">
        <v>1.8540999999999998E-2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 hidden="1">
      <c r="A2248" t="str">
        <f t="shared" si="571"/>
        <v>Zel'venskii 1937</v>
      </c>
      <c r="H2248">
        <f t="shared" si="572"/>
        <v>298</v>
      </c>
      <c r="I2248">
        <v>39.699134999999998</v>
      </c>
      <c r="J2248">
        <v>0</v>
      </c>
      <c r="L2248" s="3">
        <v>1.8634999999999999E-2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1:25" hidden="1">
      <c r="A2249" t="str">
        <f t="shared" si="571"/>
        <v>Zel'venskii 1937</v>
      </c>
      <c r="H2249">
        <f t="shared" si="572"/>
        <v>298</v>
      </c>
      <c r="I2249">
        <v>44.684325000000001</v>
      </c>
      <c r="J2249">
        <v>0</v>
      </c>
      <c r="L2249" s="3">
        <v>2.0378E-2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</row>
    <row r="2250" spans="1:25" hidden="1">
      <c r="A2250" t="str">
        <f t="shared" si="571"/>
        <v>Zel'venskii 1937</v>
      </c>
      <c r="H2250">
        <f t="shared" si="572"/>
        <v>298</v>
      </c>
      <c r="I2250">
        <v>45.646912499999999</v>
      </c>
      <c r="J2250">
        <v>0</v>
      </c>
      <c r="L2250" s="3">
        <v>2.0378E-2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 hidden="1">
      <c r="A2251" t="str">
        <f t="shared" si="571"/>
        <v>Zel'venskii 1937</v>
      </c>
      <c r="H2251">
        <f t="shared" si="572"/>
        <v>298</v>
      </c>
      <c r="I2251">
        <v>56.843325</v>
      </c>
      <c r="J2251">
        <v>0</v>
      </c>
      <c r="L2251" s="3">
        <v>2.2970000000000001E-2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 hidden="1">
      <c r="A2252" t="str">
        <f t="shared" si="571"/>
        <v>Zel'venskii 1937</v>
      </c>
      <c r="H2252">
        <f t="shared" si="572"/>
        <v>298</v>
      </c>
      <c r="I2252">
        <v>63.733424999999997</v>
      </c>
      <c r="J2252">
        <v>0</v>
      </c>
      <c r="L2252" s="3">
        <v>2.4032000000000001E-2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1:25" hidden="1">
      <c r="A2253" t="str">
        <f t="shared" si="571"/>
        <v>Zel'venskii 1937</v>
      </c>
      <c r="H2253">
        <v>323</v>
      </c>
      <c r="I2253">
        <v>19.393605000000001</v>
      </c>
      <c r="J2253">
        <v>0</v>
      </c>
      <c r="L2253" s="3">
        <v>6.2300000000000003E-3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 hidden="1">
      <c r="A2254" t="str">
        <f t="shared" si="571"/>
        <v>Zel'venskii 1937</v>
      </c>
      <c r="H2254">
        <f t="shared" ref="H2254:H2268" si="573">H2253</f>
        <v>323</v>
      </c>
      <c r="I2254">
        <v>33.011685</v>
      </c>
      <c r="J2254">
        <v>0</v>
      </c>
      <c r="L2254" s="3">
        <v>9.8700000000000003E-3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 hidden="1">
      <c r="A2255" t="str">
        <f t="shared" si="571"/>
        <v>Zel'venskii 1937</v>
      </c>
      <c r="H2255">
        <f t="shared" si="573"/>
        <v>323</v>
      </c>
      <c r="I2255">
        <v>33.224467499999996</v>
      </c>
      <c r="J2255">
        <v>0</v>
      </c>
      <c r="L2255" s="3">
        <v>1.0009999999999999E-3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 spans="1:25" hidden="1">
      <c r="A2256" t="str">
        <f t="shared" si="571"/>
        <v>Zel'venskii 1937</v>
      </c>
      <c r="H2256">
        <f t="shared" si="573"/>
        <v>323</v>
      </c>
      <c r="I2256">
        <v>47.420099999999998</v>
      </c>
      <c r="J2256">
        <v>0</v>
      </c>
      <c r="L2256" s="3">
        <v>1.273E-2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 hidden="1">
      <c r="A2257" t="str">
        <f t="shared" si="571"/>
        <v>Zel'venskii 1937</v>
      </c>
      <c r="H2257">
        <f t="shared" si="573"/>
        <v>323</v>
      </c>
      <c r="I2257">
        <v>47.501159999999999</v>
      </c>
      <c r="J2257">
        <v>0</v>
      </c>
      <c r="L2257" s="3">
        <v>1.304E-2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 hidden="1">
      <c r="A2258" t="str">
        <f t="shared" si="571"/>
        <v>Zel'venskii 1937</v>
      </c>
      <c r="H2258">
        <f t="shared" si="573"/>
        <v>323</v>
      </c>
      <c r="I2258">
        <v>57.755249999999997</v>
      </c>
      <c r="J2258">
        <v>0</v>
      </c>
      <c r="L2258" s="3">
        <v>1.5233E-2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</row>
    <row r="2259" spans="1:25" hidden="1">
      <c r="A2259" t="str">
        <f t="shared" si="571"/>
        <v>Zel'venskii 1937</v>
      </c>
      <c r="H2259">
        <f t="shared" si="573"/>
        <v>323</v>
      </c>
      <c r="I2259">
        <v>61.098974999999996</v>
      </c>
      <c r="J2259">
        <v>0</v>
      </c>
      <c r="L2259" s="3">
        <v>1.5970000000000002E-2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 hidden="1">
      <c r="A2260" t="str">
        <f t="shared" si="571"/>
        <v>Zel'venskii 1937</v>
      </c>
      <c r="H2260">
        <f t="shared" si="573"/>
        <v>323</v>
      </c>
      <c r="I2260">
        <v>61.72719</v>
      </c>
      <c r="J2260">
        <v>0</v>
      </c>
      <c r="L2260" s="3">
        <v>1.6166E-2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1:25" hidden="1">
      <c r="A2261" t="str">
        <f t="shared" si="571"/>
        <v>Zel'venskii 1937</v>
      </c>
      <c r="H2261">
        <f t="shared" si="573"/>
        <v>323</v>
      </c>
      <c r="I2261">
        <v>61.909575000000004</v>
      </c>
      <c r="J2261">
        <v>0</v>
      </c>
      <c r="L2261" s="3">
        <v>1.6236E-2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1:25" hidden="1">
      <c r="A2262" t="str">
        <f t="shared" si="571"/>
        <v>Zel'venskii 1937</v>
      </c>
      <c r="H2262">
        <f t="shared" si="573"/>
        <v>323</v>
      </c>
      <c r="I2262">
        <v>62.8215</v>
      </c>
      <c r="J2262">
        <v>0</v>
      </c>
      <c r="L2262" s="3">
        <v>1.6337999999999998E-2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 spans="1:25" hidden="1">
      <c r="A2263" t="str">
        <f t="shared" si="571"/>
        <v>Zel'venskii 1937</v>
      </c>
      <c r="H2263">
        <f t="shared" si="573"/>
        <v>323</v>
      </c>
      <c r="I2263">
        <v>74.190164999999993</v>
      </c>
      <c r="J2263">
        <v>0</v>
      </c>
      <c r="L2263" s="3">
        <v>1.7957000000000001E-2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</row>
    <row r="2264" spans="1:25" hidden="1">
      <c r="A2264" t="str">
        <f t="shared" si="571"/>
        <v>Zel'venskii 1937</v>
      </c>
      <c r="H2264">
        <f t="shared" si="573"/>
        <v>323</v>
      </c>
      <c r="I2264">
        <v>74.798114999999996</v>
      </c>
      <c r="J2264">
        <v>0</v>
      </c>
      <c r="L2264" s="3">
        <v>1.8487E-2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</row>
    <row r="2265" spans="1:25" hidden="1">
      <c r="A2265" t="str">
        <f t="shared" si="571"/>
        <v>Zel'venskii 1937</v>
      </c>
      <c r="H2265">
        <f t="shared" si="573"/>
        <v>323</v>
      </c>
      <c r="I2265">
        <v>75.487124999999992</v>
      </c>
      <c r="J2265">
        <v>0</v>
      </c>
      <c r="L2265" s="3">
        <v>1.8277000000000002E-2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 hidden="1">
      <c r="A2266" t="str">
        <f t="shared" si="571"/>
        <v>Zel'venskii 1937</v>
      </c>
      <c r="H2266">
        <f t="shared" si="573"/>
        <v>323</v>
      </c>
      <c r="I2266">
        <v>90.787199999999999</v>
      </c>
      <c r="J2266">
        <v>0</v>
      </c>
      <c r="L2266" s="3">
        <v>2.0611000000000001E-2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 hidden="1">
      <c r="A2267" t="str">
        <f t="shared" si="571"/>
        <v>Zel'venskii 1937</v>
      </c>
      <c r="H2267">
        <f t="shared" si="573"/>
        <v>323</v>
      </c>
      <c r="I2267">
        <v>92.712374999999994</v>
      </c>
      <c r="J2267">
        <v>0</v>
      </c>
      <c r="L2267" s="3">
        <v>2.0362999999999999E-2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 hidden="1">
      <c r="A2268" t="str">
        <f t="shared" si="571"/>
        <v>Zel'venskii 1937</v>
      </c>
      <c r="H2268">
        <f t="shared" si="573"/>
        <v>323</v>
      </c>
      <c r="I2268">
        <v>93.218999999999994</v>
      </c>
      <c r="J2268">
        <v>0</v>
      </c>
      <c r="L2268" s="3">
        <v>2.0503E-2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 hidden="1">
      <c r="A2269" t="str">
        <f t="shared" ref="A2269:A2295" si="574">A2268</f>
        <v>Zel'venskii 1937</v>
      </c>
      <c r="H2269">
        <v>348</v>
      </c>
      <c r="I2269">
        <v>19.08963</v>
      </c>
      <c r="J2269">
        <v>0</v>
      </c>
      <c r="L2269" s="3">
        <v>4.4099999999999999E-3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 hidden="1">
      <c r="A2270" t="str">
        <f t="shared" si="574"/>
        <v>Zel'venskii 1937</v>
      </c>
      <c r="H2270">
        <f t="shared" ref="H2270:H2282" si="575">H2269</f>
        <v>348</v>
      </c>
      <c r="I2270">
        <v>19.251750000000001</v>
      </c>
      <c r="J2270">
        <v>0</v>
      </c>
      <c r="L2270" s="3">
        <v>4.3400000000000001E-3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</row>
    <row r="2271" spans="1:25" hidden="1">
      <c r="A2271" t="str">
        <f t="shared" si="574"/>
        <v>Zel'venskii 1937</v>
      </c>
      <c r="H2271">
        <f t="shared" si="575"/>
        <v>348</v>
      </c>
      <c r="I2271">
        <v>32.667180000000002</v>
      </c>
      <c r="J2271">
        <v>0</v>
      </c>
      <c r="L2271" s="3">
        <v>7.2399999999999999E-3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</row>
    <row r="2272" spans="1:25" hidden="1">
      <c r="A2272" t="str">
        <f t="shared" si="574"/>
        <v>Zel'venskii 1937</v>
      </c>
      <c r="H2272">
        <f t="shared" si="575"/>
        <v>348</v>
      </c>
      <c r="I2272">
        <v>33.113010000000003</v>
      </c>
      <c r="J2272">
        <v>0</v>
      </c>
      <c r="L2272" s="3">
        <v>7.2719999999999998E-3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</row>
    <row r="2273" spans="1:25" hidden="1">
      <c r="A2273" t="str">
        <f t="shared" si="574"/>
        <v>Zel'venskii 1937</v>
      </c>
      <c r="H2273">
        <f t="shared" si="575"/>
        <v>348</v>
      </c>
      <c r="I2273">
        <v>47.227582499999997</v>
      </c>
      <c r="J2273">
        <v>0</v>
      </c>
      <c r="L2273" s="3">
        <v>9.8300000000000002E-3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1:25" hidden="1">
      <c r="A2274" t="str">
        <f t="shared" si="574"/>
        <v>Zel'venskii 1937</v>
      </c>
      <c r="H2274">
        <f t="shared" si="575"/>
        <v>348</v>
      </c>
      <c r="I2274">
        <v>61.068577500000004</v>
      </c>
      <c r="J2274">
        <v>0</v>
      </c>
      <c r="L2274" s="3">
        <v>1.2185E-2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</row>
    <row r="2275" spans="1:25" hidden="1">
      <c r="A2275" t="str">
        <f t="shared" si="574"/>
        <v>Zel'venskii 1937</v>
      </c>
      <c r="H2275">
        <f t="shared" si="575"/>
        <v>348</v>
      </c>
      <c r="I2275">
        <v>61.72719</v>
      </c>
      <c r="J2275">
        <v>0</v>
      </c>
      <c r="L2275" s="3">
        <v>1.2043E-2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 hidden="1">
      <c r="A2276" t="str">
        <f t="shared" si="574"/>
        <v>Zel'venskii 1937</v>
      </c>
      <c r="H2276">
        <f t="shared" si="575"/>
        <v>348</v>
      </c>
      <c r="I2276">
        <v>61.8386475</v>
      </c>
      <c r="J2276">
        <v>0</v>
      </c>
      <c r="L2276" s="3">
        <v>1.2083E-2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 hidden="1">
      <c r="A2277" t="str">
        <f t="shared" si="574"/>
        <v>Zel'venskii 1937</v>
      </c>
      <c r="H2277">
        <f t="shared" si="575"/>
        <v>348</v>
      </c>
      <c r="I2277">
        <v>62.031164999999994</v>
      </c>
      <c r="J2277">
        <v>0</v>
      </c>
      <c r="L2277" s="3">
        <v>1.2193000000000001E-2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 hidden="1">
      <c r="A2278" t="str">
        <f t="shared" si="574"/>
        <v>Zel'venskii 1937</v>
      </c>
      <c r="H2278">
        <f t="shared" si="575"/>
        <v>348</v>
      </c>
      <c r="I2278">
        <v>76.703024999999997</v>
      </c>
      <c r="J2278">
        <v>0</v>
      </c>
      <c r="L2278" s="3">
        <v>1.4062E-2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 hidden="1">
      <c r="A2279" t="str">
        <f t="shared" si="574"/>
        <v>Zel'venskii 1937</v>
      </c>
      <c r="H2279">
        <f t="shared" si="575"/>
        <v>348</v>
      </c>
      <c r="I2279">
        <v>76.956337500000004</v>
      </c>
      <c r="J2279">
        <v>0</v>
      </c>
      <c r="L2279" s="3">
        <v>1.436E-2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 hidden="1">
      <c r="A2280" t="str">
        <f t="shared" si="574"/>
        <v>Zel'venskii 1937</v>
      </c>
      <c r="H2280">
        <f t="shared" si="575"/>
        <v>348</v>
      </c>
      <c r="I2280">
        <v>77.361637499999986</v>
      </c>
      <c r="J2280">
        <v>0</v>
      </c>
      <c r="L2280" s="3">
        <v>1.4227E-2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</row>
    <row r="2281" spans="1:25" hidden="1">
      <c r="A2281" t="str">
        <f t="shared" si="574"/>
        <v>Zel'venskii 1937</v>
      </c>
      <c r="H2281">
        <f t="shared" si="575"/>
        <v>348</v>
      </c>
      <c r="I2281">
        <v>93.269662499999995</v>
      </c>
      <c r="J2281">
        <v>0</v>
      </c>
      <c r="L2281" s="3">
        <v>1.6063999999999998E-2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 hidden="1">
      <c r="A2282" t="str">
        <f t="shared" si="574"/>
        <v>Zel'venskii 1937</v>
      </c>
      <c r="H2282">
        <f t="shared" si="575"/>
        <v>348</v>
      </c>
      <c r="I2282">
        <v>94.455164999999994</v>
      </c>
      <c r="J2282">
        <v>0</v>
      </c>
      <c r="L2282" s="3">
        <v>1.6111E-2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 hidden="1">
      <c r="A2283" t="str">
        <f t="shared" si="574"/>
        <v>Zel'venskii 1937</v>
      </c>
      <c r="H2283">
        <v>373</v>
      </c>
      <c r="I2283">
        <v>19.353075</v>
      </c>
      <c r="J2283">
        <v>0</v>
      </c>
      <c r="L2283" s="3">
        <v>3.4770000000000001E-3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 hidden="1">
      <c r="A2284" t="str">
        <f t="shared" si="574"/>
        <v>Zel'venskii 1937</v>
      </c>
      <c r="H2284">
        <f t="shared" ref="H2284:H2295" si="576">H2283</f>
        <v>373</v>
      </c>
      <c r="I2284">
        <v>19.5253275</v>
      </c>
      <c r="J2284">
        <v>0</v>
      </c>
      <c r="L2284" s="3">
        <v>3.46E-3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 hidden="1">
      <c r="A2285" t="str">
        <f t="shared" si="574"/>
        <v>Zel'venskii 1937</v>
      </c>
      <c r="H2285">
        <f t="shared" si="576"/>
        <v>373</v>
      </c>
      <c r="I2285">
        <v>32.494927500000003</v>
      </c>
      <c r="J2285">
        <v>0</v>
      </c>
      <c r="L2285" s="3">
        <v>5.738E-3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 hidden="1">
      <c r="A2286" t="str">
        <f t="shared" si="574"/>
        <v>Zel'venskii 1937</v>
      </c>
      <c r="H2286">
        <f t="shared" si="576"/>
        <v>373</v>
      </c>
      <c r="I2286">
        <v>33.011685</v>
      </c>
      <c r="J2286">
        <v>0</v>
      </c>
      <c r="L2286" s="3">
        <v>5.8979999999999996E-3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 hidden="1">
      <c r="A2287" t="str">
        <f t="shared" si="574"/>
        <v>Zel'venskii 1937</v>
      </c>
      <c r="H2287">
        <f t="shared" si="576"/>
        <v>373</v>
      </c>
      <c r="I2287">
        <v>33.1231425</v>
      </c>
      <c r="J2287">
        <v>0</v>
      </c>
      <c r="L2287" s="3">
        <v>5.8199999999999997E-3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</row>
    <row r="2288" spans="1:25" hidden="1">
      <c r="A2288" t="str">
        <f t="shared" si="574"/>
        <v>Zel'venskii 1937</v>
      </c>
      <c r="H2288">
        <f t="shared" si="576"/>
        <v>373</v>
      </c>
      <c r="I2288">
        <v>33.214334999999998</v>
      </c>
      <c r="J2288">
        <v>0</v>
      </c>
      <c r="L2288" s="3">
        <v>5.7780000000000001E-3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 hidden="1">
      <c r="A2289" t="str">
        <f t="shared" si="574"/>
        <v>Zel'venskii 1937</v>
      </c>
      <c r="H2289">
        <f t="shared" si="576"/>
        <v>373</v>
      </c>
      <c r="I2289">
        <v>46.710825</v>
      </c>
      <c r="J2289">
        <v>0</v>
      </c>
      <c r="L2289" s="3">
        <v>8.0129999999999993E-3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 hidden="1">
      <c r="A2290" t="str">
        <f t="shared" si="574"/>
        <v>Zel'venskii 1937</v>
      </c>
      <c r="H2290">
        <f t="shared" si="576"/>
        <v>373</v>
      </c>
      <c r="I2290">
        <v>47.369437499999997</v>
      </c>
      <c r="J2290">
        <v>0</v>
      </c>
      <c r="L2290" s="3">
        <v>8.1300000000000001E-3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 hidden="1">
      <c r="A2291" t="str">
        <f t="shared" si="574"/>
        <v>Zel'venskii 1937</v>
      </c>
      <c r="H2291">
        <f t="shared" si="576"/>
        <v>373</v>
      </c>
      <c r="I2291">
        <v>47.511292500000003</v>
      </c>
      <c r="J2291">
        <v>0</v>
      </c>
      <c r="L2291" s="3">
        <v>7.9419999999999994E-3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 hidden="1">
      <c r="A2292" t="str">
        <f t="shared" si="574"/>
        <v>Zel'venskii 1937</v>
      </c>
      <c r="H2292">
        <f t="shared" si="576"/>
        <v>373</v>
      </c>
      <c r="I2292">
        <v>61.7575875</v>
      </c>
      <c r="J2292">
        <v>0</v>
      </c>
      <c r="L2292" s="3">
        <v>9.8099999999999993E-3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 hidden="1">
      <c r="A2293" t="str">
        <f t="shared" si="574"/>
        <v>Zel'venskii 1937</v>
      </c>
      <c r="H2293">
        <f t="shared" si="576"/>
        <v>373</v>
      </c>
      <c r="I2293">
        <v>62.112224999999995</v>
      </c>
      <c r="J2293">
        <v>0</v>
      </c>
      <c r="L2293" s="3">
        <v>1.0825E-2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 hidden="1">
      <c r="A2294" t="str">
        <f t="shared" si="574"/>
        <v>Zel'venskii 1937</v>
      </c>
      <c r="H2294">
        <f t="shared" si="576"/>
        <v>373</v>
      </c>
      <c r="I2294">
        <v>75.993750000000006</v>
      </c>
      <c r="J2294">
        <v>0</v>
      </c>
      <c r="L2294" s="3">
        <v>1.448E-2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 hidden="1">
      <c r="A2295" t="str">
        <f t="shared" si="574"/>
        <v>Zel'venskii 1937</v>
      </c>
      <c r="H2295">
        <f t="shared" si="576"/>
        <v>373</v>
      </c>
      <c r="I2295">
        <v>91.192499999999995</v>
      </c>
      <c r="J2295">
        <v>0</v>
      </c>
      <c r="L2295" s="3">
        <v>1.448E-2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</sheetData>
  <autoFilter ref="A1:Y2295" xr:uid="{10595651-7D92-4988-BEE9-2F7DB3843476}">
    <filterColumn colId="0">
      <filters>
        <filter val="Prutton &amp; Savage 1945"/>
      </filters>
    </filterColumn>
    <sortState xmlns:xlrd2="http://schemas.microsoft.com/office/spreadsheetml/2017/richdata2" ref="A2:Y2295">
      <sortCondition ref="A1:A2295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2456-BE61-41BE-AFED-67C2A6D46B52}">
  <sheetPr filterMode="1"/>
  <dimension ref="A1:J77"/>
  <sheetViews>
    <sheetView workbookViewId="0">
      <selection activeCell="D77" sqref="D77"/>
    </sheetView>
  </sheetViews>
  <sheetFormatPr defaultRowHeight="14.5"/>
  <cols>
    <col min="3" max="3" width="17.90625" bestFit="1" customWidth="1"/>
  </cols>
  <sheetData>
    <row r="1" spans="1:10">
      <c r="A1" t="s">
        <v>41</v>
      </c>
      <c r="B1" t="s">
        <v>42</v>
      </c>
      <c r="C1" t="s">
        <v>43</v>
      </c>
      <c r="D1" t="s">
        <v>44</v>
      </c>
      <c r="F1" t="s">
        <v>2</v>
      </c>
      <c r="G1" t="s">
        <v>47</v>
      </c>
      <c r="H1" t="s">
        <v>24</v>
      </c>
      <c r="I1" t="s">
        <v>45</v>
      </c>
      <c r="J1" t="s">
        <v>46</v>
      </c>
    </row>
    <row r="2" spans="1:10">
      <c r="A2">
        <v>1</v>
      </c>
      <c r="B2">
        <v>25</v>
      </c>
      <c r="C2">
        <v>2.3E-2</v>
      </c>
      <c r="F2">
        <f>B2 + 273.15</f>
        <v>298.14999999999998</v>
      </c>
      <c r="G2">
        <f>A2*1.01325</f>
        <v>1.01325</v>
      </c>
      <c r="H2">
        <f>IF(C2="","",1.2442*C2/(1+1.2442*C2))</f>
        <v>2.7820472662020035E-2</v>
      </c>
      <c r="I2" t="str">
        <f t="shared" ref="I2:I20" si="0">IF(D2="","",H2/D2)</f>
        <v/>
      </c>
      <c r="J2" t="str">
        <f>IF(I2="","",1-I2)</f>
        <v/>
      </c>
    </row>
    <row r="3" spans="1:10">
      <c r="A3">
        <v>25</v>
      </c>
      <c r="B3">
        <v>25</v>
      </c>
      <c r="C3">
        <v>1.32E-3</v>
      </c>
      <c r="F3">
        <f t="shared" ref="F3:F66" si="1">B3 + 273.15</f>
        <v>298.14999999999998</v>
      </c>
      <c r="G3">
        <f t="shared" ref="G3:G66" si="2">A3*1.01325</f>
        <v>25.331250000000001</v>
      </c>
      <c r="H3">
        <f t="shared" ref="H3:H66" si="3">IF(C3="","",1.2442*C3/(1+1.2442*C3))</f>
        <v>1.6396511288065115E-3</v>
      </c>
      <c r="I3" t="str">
        <f t="shared" si="0"/>
        <v/>
      </c>
      <c r="J3" t="str">
        <f t="shared" ref="J3:J66" si="4">IF(I3="","",1-I3)</f>
        <v/>
      </c>
    </row>
    <row r="4" spans="1:10">
      <c r="A4">
        <v>50</v>
      </c>
      <c r="B4">
        <v>25</v>
      </c>
      <c r="C4">
        <v>1.0399999999999999E-3</v>
      </c>
      <c r="D4">
        <v>1.32E-3</v>
      </c>
      <c r="F4">
        <f t="shared" si="1"/>
        <v>298.14999999999998</v>
      </c>
      <c r="G4">
        <f t="shared" si="2"/>
        <v>50.662500000000001</v>
      </c>
      <c r="H4">
        <f t="shared" si="3"/>
        <v>1.2922958105745824E-3</v>
      </c>
      <c r="I4">
        <f t="shared" si="0"/>
        <v>0.97901197770801696</v>
      </c>
      <c r="J4">
        <f t="shared" si="4"/>
        <v>2.0988022291983044E-2</v>
      </c>
    </row>
    <row r="5" spans="1:10" hidden="1">
      <c r="A5">
        <v>60</v>
      </c>
      <c r="F5">
        <f t="shared" si="1"/>
        <v>273.14999999999998</v>
      </c>
      <c r="G5">
        <f t="shared" si="2"/>
        <v>60.795000000000002</v>
      </c>
      <c r="H5" t="str">
        <f t="shared" si="3"/>
        <v/>
      </c>
      <c r="I5" t="str">
        <f t="shared" si="0"/>
        <v/>
      </c>
      <c r="J5" t="str">
        <f t="shared" si="4"/>
        <v/>
      </c>
    </row>
    <row r="6" spans="1:10" hidden="1">
      <c r="A6">
        <v>75</v>
      </c>
      <c r="F6">
        <f t="shared" si="1"/>
        <v>273.14999999999998</v>
      </c>
      <c r="G6">
        <f t="shared" si="2"/>
        <v>75.993750000000006</v>
      </c>
      <c r="H6" t="str">
        <f t="shared" si="3"/>
        <v/>
      </c>
      <c r="I6" t="str">
        <f t="shared" si="0"/>
        <v/>
      </c>
      <c r="J6" t="str">
        <f t="shared" si="4"/>
        <v/>
      </c>
    </row>
    <row r="7" spans="1:10">
      <c r="A7">
        <v>100</v>
      </c>
      <c r="B7">
        <v>25</v>
      </c>
      <c r="C7">
        <v>2.6700000000000001E-3</v>
      </c>
      <c r="D7">
        <v>3.3600000000000001E-3</v>
      </c>
      <c r="F7">
        <f t="shared" si="1"/>
        <v>298.14999999999998</v>
      </c>
      <c r="G7">
        <f t="shared" si="2"/>
        <v>101.325</v>
      </c>
      <c r="H7">
        <f t="shared" si="3"/>
        <v>3.3110147626044212E-3</v>
      </c>
      <c r="I7">
        <f t="shared" si="0"/>
        <v>0.98542106029893484</v>
      </c>
      <c r="J7">
        <f t="shared" si="4"/>
        <v>1.4578939701065163E-2</v>
      </c>
    </row>
    <row r="8" spans="1:10" hidden="1">
      <c r="A8">
        <v>110</v>
      </c>
      <c r="F8">
        <f t="shared" si="1"/>
        <v>273.14999999999998</v>
      </c>
      <c r="G8">
        <f t="shared" si="2"/>
        <v>111.4575</v>
      </c>
      <c r="H8" t="str">
        <f t="shared" si="3"/>
        <v/>
      </c>
      <c r="I8" t="str">
        <f t="shared" si="0"/>
        <v/>
      </c>
      <c r="J8" t="str">
        <f t="shared" si="4"/>
        <v/>
      </c>
    </row>
    <row r="9" spans="1:10" hidden="1">
      <c r="A9">
        <v>125</v>
      </c>
      <c r="F9">
        <f t="shared" si="1"/>
        <v>273.14999999999998</v>
      </c>
      <c r="G9">
        <f t="shared" si="2"/>
        <v>126.65625</v>
      </c>
      <c r="H9" t="str">
        <f t="shared" si="3"/>
        <v/>
      </c>
      <c r="I9" t="str">
        <f t="shared" si="0"/>
        <v/>
      </c>
      <c r="J9" t="str">
        <f t="shared" si="4"/>
        <v/>
      </c>
    </row>
    <row r="10" spans="1:10">
      <c r="A10">
        <v>150</v>
      </c>
      <c r="B10">
        <v>25</v>
      </c>
      <c r="C10">
        <v>2.8900000000000002E-3</v>
      </c>
      <c r="F10">
        <f t="shared" si="1"/>
        <v>298.14999999999998</v>
      </c>
      <c r="G10">
        <f t="shared" si="2"/>
        <v>151.98750000000001</v>
      </c>
      <c r="H10">
        <f t="shared" si="3"/>
        <v>3.5828549921562143E-3</v>
      </c>
      <c r="I10" t="str">
        <f t="shared" si="0"/>
        <v/>
      </c>
      <c r="J10" t="str">
        <f t="shared" si="4"/>
        <v/>
      </c>
    </row>
    <row r="11" spans="1:10">
      <c r="A11">
        <v>200</v>
      </c>
      <c r="B11">
        <v>25</v>
      </c>
      <c r="C11">
        <v>3.0300000000000001E-3</v>
      </c>
      <c r="D11">
        <v>3.82E-3</v>
      </c>
      <c r="F11">
        <f t="shared" si="1"/>
        <v>298.14999999999998</v>
      </c>
      <c r="G11">
        <f t="shared" si="2"/>
        <v>202.65</v>
      </c>
      <c r="H11">
        <f t="shared" si="3"/>
        <v>3.755767036200286E-3</v>
      </c>
      <c r="I11">
        <f t="shared" si="0"/>
        <v>0.98318508801054605</v>
      </c>
      <c r="J11">
        <f t="shared" si="4"/>
        <v>1.6814911989453951E-2</v>
      </c>
    </row>
    <row r="12" spans="1:10" hidden="1">
      <c r="A12">
        <v>300</v>
      </c>
      <c r="F12">
        <f t="shared" si="1"/>
        <v>273.14999999999998</v>
      </c>
      <c r="G12">
        <f t="shared" si="2"/>
        <v>303.97500000000002</v>
      </c>
      <c r="H12" t="str">
        <f t="shared" si="3"/>
        <v/>
      </c>
      <c r="I12" t="str">
        <f t="shared" si="0"/>
        <v/>
      </c>
      <c r="J12" t="str">
        <f t="shared" si="4"/>
        <v/>
      </c>
    </row>
    <row r="13" spans="1:10" hidden="1">
      <c r="A13">
        <v>400</v>
      </c>
      <c r="F13">
        <f t="shared" si="1"/>
        <v>273.14999999999998</v>
      </c>
      <c r="G13">
        <f t="shared" si="2"/>
        <v>405.3</v>
      </c>
      <c r="H13" t="str">
        <f t="shared" si="3"/>
        <v/>
      </c>
      <c r="I13" t="str">
        <f t="shared" si="0"/>
        <v/>
      </c>
      <c r="J13" t="str">
        <f t="shared" si="4"/>
        <v/>
      </c>
    </row>
    <row r="14" spans="1:10">
      <c r="A14">
        <v>450</v>
      </c>
      <c r="B14">
        <v>25</v>
      </c>
      <c r="C14">
        <v>3.2200000000000002E-3</v>
      </c>
      <c r="F14">
        <f t="shared" si="1"/>
        <v>298.14999999999998</v>
      </c>
      <c r="G14">
        <f t="shared" si="2"/>
        <v>455.96249999999998</v>
      </c>
      <c r="H14">
        <f t="shared" si="3"/>
        <v>3.9903374154444081E-3</v>
      </c>
      <c r="I14" t="str">
        <f t="shared" si="0"/>
        <v/>
      </c>
      <c r="J14" t="str">
        <f t="shared" si="4"/>
        <v/>
      </c>
    </row>
    <row r="15" spans="1:10">
      <c r="A15">
        <v>475</v>
      </c>
      <c r="B15">
        <v>25</v>
      </c>
      <c r="C15">
        <v>3.2100000000000002E-3</v>
      </c>
      <c r="F15">
        <f t="shared" si="1"/>
        <v>298.14999999999998</v>
      </c>
      <c r="G15">
        <f t="shared" si="2"/>
        <v>481.29374999999999</v>
      </c>
      <c r="H15">
        <f t="shared" si="3"/>
        <v>3.9779943599297747E-3</v>
      </c>
      <c r="I15" t="str">
        <f t="shared" si="0"/>
        <v/>
      </c>
      <c r="J15" t="str">
        <f t="shared" si="4"/>
        <v/>
      </c>
    </row>
    <row r="16" spans="1:10">
      <c r="A16">
        <v>500</v>
      </c>
      <c r="B16">
        <v>25</v>
      </c>
      <c r="C16">
        <v>3.1900000000000001E-3</v>
      </c>
      <c r="D16">
        <v>4.0499999999999998E-3</v>
      </c>
      <c r="F16">
        <f t="shared" si="1"/>
        <v>298.14999999999998</v>
      </c>
      <c r="G16">
        <f t="shared" si="2"/>
        <v>506.625</v>
      </c>
      <c r="H16">
        <f t="shared" si="3"/>
        <v>3.9533073311094416E-3</v>
      </c>
      <c r="I16">
        <f t="shared" si="0"/>
        <v>0.97612526694060286</v>
      </c>
      <c r="J16">
        <f t="shared" si="4"/>
        <v>2.3874733059397135E-2</v>
      </c>
    </row>
    <row r="17" spans="1:10" hidden="1">
      <c r="A17">
        <v>525</v>
      </c>
      <c r="F17">
        <f t="shared" si="1"/>
        <v>273.14999999999998</v>
      </c>
      <c r="G17">
        <f t="shared" si="2"/>
        <v>531.95624999999995</v>
      </c>
      <c r="H17" t="str">
        <f t="shared" si="3"/>
        <v/>
      </c>
      <c r="I17" t="str">
        <f t="shared" si="0"/>
        <v/>
      </c>
      <c r="J17" t="str">
        <f t="shared" si="4"/>
        <v/>
      </c>
    </row>
    <row r="18" spans="1:10" hidden="1">
      <c r="A18">
        <v>550</v>
      </c>
      <c r="F18">
        <f t="shared" si="1"/>
        <v>273.14999999999998</v>
      </c>
      <c r="G18">
        <f t="shared" si="2"/>
        <v>557.28750000000002</v>
      </c>
      <c r="H18" t="str">
        <f t="shared" si="3"/>
        <v/>
      </c>
      <c r="I18" t="str">
        <f t="shared" si="0"/>
        <v/>
      </c>
      <c r="J18" t="str">
        <f t="shared" si="4"/>
        <v/>
      </c>
    </row>
    <row r="19" spans="1:10" hidden="1">
      <c r="A19">
        <v>600</v>
      </c>
      <c r="F19">
        <f t="shared" si="1"/>
        <v>273.14999999999998</v>
      </c>
      <c r="G19">
        <f t="shared" si="2"/>
        <v>607.95000000000005</v>
      </c>
      <c r="H19" t="str">
        <f t="shared" si="3"/>
        <v/>
      </c>
      <c r="I19" t="str">
        <f t="shared" si="0"/>
        <v/>
      </c>
      <c r="J19" t="str">
        <f t="shared" si="4"/>
        <v/>
      </c>
    </row>
    <row r="20" spans="1:10" hidden="1">
      <c r="A20">
        <v>700</v>
      </c>
      <c r="F20">
        <f t="shared" si="1"/>
        <v>273.14999999999998</v>
      </c>
      <c r="G20">
        <f t="shared" si="2"/>
        <v>709.27499999999998</v>
      </c>
      <c r="H20" t="str">
        <f t="shared" si="3"/>
        <v/>
      </c>
      <c r="I20" t="str">
        <f t="shared" si="0"/>
        <v/>
      </c>
      <c r="J20" t="str">
        <f t="shared" si="4"/>
        <v/>
      </c>
    </row>
    <row r="21" spans="1:10">
      <c r="A21">
        <f>A2</f>
        <v>1</v>
      </c>
      <c r="B21">
        <v>31.04</v>
      </c>
      <c r="C21">
        <v>3.2000000000000001E-2</v>
      </c>
      <c r="D21">
        <v>2.2599999999999999E-3</v>
      </c>
      <c r="F21">
        <f t="shared" si="1"/>
        <v>304.19</v>
      </c>
      <c r="G21">
        <f t="shared" si="2"/>
        <v>1.01325</v>
      </c>
      <c r="H21">
        <f t="shared" si="3"/>
        <v>3.8289910199358651E-2</v>
      </c>
    </row>
    <row r="22" spans="1:10">
      <c r="A22">
        <f t="shared" ref="A22:A77" si="5">A3</f>
        <v>25</v>
      </c>
      <c r="B22">
        <v>31.04</v>
      </c>
      <c r="C22">
        <v>1.83E-3</v>
      </c>
      <c r="F22">
        <f t="shared" si="1"/>
        <v>304.19</v>
      </c>
      <c r="G22">
        <f t="shared" si="2"/>
        <v>25.331250000000001</v>
      </c>
      <c r="H22">
        <f t="shared" si="3"/>
        <v>2.2717135671828713E-3</v>
      </c>
      <c r="I22" t="str">
        <f t="shared" ref="I22:I39" si="6">IF(D22="","",H22/D22)</f>
        <v/>
      </c>
      <c r="J22" t="str">
        <f t="shared" si="4"/>
        <v/>
      </c>
    </row>
    <row r="23" spans="1:10">
      <c r="A23">
        <f t="shared" si="5"/>
        <v>50</v>
      </c>
      <c r="B23">
        <v>31.04</v>
      </c>
      <c r="C23">
        <v>1.2899999999999999E-3</v>
      </c>
      <c r="D23">
        <v>1.6299999999999999E-3</v>
      </c>
      <c r="F23">
        <f t="shared" si="1"/>
        <v>304.19</v>
      </c>
      <c r="G23">
        <f t="shared" si="2"/>
        <v>50.662500000000001</v>
      </c>
      <c r="H23">
        <f t="shared" si="3"/>
        <v>1.6024460452533395E-3</v>
      </c>
      <c r="I23">
        <f t="shared" si="6"/>
        <v>0.98309573328425737</v>
      </c>
      <c r="J23">
        <f t="shared" si="4"/>
        <v>1.6904266715742633E-2</v>
      </c>
    </row>
    <row r="24" spans="1:10" hidden="1">
      <c r="A24">
        <f t="shared" si="5"/>
        <v>60</v>
      </c>
      <c r="F24">
        <f t="shared" si="1"/>
        <v>273.14999999999998</v>
      </c>
      <c r="G24">
        <f t="shared" si="2"/>
        <v>60.795000000000002</v>
      </c>
      <c r="H24" t="str">
        <f t="shared" si="3"/>
        <v/>
      </c>
      <c r="I24" t="str">
        <f t="shared" si="6"/>
        <v/>
      </c>
      <c r="J24" t="str">
        <f t="shared" si="4"/>
        <v/>
      </c>
    </row>
    <row r="25" spans="1:10" hidden="1">
      <c r="A25">
        <f t="shared" si="5"/>
        <v>75</v>
      </c>
      <c r="F25">
        <f t="shared" si="1"/>
        <v>273.14999999999998</v>
      </c>
      <c r="G25">
        <f t="shared" si="2"/>
        <v>75.993750000000006</v>
      </c>
      <c r="H25" t="str">
        <f t="shared" si="3"/>
        <v/>
      </c>
      <c r="I25" t="str">
        <f t="shared" si="6"/>
        <v/>
      </c>
      <c r="J25" t="str">
        <f t="shared" si="4"/>
        <v/>
      </c>
    </row>
    <row r="26" spans="1:10">
      <c r="A26">
        <f t="shared" si="5"/>
        <v>100</v>
      </c>
      <c r="B26">
        <v>31.04</v>
      </c>
      <c r="C26">
        <v>2.9299999999999999E-3</v>
      </c>
      <c r="D26">
        <v>3.7000000000000002E-3</v>
      </c>
      <c r="F26">
        <f t="shared" si="1"/>
        <v>304.19</v>
      </c>
      <c r="G26">
        <f t="shared" si="2"/>
        <v>101.325</v>
      </c>
      <c r="H26">
        <f t="shared" si="3"/>
        <v>3.6322645577610943E-3</v>
      </c>
      <c r="I26">
        <f t="shared" si="6"/>
        <v>0.98169312371921469</v>
      </c>
      <c r="J26">
        <f t="shared" si="4"/>
        <v>1.8306876280785311E-2</v>
      </c>
    </row>
    <row r="27" spans="1:10" hidden="1">
      <c r="A27">
        <f t="shared" si="5"/>
        <v>110</v>
      </c>
      <c r="F27">
        <f t="shared" si="1"/>
        <v>273.14999999999998</v>
      </c>
      <c r="G27">
        <f t="shared" si="2"/>
        <v>111.4575</v>
      </c>
      <c r="H27" t="str">
        <f t="shared" si="3"/>
        <v/>
      </c>
      <c r="I27" t="str">
        <f t="shared" si="6"/>
        <v/>
      </c>
      <c r="J27" t="str">
        <f t="shared" si="4"/>
        <v/>
      </c>
    </row>
    <row r="28" spans="1:10" hidden="1">
      <c r="A28">
        <f t="shared" si="5"/>
        <v>125</v>
      </c>
      <c r="F28">
        <f t="shared" si="1"/>
        <v>273.14999999999998</v>
      </c>
      <c r="G28">
        <f t="shared" si="2"/>
        <v>126.65625</v>
      </c>
      <c r="H28" t="str">
        <f t="shared" si="3"/>
        <v/>
      </c>
      <c r="I28" t="str">
        <f t="shared" si="6"/>
        <v/>
      </c>
      <c r="J28" t="str">
        <f t="shared" si="4"/>
        <v/>
      </c>
    </row>
    <row r="29" spans="1:10" hidden="1">
      <c r="A29">
        <f t="shared" si="5"/>
        <v>150</v>
      </c>
      <c r="F29">
        <f t="shared" si="1"/>
        <v>273.14999999999998</v>
      </c>
      <c r="G29">
        <f t="shared" si="2"/>
        <v>151.98750000000001</v>
      </c>
      <c r="H29" t="str">
        <f t="shared" si="3"/>
        <v/>
      </c>
      <c r="I29" t="str">
        <f t="shared" si="6"/>
        <v/>
      </c>
      <c r="J29" t="str">
        <f t="shared" si="4"/>
        <v/>
      </c>
    </row>
    <row r="30" spans="1:10">
      <c r="A30">
        <f t="shared" si="5"/>
        <v>200</v>
      </c>
      <c r="B30">
        <v>31.04</v>
      </c>
      <c r="C30">
        <v>3.3800000000000002E-3</v>
      </c>
      <c r="D30">
        <v>4.28E-3</v>
      </c>
      <c r="F30">
        <f t="shared" si="1"/>
        <v>304.19</v>
      </c>
      <c r="G30">
        <f t="shared" si="2"/>
        <v>202.65</v>
      </c>
      <c r="H30">
        <f t="shared" si="3"/>
        <v>4.1877847069445549E-3</v>
      </c>
      <c r="I30">
        <f t="shared" si="6"/>
        <v>0.97845437078143804</v>
      </c>
      <c r="J30">
        <f t="shared" si="4"/>
        <v>2.1545629218561957E-2</v>
      </c>
    </row>
    <row r="31" spans="1:10" hidden="1">
      <c r="A31">
        <f t="shared" si="5"/>
        <v>300</v>
      </c>
      <c r="F31">
        <f t="shared" si="1"/>
        <v>273.14999999999998</v>
      </c>
      <c r="G31">
        <f t="shared" si="2"/>
        <v>303.97500000000002</v>
      </c>
      <c r="H31" t="str">
        <f t="shared" si="3"/>
        <v/>
      </c>
      <c r="I31" t="str">
        <f t="shared" si="6"/>
        <v/>
      </c>
      <c r="J31" t="str">
        <f t="shared" si="4"/>
        <v/>
      </c>
    </row>
    <row r="32" spans="1:10">
      <c r="A32">
        <f t="shared" si="5"/>
        <v>400</v>
      </c>
      <c r="B32">
        <v>31.04</v>
      </c>
      <c r="C32">
        <v>3.8300000000000001E-3</v>
      </c>
      <c r="D32">
        <v>4.8399999999999997E-3</v>
      </c>
      <c r="F32">
        <f t="shared" si="1"/>
        <v>304.19</v>
      </c>
      <c r="G32">
        <f t="shared" si="2"/>
        <v>405.3</v>
      </c>
      <c r="H32">
        <f t="shared" si="3"/>
        <v>4.7426857460121288E-3</v>
      </c>
      <c r="I32">
        <f t="shared" si="6"/>
        <v>0.97989374917605976</v>
      </c>
      <c r="J32">
        <f t="shared" si="4"/>
        <v>2.0106250823940242E-2</v>
      </c>
    </row>
    <row r="33" spans="1:10" hidden="1">
      <c r="A33">
        <f t="shared" si="5"/>
        <v>450</v>
      </c>
      <c r="F33">
        <f t="shared" si="1"/>
        <v>273.14999999999998</v>
      </c>
      <c r="G33">
        <f t="shared" si="2"/>
        <v>455.96249999999998</v>
      </c>
      <c r="H33" t="str">
        <f t="shared" si="3"/>
        <v/>
      </c>
      <c r="I33" t="str">
        <f t="shared" si="6"/>
        <v/>
      </c>
      <c r="J33" t="str">
        <f t="shared" si="4"/>
        <v/>
      </c>
    </row>
    <row r="34" spans="1:10" hidden="1">
      <c r="A34">
        <f t="shared" si="5"/>
        <v>475</v>
      </c>
      <c r="F34">
        <f t="shared" si="1"/>
        <v>273.14999999999998</v>
      </c>
      <c r="G34">
        <f t="shared" si="2"/>
        <v>481.29374999999999</v>
      </c>
      <c r="H34" t="str">
        <f t="shared" si="3"/>
        <v/>
      </c>
      <c r="I34" t="str">
        <f t="shared" si="6"/>
        <v/>
      </c>
      <c r="J34" t="str">
        <f t="shared" si="4"/>
        <v/>
      </c>
    </row>
    <row r="35" spans="1:10">
      <c r="A35">
        <f t="shared" si="5"/>
        <v>500</v>
      </c>
      <c r="B35">
        <v>31.04</v>
      </c>
      <c r="C35">
        <v>3.8600000000000001E-3</v>
      </c>
      <c r="D35">
        <v>4.8900000000000002E-3</v>
      </c>
      <c r="F35">
        <f t="shared" si="1"/>
        <v>304.19</v>
      </c>
      <c r="G35">
        <f t="shared" si="2"/>
        <v>506.625</v>
      </c>
      <c r="H35">
        <f t="shared" si="3"/>
        <v>4.7796571611619185E-3</v>
      </c>
      <c r="I35">
        <f t="shared" si="6"/>
        <v>0.97743500228260083</v>
      </c>
      <c r="J35">
        <f t="shared" si="4"/>
        <v>2.2564997717399171E-2</v>
      </c>
    </row>
    <row r="36" spans="1:10">
      <c r="A36">
        <f t="shared" si="5"/>
        <v>525</v>
      </c>
      <c r="B36">
        <v>31.04</v>
      </c>
      <c r="C36">
        <v>3.82E-3</v>
      </c>
      <c r="F36">
        <f t="shared" si="1"/>
        <v>304.19</v>
      </c>
      <c r="G36">
        <f t="shared" si="2"/>
        <v>531.95624999999995</v>
      </c>
      <c r="H36">
        <f t="shared" si="3"/>
        <v>4.7303613305323478E-3</v>
      </c>
      <c r="I36" t="str">
        <f t="shared" si="6"/>
        <v/>
      </c>
      <c r="J36" t="str">
        <f t="shared" si="4"/>
        <v/>
      </c>
    </row>
    <row r="37" spans="1:10">
      <c r="A37">
        <f t="shared" si="5"/>
        <v>550</v>
      </c>
      <c r="B37">
        <v>31.04</v>
      </c>
      <c r="C37">
        <v>3.8400000000000001E-3</v>
      </c>
      <c r="F37">
        <f t="shared" si="1"/>
        <v>304.19</v>
      </c>
      <c r="G37">
        <f t="shared" si="2"/>
        <v>557.28750000000002</v>
      </c>
      <c r="H37">
        <f t="shared" si="3"/>
        <v>4.7550098562694253E-3</v>
      </c>
      <c r="I37" t="str">
        <f t="shared" si="6"/>
        <v/>
      </c>
      <c r="J37" t="str">
        <f t="shared" si="4"/>
        <v/>
      </c>
    </row>
    <row r="38" spans="1:10" hidden="1">
      <c r="A38">
        <f t="shared" si="5"/>
        <v>600</v>
      </c>
      <c r="F38">
        <f t="shared" si="1"/>
        <v>273.14999999999998</v>
      </c>
      <c r="G38">
        <f t="shared" si="2"/>
        <v>607.95000000000005</v>
      </c>
      <c r="H38" t="str">
        <f t="shared" si="3"/>
        <v/>
      </c>
      <c r="I38" t="str">
        <f t="shared" si="6"/>
        <v/>
      </c>
      <c r="J38" t="str">
        <f t="shared" si="4"/>
        <v/>
      </c>
    </row>
    <row r="39" spans="1:10" hidden="1">
      <c r="A39">
        <f t="shared" si="5"/>
        <v>700</v>
      </c>
      <c r="F39">
        <f t="shared" si="1"/>
        <v>273.14999999999998</v>
      </c>
      <c r="G39">
        <f t="shared" si="2"/>
        <v>709.27499999999998</v>
      </c>
      <c r="H39" t="str">
        <f t="shared" si="3"/>
        <v/>
      </c>
      <c r="I39" t="str">
        <f t="shared" si="6"/>
        <v/>
      </c>
      <c r="J39" t="str">
        <f t="shared" si="4"/>
        <v/>
      </c>
    </row>
    <row r="40" spans="1:10">
      <c r="A40">
        <f t="shared" si="5"/>
        <v>1</v>
      </c>
      <c r="B40">
        <v>50</v>
      </c>
      <c r="C40">
        <v>9.2999999999999999E-2</v>
      </c>
      <c r="D40">
        <v>6.1500000000000001E-3</v>
      </c>
      <c r="F40">
        <f t="shared" si="1"/>
        <v>323.14999999999998</v>
      </c>
      <c r="G40">
        <f t="shared" si="2"/>
        <v>1.01325</v>
      </c>
      <c r="H40">
        <f t="shared" si="3"/>
        <v>0.10371022736541179</v>
      </c>
    </row>
    <row r="41" spans="1:10">
      <c r="A41">
        <f t="shared" si="5"/>
        <v>25</v>
      </c>
      <c r="B41">
        <v>50</v>
      </c>
      <c r="C41">
        <v>4.9800000000000001E-3</v>
      </c>
      <c r="F41">
        <f t="shared" si="1"/>
        <v>323.14999999999998</v>
      </c>
      <c r="G41">
        <f t="shared" si="2"/>
        <v>25.331250000000001</v>
      </c>
      <c r="H41">
        <f t="shared" si="3"/>
        <v>6.1579605620342114E-3</v>
      </c>
      <c r="I41" t="str">
        <f t="shared" ref="I41:I66" si="7">IF(D41="","",H41/D41)</f>
        <v/>
      </c>
      <c r="J41" t="str">
        <f t="shared" si="4"/>
        <v/>
      </c>
    </row>
    <row r="42" spans="1:10">
      <c r="A42">
        <f t="shared" si="5"/>
        <v>50</v>
      </c>
      <c r="B42">
        <v>50</v>
      </c>
      <c r="C42">
        <v>3.0799999999999998E-3</v>
      </c>
      <c r="D42">
        <v>3.8500000000000001E-3</v>
      </c>
      <c r="F42">
        <f t="shared" si="1"/>
        <v>323.14999999999998</v>
      </c>
      <c r="G42">
        <f t="shared" si="2"/>
        <v>50.662500000000001</v>
      </c>
      <c r="H42">
        <f t="shared" si="3"/>
        <v>3.8175067947814733E-3</v>
      </c>
      <c r="I42">
        <f t="shared" si="7"/>
        <v>0.99156020643674625</v>
      </c>
      <c r="J42">
        <f t="shared" si="4"/>
        <v>8.4397935632537502E-3</v>
      </c>
    </row>
    <row r="43" spans="1:10">
      <c r="A43">
        <f t="shared" si="5"/>
        <v>60</v>
      </c>
      <c r="B43">
        <v>50</v>
      </c>
      <c r="C43">
        <v>2.8700000000000002E-3</v>
      </c>
      <c r="F43">
        <f t="shared" si="1"/>
        <v>323.14999999999998</v>
      </c>
      <c r="G43">
        <f t="shared" si="2"/>
        <v>60.795000000000002</v>
      </c>
      <c r="H43">
        <f t="shared" si="3"/>
        <v>3.5581483716544847E-3</v>
      </c>
      <c r="I43" t="str">
        <f t="shared" si="7"/>
        <v/>
      </c>
      <c r="J43" t="str">
        <f t="shared" si="4"/>
        <v/>
      </c>
    </row>
    <row r="44" spans="1:10">
      <c r="A44">
        <f t="shared" si="5"/>
        <v>75</v>
      </c>
      <c r="B44">
        <v>50</v>
      </c>
      <c r="C44">
        <v>2.81E-3</v>
      </c>
      <c r="F44">
        <f t="shared" si="1"/>
        <v>323.14999999999998</v>
      </c>
      <c r="G44">
        <f t="shared" si="2"/>
        <v>75.993750000000006</v>
      </c>
      <c r="H44">
        <f t="shared" si="3"/>
        <v>3.4840211582584544E-3</v>
      </c>
      <c r="I44" t="str">
        <f t="shared" si="7"/>
        <v/>
      </c>
      <c r="J44" t="str">
        <f t="shared" si="4"/>
        <v/>
      </c>
    </row>
    <row r="45" spans="1:10">
      <c r="A45">
        <f t="shared" si="5"/>
        <v>100</v>
      </c>
      <c r="B45">
        <v>50</v>
      </c>
      <c r="C45">
        <v>3.6099999999999999E-3</v>
      </c>
      <c r="D45">
        <v>4.4900000000000001E-3</v>
      </c>
      <c r="F45">
        <f t="shared" si="1"/>
        <v>323.14999999999998</v>
      </c>
      <c r="G45">
        <f t="shared" si="2"/>
        <v>101.325</v>
      </c>
      <c r="H45">
        <f t="shared" si="3"/>
        <v>4.4714780789766361E-3</v>
      </c>
      <c r="I45">
        <f t="shared" si="7"/>
        <v>0.99587485055158931</v>
      </c>
      <c r="J45">
        <f t="shared" si="4"/>
        <v>4.1251494484106921E-3</v>
      </c>
    </row>
    <row r="46" spans="1:10" hidden="1">
      <c r="A46">
        <f t="shared" si="5"/>
        <v>110</v>
      </c>
      <c r="F46">
        <f t="shared" si="1"/>
        <v>273.14999999999998</v>
      </c>
      <c r="G46">
        <f t="shared" si="2"/>
        <v>111.4575</v>
      </c>
      <c r="H46" t="str">
        <f t="shared" si="3"/>
        <v/>
      </c>
      <c r="I46" t="str">
        <f t="shared" si="7"/>
        <v/>
      </c>
      <c r="J46" t="str">
        <f t="shared" si="4"/>
        <v/>
      </c>
    </row>
    <row r="47" spans="1:10" hidden="1">
      <c r="A47">
        <f t="shared" si="5"/>
        <v>125</v>
      </c>
      <c r="F47">
        <f t="shared" si="1"/>
        <v>273.14999999999998</v>
      </c>
      <c r="G47">
        <f t="shared" si="2"/>
        <v>126.65625</v>
      </c>
      <c r="H47" t="str">
        <f t="shared" si="3"/>
        <v/>
      </c>
      <c r="I47" t="str">
        <f t="shared" si="7"/>
        <v/>
      </c>
      <c r="J47" t="str">
        <f t="shared" si="4"/>
        <v/>
      </c>
    </row>
    <row r="48" spans="1:10">
      <c r="A48">
        <f t="shared" si="5"/>
        <v>150</v>
      </c>
      <c r="B48">
        <v>50</v>
      </c>
      <c r="C48">
        <v>4.8999999999999998E-3</v>
      </c>
      <c r="F48">
        <f t="shared" si="1"/>
        <v>323.14999999999998</v>
      </c>
      <c r="G48">
        <f t="shared" si="2"/>
        <v>151.98750000000001</v>
      </c>
      <c r="H48">
        <f t="shared" si="3"/>
        <v>6.0596369386326709E-3</v>
      </c>
      <c r="I48" t="str">
        <f t="shared" si="7"/>
        <v/>
      </c>
      <c r="J48" t="str">
        <f t="shared" si="4"/>
        <v/>
      </c>
    </row>
    <row r="49" spans="1:10">
      <c r="A49">
        <f t="shared" si="5"/>
        <v>200</v>
      </c>
      <c r="B49">
        <v>50</v>
      </c>
      <c r="C49">
        <v>5.4400000000000004E-3</v>
      </c>
      <c r="D49">
        <v>6.8599999999999998E-3</v>
      </c>
      <c r="F49">
        <f t="shared" si="1"/>
        <v>323.14999999999998</v>
      </c>
      <c r="G49">
        <f t="shared" si="2"/>
        <v>202.65</v>
      </c>
      <c r="H49">
        <f t="shared" si="3"/>
        <v>6.7229441024357567E-3</v>
      </c>
      <c r="I49">
        <f t="shared" si="7"/>
        <v>0.98002100618597043</v>
      </c>
      <c r="J49">
        <f t="shared" si="4"/>
        <v>1.9978993814029566E-2</v>
      </c>
    </row>
    <row r="50" spans="1:10" hidden="1">
      <c r="A50">
        <f t="shared" si="5"/>
        <v>300</v>
      </c>
      <c r="F50">
        <f t="shared" si="1"/>
        <v>273.14999999999998</v>
      </c>
      <c r="G50">
        <f t="shared" si="2"/>
        <v>303.97500000000002</v>
      </c>
      <c r="H50" t="str">
        <f t="shared" si="3"/>
        <v/>
      </c>
      <c r="I50" t="str">
        <f t="shared" si="7"/>
        <v/>
      </c>
      <c r="J50" t="str">
        <f t="shared" si="4"/>
        <v/>
      </c>
    </row>
    <row r="51" spans="1:10">
      <c r="A51">
        <f t="shared" si="5"/>
        <v>400</v>
      </c>
      <c r="B51">
        <v>50</v>
      </c>
      <c r="C51">
        <v>6.1000000000000004E-3</v>
      </c>
      <c r="D51">
        <v>7.7000000000000002E-3</v>
      </c>
      <c r="F51">
        <f t="shared" si="1"/>
        <v>323.14999999999998</v>
      </c>
      <c r="G51">
        <f t="shared" si="2"/>
        <v>405.3</v>
      </c>
      <c r="H51">
        <f t="shared" si="3"/>
        <v>7.5324515550289212E-3</v>
      </c>
      <c r="I51">
        <f t="shared" si="7"/>
        <v>0.97824046169206769</v>
      </c>
      <c r="J51">
        <f t="shared" si="4"/>
        <v>2.1759538307932313E-2</v>
      </c>
    </row>
    <row r="52" spans="1:10" hidden="1">
      <c r="A52">
        <f t="shared" si="5"/>
        <v>450</v>
      </c>
      <c r="F52">
        <f t="shared" si="1"/>
        <v>273.14999999999998</v>
      </c>
      <c r="G52">
        <f t="shared" si="2"/>
        <v>455.96249999999998</v>
      </c>
      <c r="H52" t="str">
        <f t="shared" si="3"/>
        <v/>
      </c>
      <c r="I52" t="str">
        <f t="shared" si="7"/>
        <v/>
      </c>
      <c r="J52" t="str">
        <f t="shared" si="4"/>
        <v/>
      </c>
    </row>
    <row r="53" spans="1:10" hidden="1">
      <c r="A53">
        <f t="shared" si="5"/>
        <v>475</v>
      </c>
      <c r="F53">
        <f t="shared" si="1"/>
        <v>273.14999999999998</v>
      </c>
      <c r="G53">
        <f t="shared" si="2"/>
        <v>481.29374999999999</v>
      </c>
      <c r="H53" t="str">
        <f t="shared" si="3"/>
        <v/>
      </c>
      <c r="I53" t="str">
        <f t="shared" si="7"/>
        <v/>
      </c>
      <c r="J53" t="str">
        <f t="shared" si="4"/>
        <v/>
      </c>
    </row>
    <row r="54" spans="1:10" hidden="1">
      <c r="A54">
        <f t="shared" si="5"/>
        <v>500</v>
      </c>
      <c r="F54">
        <f t="shared" si="1"/>
        <v>273.14999999999998</v>
      </c>
      <c r="G54">
        <f t="shared" si="2"/>
        <v>506.625</v>
      </c>
      <c r="H54" t="str">
        <f t="shared" si="3"/>
        <v/>
      </c>
      <c r="I54" t="str">
        <f t="shared" si="7"/>
        <v/>
      </c>
      <c r="J54" t="str">
        <f t="shared" si="4"/>
        <v/>
      </c>
    </row>
    <row r="55" spans="1:10" hidden="1">
      <c r="A55">
        <f t="shared" si="5"/>
        <v>525</v>
      </c>
      <c r="F55">
        <f t="shared" si="1"/>
        <v>273.14999999999998</v>
      </c>
      <c r="G55">
        <f t="shared" si="2"/>
        <v>531.95624999999995</v>
      </c>
      <c r="H55" t="str">
        <f t="shared" si="3"/>
        <v/>
      </c>
      <c r="I55" t="str">
        <f t="shared" si="7"/>
        <v/>
      </c>
      <c r="J55" t="str">
        <f t="shared" si="4"/>
        <v/>
      </c>
    </row>
    <row r="56" spans="1:10" hidden="1">
      <c r="A56">
        <f t="shared" si="5"/>
        <v>550</v>
      </c>
      <c r="F56">
        <f t="shared" si="1"/>
        <v>273.14999999999998</v>
      </c>
      <c r="G56">
        <f t="shared" si="2"/>
        <v>557.28750000000002</v>
      </c>
      <c r="H56" t="str">
        <f t="shared" si="3"/>
        <v/>
      </c>
      <c r="I56" t="str">
        <f t="shared" si="7"/>
        <v/>
      </c>
      <c r="J56" t="str">
        <f t="shared" si="4"/>
        <v/>
      </c>
    </row>
    <row r="57" spans="1:10">
      <c r="A57">
        <f t="shared" si="5"/>
        <v>600</v>
      </c>
      <c r="B57">
        <v>50</v>
      </c>
      <c r="C57">
        <v>6.3699999999999998E-3</v>
      </c>
      <c r="D57">
        <v>8.0300000000000007E-3</v>
      </c>
      <c r="F57">
        <f t="shared" si="1"/>
        <v>323.14999999999998</v>
      </c>
      <c r="G57">
        <f t="shared" si="2"/>
        <v>607.95000000000005</v>
      </c>
      <c r="H57">
        <f t="shared" si="3"/>
        <v>7.8632335181373914E-3</v>
      </c>
      <c r="I57">
        <f t="shared" si="7"/>
        <v>0.97923206950652442</v>
      </c>
      <c r="J57">
        <f t="shared" si="4"/>
        <v>2.0767930493475584E-2</v>
      </c>
    </row>
    <row r="58" spans="1:10">
      <c r="A58">
        <f t="shared" si="5"/>
        <v>700</v>
      </c>
      <c r="B58">
        <v>50</v>
      </c>
      <c r="C58">
        <v>6.4400000000000004E-3</v>
      </c>
      <c r="D58">
        <v>8.1399999999999997E-3</v>
      </c>
      <c r="F58">
        <f t="shared" si="1"/>
        <v>323.14999999999998</v>
      </c>
      <c r="G58">
        <f t="shared" si="2"/>
        <v>709.27499999999998</v>
      </c>
      <c r="H58">
        <f t="shared" si="3"/>
        <v>7.9489558150861624E-3</v>
      </c>
      <c r="I58">
        <f t="shared" si="7"/>
        <v>0.9765301984135335</v>
      </c>
      <c r="J58">
        <f t="shared" si="4"/>
        <v>2.3469801586466499E-2</v>
      </c>
    </row>
    <row r="59" spans="1:10">
      <c r="A59">
        <f t="shared" si="5"/>
        <v>1</v>
      </c>
      <c r="B59">
        <v>75</v>
      </c>
      <c r="C59">
        <v>0.24199999999999999</v>
      </c>
      <c r="F59">
        <f t="shared" si="1"/>
        <v>348.15</v>
      </c>
      <c r="G59">
        <f t="shared" si="2"/>
        <v>1.01325</v>
      </c>
      <c r="H59">
        <f t="shared" si="3"/>
        <v>0.23141744147474388</v>
      </c>
      <c r="I59" t="str">
        <f t="shared" si="7"/>
        <v/>
      </c>
      <c r="J59" t="str">
        <f t="shared" si="4"/>
        <v/>
      </c>
    </row>
    <row r="60" spans="1:10">
      <c r="A60">
        <f t="shared" si="5"/>
        <v>25</v>
      </c>
      <c r="B60">
        <v>75</v>
      </c>
      <c r="C60">
        <v>8.5500000000000003E-3</v>
      </c>
      <c r="F60">
        <f t="shared" si="1"/>
        <v>348.15</v>
      </c>
      <c r="G60">
        <f t="shared" si="2"/>
        <v>25.331250000000001</v>
      </c>
      <c r="H60">
        <f t="shared" si="3"/>
        <v>1.0525936039743453E-2</v>
      </c>
      <c r="I60" t="str">
        <f t="shared" si="7"/>
        <v/>
      </c>
      <c r="J60" t="str">
        <f t="shared" si="4"/>
        <v/>
      </c>
    </row>
    <row r="61" spans="1:10" hidden="1">
      <c r="A61">
        <f t="shared" si="5"/>
        <v>50</v>
      </c>
      <c r="F61">
        <f t="shared" si="1"/>
        <v>273.14999999999998</v>
      </c>
      <c r="G61">
        <f t="shared" si="2"/>
        <v>50.662500000000001</v>
      </c>
      <c r="H61" t="str">
        <f t="shared" si="3"/>
        <v/>
      </c>
      <c r="I61" t="str">
        <f t="shared" si="7"/>
        <v/>
      </c>
      <c r="J61" t="str">
        <f t="shared" si="4"/>
        <v/>
      </c>
    </row>
    <row r="62" spans="1:10" hidden="1">
      <c r="A62">
        <f t="shared" si="5"/>
        <v>60</v>
      </c>
      <c r="F62">
        <f t="shared" si="1"/>
        <v>273.14999999999998</v>
      </c>
      <c r="G62">
        <f t="shared" si="2"/>
        <v>60.795000000000002</v>
      </c>
      <c r="H62" t="str">
        <f t="shared" si="3"/>
        <v/>
      </c>
      <c r="I62" t="str">
        <f t="shared" si="7"/>
        <v/>
      </c>
      <c r="J62" t="str">
        <f t="shared" si="4"/>
        <v/>
      </c>
    </row>
    <row r="63" spans="1:10" hidden="1">
      <c r="A63">
        <f t="shared" si="5"/>
        <v>75</v>
      </c>
      <c r="F63">
        <f t="shared" si="1"/>
        <v>273.14999999999998</v>
      </c>
      <c r="G63">
        <f t="shared" si="2"/>
        <v>75.993750000000006</v>
      </c>
      <c r="H63" t="str">
        <f t="shared" si="3"/>
        <v/>
      </c>
      <c r="I63" t="str">
        <f t="shared" si="7"/>
        <v/>
      </c>
      <c r="J63" t="str">
        <f t="shared" si="4"/>
        <v/>
      </c>
    </row>
    <row r="64" spans="1:10">
      <c r="A64">
        <f t="shared" si="5"/>
        <v>100</v>
      </c>
      <c r="B64">
        <v>75</v>
      </c>
      <c r="C64">
        <v>6.6600000000000001E-3</v>
      </c>
      <c r="D64">
        <v>8.3400000000000002E-3</v>
      </c>
      <c r="F64">
        <f t="shared" si="1"/>
        <v>348.15</v>
      </c>
      <c r="G64">
        <f t="shared" si="2"/>
        <v>101.325</v>
      </c>
      <c r="H64">
        <f t="shared" si="3"/>
        <v>8.2182723382082969E-3</v>
      </c>
      <c r="I64">
        <f t="shared" si="7"/>
        <v>0.98540435709931617</v>
      </c>
      <c r="J64">
        <f t="shared" si="4"/>
        <v>1.4595642900683825E-2</v>
      </c>
    </row>
    <row r="65" spans="1:10">
      <c r="A65">
        <f t="shared" si="5"/>
        <v>110</v>
      </c>
      <c r="B65">
        <v>75</v>
      </c>
      <c r="C65">
        <v>6.5199999999999998E-3</v>
      </c>
      <c r="F65">
        <f t="shared" si="1"/>
        <v>348.15</v>
      </c>
      <c r="G65">
        <f t="shared" si="2"/>
        <v>111.4575</v>
      </c>
      <c r="H65">
        <f t="shared" si="3"/>
        <v>8.0469060177532775E-3</v>
      </c>
      <c r="I65" t="str">
        <f t="shared" si="7"/>
        <v/>
      </c>
      <c r="J65" t="str">
        <f t="shared" si="4"/>
        <v/>
      </c>
    </row>
    <row r="66" spans="1:10">
      <c r="A66">
        <f t="shared" si="5"/>
        <v>125</v>
      </c>
      <c r="B66">
        <v>75</v>
      </c>
      <c r="C66">
        <v>6.8700000000000002E-3</v>
      </c>
      <c r="F66">
        <f t="shared" si="1"/>
        <v>348.15</v>
      </c>
      <c r="G66">
        <f t="shared" si="2"/>
        <v>126.65625</v>
      </c>
      <c r="H66">
        <f t="shared" si="3"/>
        <v>8.4752108302460043E-3</v>
      </c>
      <c r="I66" t="str">
        <f t="shared" si="7"/>
        <v/>
      </c>
      <c r="J66" t="str">
        <f t="shared" si="4"/>
        <v/>
      </c>
    </row>
    <row r="67" spans="1:10">
      <c r="A67">
        <f t="shared" si="5"/>
        <v>150</v>
      </c>
      <c r="B67">
        <v>75</v>
      </c>
      <c r="C67">
        <v>7.6800000000000002E-3</v>
      </c>
      <c r="F67">
        <f t="shared" ref="F67:F77" si="8">B67 + 273.15</f>
        <v>348.15</v>
      </c>
      <c r="G67">
        <f t="shared" ref="G67:G77" si="9">A67*1.01325</f>
        <v>151.98750000000001</v>
      </c>
      <c r="H67">
        <f t="shared" ref="H67:H77" si="10">IF(C67="","",1.2442*C67/(1+1.2442*C67))</f>
        <v>9.4650134801510105E-3</v>
      </c>
      <c r="I67" t="str">
        <f t="shared" ref="I67:I77" si="11">IF(D67="","",H67/D67)</f>
        <v/>
      </c>
      <c r="J67" t="str">
        <f t="shared" ref="J67:J77" si="12">IF(I67="","",1-I67)</f>
        <v/>
      </c>
    </row>
    <row r="68" spans="1:10">
      <c r="A68">
        <f t="shared" si="5"/>
        <v>200</v>
      </c>
      <c r="B68">
        <v>75</v>
      </c>
      <c r="C68">
        <v>9.1000000000000004E-3</v>
      </c>
      <c r="D68">
        <v>1.1299999999999999E-2</v>
      </c>
      <c r="F68">
        <f t="shared" si="8"/>
        <v>348.15</v>
      </c>
      <c r="G68">
        <f t="shared" si="9"/>
        <v>202.65</v>
      </c>
      <c r="H68">
        <f t="shared" si="10"/>
        <v>1.1195462510454878E-2</v>
      </c>
      <c r="I68">
        <f t="shared" si="11"/>
        <v>0.99074889473052019</v>
      </c>
      <c r="J68">
        <f t="shared" si="12"/>
        <v>9.251105269479809E-3</v>
      </c>
    </row>
    <row r="69" spans="1:10" hidden="1">
      <c r="A69">
        <f t="shared" si="5"/>
        <v>300</v>
      </c>
      <c r="F69">
        <f t="shared" si="8"/>
        <v>273.14999999999998</v>
      </c>
      <c r="G69">
        <f t="shared" si="9"/>
        <v>303.97500000000002</v>
      </c>
      <c r="H69" t="str">
        <f t="shared" si="10"/>
        <v/>
      </c>
      <c r="I69" t="str">
        <f t="shared" si="11"/>
        <v/>
      </c>
      <c r="J69" t="str">
        <f t="shared" si="12"/>
        <v/>
      </c>
    </row>
    <row r="70" spans="1:10">
      <c r="A70">
        <f t="shared" si="5"/>
        <v>400</v>
      </c>
      <c r="B70">
        <v>75</v>
      </c>
      <c r="C70">
        <v>1.06E-2</v>
      </c>
      <c r="D70">
        <v>1.32E-2</v>
      </c>
      <c r="F70">
        <f t="shared" si="8"/>
        <v>348.15</v>
      </c>
      <c r="G70">
        <f t="shared" si="9"/>
        <v>405.3</v>
      </c>
      <c r="H70">
        <f t="shared" si="10"/>
        <v>1.3016847052313622E-2</v>
      </c>
      <c r="I70">
        <f t="shared" si="11"/>
        <v>0.98612477669042586</v>
      </c>
      <c r="J70">
        <f t="shared" si="12"/>
        <v>1.3875223309574136E-2</v>
      </c>
    </row>
    <row r="71" spans="1:10" hidden="1">
      <c r="A71">
        <f t="shared" si="5"/>
        <v>450</v>
      </c>
      <c r="F71">
        <f t="shared" si="8"/>
        <v>273.14999999999998</v>
      </c>
      <c r="G71">
        <f t="shared" si="9"/>
        <v>455.96249999999998</v>
      </c>
      <c r="H71" t="str">
        <f t="shared" si="10"/>
        <v/>
      </c>
      <c r="I71" t="str">
        <f t="shared" si="11"/>
        <v/>
      </c>
      <c r="J71" t="str">
        <f t="shared" si="12"/>
        <v/>
      </c>
    </row>
    <row r="72" spans="1:10" hidden="1">
      <c r="A72">
        <f t="shared" si="5"/>
        <v>475</v>
      </c>
      <c r="F72">
        <f t="shared" si="8"/>
        <v>273.14999999999998</v>
      </c>
      <c r="G72">
        <f t="shared" si="9"/>
        <v>481.29374999999999</v>
      </c>
      <c r="H72" t="str">
        <f t="shared" si="10"/>
        <v/>
      </c>
      <c r="I72" t="str">
        <f t="shared" si="11"/>
        <v/>
      </c>
      <c r="J72" t="str">
        <f t="shared" si="12"/>
        <v/>
      </c>
    </row>
    <row r="73" spans="1:10" hidden="1">
      <c r="A73">
        <f t="shared" si="5"/>
        <v>500</v>
      </c>
      <c r="F73">
        <f t="shared" si="8"/>
        <v>273.14999999999998</v>
      </c>
      <c r="G73">
        <f t="shared" si="9"/>
        <v>506.625</v>
      </c>
      <c r="H73" t="str">
        <f t="shared" si="10"/>
        <v/>
      </c>
      <c r="I73" t="str">
        <f t="shared" si="11"/>
        <v/>
      </c>
      <c r="J73" t="str">
        <f t="shared" si="12"/>
        <v/>
      </c>
    </row>
    <row r="74" spans="1:10" hidden="1">
      <c r="A74">
        <f t="shared" si="5"/>
        <v>525</v>
      </c>
      <c r="F74">
        <f t="shared" si="8"/>
        <v>273.14999999999998</v>
      </c>
      <c r="G74">
        <f t="shared" si="9"/>
        <v>531.95624999999995</v>
      </c>
      <c r="H74" t="str">
        <f t="shared" si="10"/>
        <v/>
      </c>
      <c r="I74" t="str">
        <f t="shared" si="11"/>
        <v/>
      </c>
      <c r="J74" t="str">
        <f t="shared" si="12"/>
        <v/>
      </c>
    </row>
    <row r="75" spans="1:10" hidden="1">
      <c r="A75">
        <f t="shared" si="5"/>
        <v>550</v>
      </c>
      <c r="F75">
        <f t="shared" si="8"/>
        <v>273.14999999999998</v>
      </c>
      <c r="G75">
        <f t="shared" si="9"/>
        <v>557.28750000000002</v>
      </c>
      <c r="H75" t="str">
        <f t="shared" si="10"/>
        <v/>
      </c>
      <c r="I75" t="str">
        <f t="shared" si="11"/>
        <v/>
      </c>
      <c r="J75" t="str">
        <f t="shared" si="12"/>
        <v/>
      </c>
    </row>
    <row r="76" spans="1:10">
      <c r="A76">
        <f t="shared" si="5"/>
        <v>600</v>
      </c>
      <c r="B76">
        <v>75</v>
      </c>
      <c r="C76">
        <v>1.12E-2</v>
      </c>
      <c r="D76">
        <v>1.41E-2</v>
      </c>
      <c r="F76">
        <f t="shared" si="8"/>
        <v>348.15</v>
      </c>
      <c r="G76">
        <f t="shared" si="9"/>
        <v>607.95000000000005</v>
      </c>
      <c r="H76">
        <f t="shared" si="10"/>
        <v>1.3743523450969797E-2</v>
      </c>
      <c r="I76">
        <f t="shared" si="11"/>
        <v>0.97471797524608494</v>
      </c>
      <c r="J76">
        <f t="shared" si="12"/>
        <v>2.5282024753915056E-2</v>
      </c>
    </row>
    <row r="77" spans="1:10">
      <c r="A77">
        <f t="shared" si="5"/>
        <v>700</v>
      </c>
      <c r="B77">
        <v>75</v>
      </c>
      <c r="C77">
        <v>1.125E-2</v>
      </c>
      <c r="D77">
        <v>1.41E-2</v>
      </c>
      <c r="F77">
        <f t="shared" si="8"/>
        <v>348.15</v>
      </c>
      <c r="G77">
        <f t="shared" si="9"/>
        <v>709.27499999999998</v>
      </c>
      <c r="H77">
        <f t="shared" si="10"/>
        <v>1.3804031519809346E-2</v>
      </c>
      <c r="I77">
        <f t="shared" si="11"/>
        <v>0.97900932764605297</v>
      </c>
      <c r="J77">
        <f t="shared" si="12"/>
        <v>2.0990672353947026E-2</v>
      </c>
    </row>
  </sheetData>
  <autoFilter ref="A1:J77" xr:uid="{E1022456-BE61-41BE-AFED-67C2A6D46B52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1875-7FCA-40FF-A530-AE74CBAD8791}">
  <dimension ref="A1:J145"/>
  <sheetViews>
    <sheetView topLeftCell="A114" workbookViewId="0">
      <selection activeCell="F145" sqref="F145"/>
    </sheetView>
  </sheetViews>
  <sheetFormatPr defaultRowHeight="14.5"/>
  <cols>
    <col min="3" max="3" width="9.81640625" bestFit="1" customWidth="1"/>
  </cols>
  <sheetData>
    <row r="1" spans="1:10">
      <c r="A1" t="s">
        <v>49</v>
      </c>
      <c r="B1" t="s">
        <v>50</v>
      </c>
      <c r="C1" t="s">
        <v>46</v>
      </c>
      <c r="D1" t="s">
        <v>51</v>
      </c>
      <c r="F1" t="s">
        <v>2</v>
      </c>
      <c r="G1" t="s">
        <v>52</v>
      </c>
      <c r="H1" t="s">
        <v>53</v>
      </c>
      <c r="J1" t="s">
        <v>46</v>
      </c>
    </row>
    <row r="2" spans="1:10">
      <c r="A2">
        <v>101</v>
      </c>
      <c r="B2">
        <v>615</v>
      </c>
      <c r="C2">
        <v>2.8199999999999999E-2</v>
      </c>
      <c r="D2">
        <v>0</v>
      </c>
      <c r="F2">
        <f>A2+273.15</f>
        <v>374.15</v>
      </c>
      <c r="G2">
        <f>1.01325*B2</f>
        <v>623.14874999999995</v>
      </c>
      <c r="H2">
        <f t="shared" ref="H2:H39" si="0">(1000 * D2) / (110.98 * (100 - D2))</f>
        <v>0</v>
      </c>
      <c r="J2">
        <f>C2</f>
        <v>2.8199999999999999E-2</v>
      </c>
    </row>
    <row r="3" spans="1:10">
      <c r="A3">
        <v>101</v>
      </c>
      <c r="B3">
        <v>558</v>
      </c>
      <c r="C3">
        <v>2.7799999999999998E-2</v>
      </c>
      <c r="D3">
        <v>0</v>
      </c>
      <c r="F3">
        <f t="shared" ref="F3:F66" si="1">A3+273.15</f>
        <v>374.15</v>
      </c>
      <c r="G3">
        <f t="shared" ref="G3:G66" si="2">1.01325*B3</f>
        <v>565.39350000000002</v>
      </c>
      <c r="H3">
        <f t="shared" si="0"/>
        <v>0</v>
      </c>
      <c r="J3">
        <f t="shared" ref="J3:J66" si="3">C3</f>
        <v>2.7799999999999998E-2</v>
      </c>
    </row>
    <row r="4" spans="1:10">
      <c r="A4">
        <v>101</v>
      </c>
      <c r="B4">
        <v>518</v>
      </c>
      <c r="C4">
        <v>2.6599999999999999E-2</v>
      </c>
      <c r="D4">
        <v>0</v>
      </c>
      <c r="F4">
        <f t="shared" si="1"/>
        <v>374.15</v>
      </c>
      <c r="G4">
        <f t="shared" si="2"/>
        <v>524.86350000000004</v>
      </c>
      <c r="H4">
        <f t="shared" si="0"/>
        <v>0</v>
      </c>
      <c r="J4">
        <f t="shared" si="3"/>
        <v>2.6599999999999999E-2</v>
      </c>
    </row>
    <row r="5" spans="1:10">
      <c r="A5">
        <v>101</v>
      </c>
      <c r="B5">
        <v>452</v>
      </c>
      <c r="C5">
        <v>2.5100000000000001E-2</v>
      </c>
      <c r="D5">
        <v>0</v>
      </c>
      <c r="F5">
        <f t="shared" si="1"/>
        <v>374.15</v>
      </c>
      <c r="G5">
        <f t="shared" si="2"/>
        <v>457.98899999999998</v>
      </c>
      <c r="H5">
        <f t="shared" si="0"/>
        <v>0</v>
      </c>
      <c r="J5">
        <f t="shared" si="3"/>
        <v>2.5100000000000001E-2</v>
      </c>
    </row>
    <row r="6" spans="1:10">
      <c r="A6">
        <v>101</v>
      </c>
      <c r="B6">
        <v>443</v>
      </c>
      <c r="C6">
        <v>2.53E-2</v>
      </c>
      <c r="D6">
        <v>0</v>
      </c>
      <c r="F6">
        <f t="shared" si="1"/>
        <v>374.15</v>
      </c>
      <c r="G6">
        <f t="shared" si="2"/>
        <v>448.86975000000001</v>
      </c>
      <c r="H6">
        <f t="shared" si="0"/>
        <v>0</v>
      </c>
      <c r="J6">
        <f t="shared" si="3"/>
        <v>2.53E-2</v>
      </c>
    </row>
    <row r="7" spans="1:10">
      <c r="A7">
        <v>101</v>
      </c>
      <c r="B7">
        <v>325</v>
      </c>
      <c r="C7">
        <v>2.3099999999999999E-2</v>
      </c>
      <c r="D7">
        <v>0</v>
      </c>
      <c r="F7">
        <f t="shared" si="1"/>
        <v>374.15</v>
      </c>
      <c r="G7">
        <f t="shared" si="2"/>
        <v>329.30624999999998</v>
      </c>
      <c r="H7">
        <f t="shared" si="0"/>
        <v>0</v>
      </c>
      <c r="J7">
        <f t="shared" si="3"/>
        <v>2.3099999999999999E-2</v>
      </c>
    </row>
    <row r="8" spans="1:10">
      <c r="A8">
        <v>101</v>
      </c>
      <c r="B8">
        <v>320</v>
      </c>
      <c r="C8">
        <v>2.3300000000000001E-2</v>
      </c>
      <c r="D8">
        <v>0</v>
      </c>
      <c r="F8">
        <f t="shared" si="1"/>
        <v>374.15</v>
      </c>
      <c r="G8">
        <f t="shared" si="2"/>
        <v>324.24</v>
      </c>
      <c r="H8">
        <f t="shared" si="0"/>
        <v>0</v>
      </c>
      <c r="J8">
        <f t="shared" si="3"/>
        <v>2.3300000000000001E-2</v>
      </c>
    </row>
    <row r="9" spans="1:10">
      <c r="A9">
        <v>101</v>
      </c>
      <c r="B9">
        <v>200</v>
      </c>
      <c r="C9">
        <v>2.2100000000000002E-2</v>
      </c>
      <c r="D9">
        <v>0</v>
      </c>
      <c r="F9">
        <f t="shared" si="1"/>
        <v>374.15</v>
      </c>
      <c r="G9">
        <f t="shared" si="2"/>
        <v>202.65</v>
      </c>
      <c r="H9">
        <f t="shared" si="0"/>
        <v>0</v>
      </c>
      <c r="J9">
        <f t="shared" si="3"/>
        <v>2.2100000000000002E-2</v>
      </c>
    </row>
    <row r="10" spans="1:10">
      <c r="A10">
        <v>101</v>
      </c>
      <c r="B10">
        <v>283</v>
      </c>
      <c r="C10">
        <v>2.23E-2</v>
      </c>
      <c r="D10">
        <v>0</v>
      </c>
      <c r="F10">
        <f t="shared" si="1"/>
        <v>374.15</v>
      </c>
      <c r="G10">
        <f t="shared" si="2"/>
        <v>286.74975000000001</v>
      </c>
      <c r="H10">
        <f t="shared" si="0"/>
        <v>0</v>
      </c>
      <c r="J10">
        <f t="shared" si="3"/>
        <v>2.23E-2</v>
      </c>
    </row>
    <row r="11" spans="1:10">
      <c r="A11">
        <v>101</v>
      </c>
      <c r="B11">
        <v>212</v>
      </c>
      <c r="C11">
        <v>2.07E-2</v>
      </c>
      <c r="D11">
        <v>0</v>
      </c>
      <c r="F11">
        <f t="shared" si="1"/>
        <v>374.15</v>
      </c>
      <c r="G11">
        <f t="shared" si="2"/>
        <v>214.809</v>
      </c>
      <c r="H11">
        <f t="shared" si="0"/>
        <v>0</v>
      </c>
      <c r="J11">
        <f t="shared" si="3"/>
        <v>2.07E-2</v>
      </c>
    </row>
    <row r="12" spans="1:10">
      <c r="A12">
        <v>101</v>
      </c>
      <c r="B12">
        <v>210</v>
      </c>
      <c r="C12">
        <v>2.0500000000000001E-2</v>
      </c>
      <c r="D12">
        <v>0</v>
      </c>
      <c r="F12">
        <f t="shared" si="1"/>
        <v>374.15</v>
      </c>
      <c r="G12">
        <f t="shared" si="2"/>
        <v>212.7825</v>
      </c>
      <c r="H12">
        <f t="shared" si="0"/>
        <v>0</v>
      </c>
      <c r="J12">
        <f t="shared" si="3"/>
        <v>2.0500000000000001E-2</v>
      </c>
    </row>
    <row r="13" spans="1:10">
      <c r="A13">
        <v>101</v>
      </c>
      <c r="B13">
        <v>109</v>
      </c>
      <c r="C13">
        <v>1.5299999999999999E-2</v>
      </c>
      <c r="D13">
        <v>0</v>
      </c>
      <c r="F13">
        <f t="shared" si="1"/>
        <v>374.15</v>
      </c>
      <c r="G13">
        <f t="shared" si="2"/>
        <v>110.44425</v>
      </c>
      <c r="H13">
        <f t="shared" si="0"/>
        <v>0</v>
      </c>
      <c r="J13">
        <f t="shared" si="3"/>
        <v>1.5299999999999999E-2</v>
      </c>
    </row>
    <row r="14" spans="1:10">
      <c r="A14">
        <v>101</v>
      </c>
      <c r="B14">
        <v>107</v>
      </c>
      <c r="C14">
        <v>1.4999999999999999E-2</v>
      </c>
      <c r="D14">
        <v>0</v>
      </c>
      <c r="F14">
        <f t="shared" si="1"/>
        <v>374.15</v>
      </c>
      <c r="G14">
        <f t="shared" si="2"/>
        <v>108.41775</v>
      </c>
      <c r="H14">
        <f t="shared" si="0"/>
        <v>0</v>
      </c>
      <c r="J14">
        <f t="shared" si="3"/>
        <v>1.4999999999999999E-2</v>
      </c>
    </row>
    <row r="15" spans="1:10">
      <c r="A15">
        <v>101</v>
      </c>
      <c r="B15">
        <v>57</v>
      </c>
      <c r="C15">
        <v>1.0800000000000001E-2</v>
      </c>
      <c r="D15">
        <v>0</v>
      </c>
      <c r="F15">
        <f t="shared" si="1"/>
        <v>374.15</v>
      </c>
      <c r="G15">
        <f t="shared" si="2"/>
        <v>57.755249999999997</v>
      </c>
      <c r="H15">
        <f t="shared" si="0"/>
        <v>0</v>
      </c>
      <c r="J15">
        <f t="shared" si="3"/>
        <v>1.0800000000000001E-2</v>
      </c>
    </row>
    <row r="16" spans="1:10">
      <c r="A16">
        <v>120</v>
      </c>
      <c r="B16">
        <v>694</v>
      </c>
      <c r="C16">
        <v>0.03</v>
      </c>
      <c r="D16">
        <v>0</v>
      </c>
      <c r="F16">
        <f t="shared" si="1"/>
        <v>393.15</v>
      </c>
      <c r="G16">
        <f t="shared" si="2"/>
        <v>703.19550000000004</v>
      </c>
      <c r="H16">
        <f t="shared" ref="H16:H27" si="4">(1000 * D16) / (110.98 * (100 - D16))</f>
        <v>0</v>
      </c>
      <c r="J16">
        <f t="shared" ref="J16:J27" si="5">C16</f>
        <v>0.03</v>
      </c>
    </row>
    <row r="17" spans="1:10">
      <c r="A17">
        <v>120</v>
      </c>
      <c r="B17">
        <v>646</v>
      </c>
      <c r="C17">
        <v>2.9899999999999999E-2</v>
      </c>
      <c r="D17">
        <v>0</v>
      </c>
      <c r="F17">
        <f t="shared" si="1"/>
        <v>393.15</v>
      </c>
      <c r="G17">
        <f t="shared" si="2"/>
        <v>654.55949999999996</v>
      </c>
      <c r="H17">
        <f t="shared" si="4"/>
        <v>0</v>
      </c>
      <c r="J17">
        <f t="shared" si="5"/>
        <v>2.9899999999999999E-2</v>
      </c>
    </row>
    <row r="18" spans="1:10">
      <c r="A18">
        <v>120</v>
      </c>
      <c r="B18">
        <v>570</v>
      </c>
      <c r="C18">
        <v>2.9000000000000001E-2</v>
      </c>
      <c r="D18">
        <v>0</v>
      </c>
      <c r="F18">
        <f t="shared" si="1"/>
        <v>393.15</v>
      </c>
      <c r="G18">
        <f t="shared" si="2"/>
        <v>577.55250000000001</v>
      </c>
      <c r="H18">
        <f t="shared" si="4"/>
        <v>0</v>
      </c>
      <c r="J18">
        <f t="shared" si="5"/>
        <v>2.9000000000000001E-2</v>
      </c>
    </row>
    <row r="19" spans="1:10">
      <c r="A19">
        <v>120</v>
      </c>
      <c r="B19">
        <v>562</v>
      </c>
      <c r="C19">
        <v>2.8799999999999999E-2</v>
      </c>
      <c r="D19">
        <v>0</v>
      </c>
      <c r="F19">
        <f t="shared" si="1"/>
        <v>393.15</v>
      </c>
      <c r="G19">
        <f t="shared" si="2"/>
        <v>569.44650000000001</v>
      </c>
      <c r="H19">
        <f t="shared" si="4"/>
        <v>0</v>
      </c>
      <c r="J19">
        <f t="shared" si="5"/>
        <v>2.8799999999999999E-2</v>
      </c>
    </row>
    <row r="20" spans="1:10">
      <c r="A20">
        <v>120</v>
      </c>
      <c r="B20">
        <v>360</v>
      </c>
      <c r="C20">
        <v>2.5000000000000001E-2</v>
      </c>
      <c r="D20">
        <v>0</v>
      </c>
      <c r="F20">
        <f t="shared" si="1"/>
        <v>393.15</v>
      </c>
      <c r="G20">
        <f t="shared" si="2"/>
        <v>364.77</v>
      </c>
      <c r="H20">
        <f t="shared" si="4"/>
        <v>0</v>
      </c>
      <c r="J20">
        <f t="shared" si="5"/>
        <v>2.5000000000000001E-2</v>
      </c>
    </row>
    <row r="21" spans="1:10">
      <c r="A21">
        <v>120</v>
      </c>
      <c r="B21">
        <v>353</v>
      </c>
      <c r="C21">
        <v>2.4799999999999999E-2</v>
      </c>
      <c r="D21">
        <v>0</v>
      </c>
      <c r="F21">
        <f t="shared" si="1"/>
        <v>393.15</v>
      </c>
      <c r="G21">
        <f t="shared" si="2"/>
        <v>357.67725000000002</v>
      </c>
      <c r="H21">
        <f t="shared" si="4"/>
        <v>0</v>
      </c>
      <c r="J21">
        <f t="shared" si="5"/>
        <v>2.4799999999999999E-2</v>
      </c>
    </row>
    <row r="22" spans="1:10">
      <c r="A22">
        <v>120</v>
      </c>
      <c r="B22">
        <v>187</v>
      </c>
      <c r="C22">
        <v>0.02</v>
      </c>
      <c r="D22">
        <v>0</v>
      </c>
      <c r="F22">
        <f t="shared" si="1"/>
        <v>393.15</v>
      </c>
      <c r="G22">
        <f t="shared" si="2"/>
        <v>189.47774999999999</v>
      </c>
      <c r="H22">
        <f t="shared" si="4"/>
        <v>0</v>
      </c>
      <c r="J22">
        <f t="shared" si="5"/>
        <v>0.02</v>
      </c>
    </row>
    <row r="23" spans="1:10">
      <c r="A23">
        <v>120</v>
      </c>
      <c r="B23">
        <v>186</v>
      </c>
      <c r="C23">
        <v>1.9300000000000001E-2</v>
      </c>
      <c r="D23">
        <v>0</v>
      </c>
      <c r="F23">
        <f t="shared" si="1"/>
        <v>393.15</v>
      </c>
      <c r="G23">
        <f t="shared" si="2"/>
        <v>188.46449999999999</v>
      </c>
      <c r="H23">
        <f t="shared" si="4"/>
        <v>0</v>
      </c>
      <c r="J23">
        <f t="shared" si="5"/>
        <v>1.9300000000000001E-2</v>
      </c>
    </row>
    <row r="24" spans="1:10">
      <c r="A24">
        <v>120</v>
      </c>
      <c r="B24">
        <v>69</v>
      </c>
      <c r="C24">
        <v>1.0500000000000001E-2</v>
      </c>
      <c r="D24">
        <v>0</v>
      </c>
      <c r="F24">
        <f t="shared" si="1"/>
        <v>393.15</v>
      </c>
      <c r="G24">
        <f t="shared" si="2"/>
        <v>69.914249999999996</v>
      </c>
      <c r="H24">
        <f t="shared" si="4"/>
        <v>0</v>
      </c>
      <c r="J24">
        <f t="shared" si="5"/>
        <v>1.0500000000000001E-2</v>
      </c>
    </row>
    <row r="25" spans="1:10">
      <c r="A25">
        <v>120</v>
      </c>
      <c r="B25">
        <v>68</v>
      </c>
      <c r="C25">
        <v>0.01</v>
      </c>
      <c r="D25">
        <v>0</v>
      </c>
      <c r="F25">
        <f t="shared" si="1"/>
        <v>393.15</v>
      </c>
      <c r="G25">
        <f t="shared" si="2"/>
        <v>68.900999999999996</v>
      </c>
      <c r="H25">
        <f t="shared" si="4"/>
        <v>0</v>
      </c>
      <c r="J25">
        <f t="shared" si="5"/>
        <v>0.01</v>
      </c>
    </row>
    <row r="26" spans="1:10">
      <c r="A26">
        <v>120</v>
      </c>
      <c r="B26">
        <v>23</v>
      </c>
      <c r="C26">
        <v>4.0000000000000001E-3</v>
      </c>
      <c r="D26">
        <v>0</v>
      </c>
      <c r="F26">
        <f t="shared" si="1"/>
        <v>393.15</v>
      </c>
      <c r="G26">
        <f t="shared" si="2"/>
        <v>23.304749999999999</v>
      </c>
      <c r="H26">
        <f t="shared" si="4"/>
        <v>0</v>
      </c>
      <c r="J26">
        <f t="shared" si="5"/>
        <v>4.0000000000000001E-3</v>
      </c>
    </row>
    <row r="27" spans="1:10">
      <c r="A27">
        <v>120</v>
      </c>
      <c r="B27">
        <v>23</v>
      </c>
      <c r="C27">
        <v>3.8E-3</v>
      </c>
      <c r="D27">
        <v>0</v>
      </c>
      <c r="F27">
        <f t="shared" si="1"/>
        <v>393.15</v>
      </c>
      <c r="G27">
        <f t="shared" si="2"/>
        <v>23.304749999999999</v>
      </c>
      <c r="H27">
        <f t="shared" si="4"/>
        <v>0</v>
      </c>
      <c r="J27">
        <f t="shared" si="5"/>
        <v>3.8E-3</v>
      </c>
    </row>
    <row r="28" spans="1:10">
      <c r="A28">
        <v>75.5</v>
      </c>
      <c r="B28">
        <v>620</v>
      </c>
      <c r="C28">
        <v>1.9199999999999998E-2</v>
      </c>
      <c r="D28">
        <v>10.1</v>
      </c>
      <c r="F28">
        <f t="shared" si="1"/>
        <v>348.65</v>
      </c>
      <c r="G28">
        <f t="shared" si="2"/>
        <v>628.21500000000003</v>
      </c>
      <c r="H28">
        <f t="shared" si="0"/>
        <v>1.0123180057696113</v>
      </c>
      <c r="J28">
        <f t="shared" si="3"/>
        <v>1.9199999999999998E-2</v>
      </c>
    </row>
    <row r="29" spans="1:10">
      <c r="A29">
        <v>75.5</v>
      </c>
      <c r="B29">
        <v>585</v>
      </c>
      <c r="C29">
        <v>1.84E-2</v>
      </c>
      <c r="D29">
        <v>10.1</v>
      </c>
      <c r="F29">
        <f t="shared" si="1"/>
        <v>348.65</v>
      </c>
      <c r="G29">
        <f t="shared" si="2"/>
        <v>592.75125000000003</v>
      </c>
      <c r="H29">
        <f t="shared" si="0"/>
        <v>1.0123180057696113</v>
      </c>
      <c r="J29">
        <f t="shared" si="3"/>
        <v>1.84E-2</v>
      </c>
    </row>
    <row r="30" spans="1:10">
      <c r="A30">
        <v>75.5</v>
      </c>
      <c r="B30">
        <v>446</v>
      </c>
      <c r="C30">
        <v>1.6799999999999999E-2</v>
      </c>
      <c r="D30">
        <v>10.1</v>
      </c>
      <c r="F30">
        <f t="shared" si="1"/>
        <v>348.65</v>
      </c>
      <c r="G30">
        <f t="shared" si="2"/>
        <v>451.90949999999998</v>
      </c>
      <c r="H30">
        <f t="shared" si="0"/>
        <v>1.0123180057696113</v>
      </c>
      <c r="J30">
        <f t="shared" si="3"/>
        <v>1.6799999999999999E-2</v>
      </c>
    </row>
    <row r="31" spans="1:10">
      <c r="A31">
        <v>75.5</v>
      </c>
      <c r="B31">
        <v>426</v>
      </c>
      <c r="C31">
        <v>1.7000000000000001E-2</v>
      </c>
      <c r="D31">
        <v>10.1</v>
      </c>
      <c r="F31">
        <f t="shared" si="1"/>
        <v>348.65</v>
      </c>
      <c r="G31">
        <f t="shared" si="2"/>
        <v>431.64449999999999</v>
      </c>
      <c r="H31">
        <f t="shared" si="0"/>
        <v>1.0123180057696113</v>
      </c>
      <c r="J31">
        <f t="shared" si="3"/>
        <v>1.7000000000000001E-2</v>
      </c>
    </row>
    <row r="32" spans="1:10">
      <c r="A32">
        <v>75.5</v>
      </c>
      <c r="B32">
        <v>328</v>
      </c>
      <c r="C32">
        <v>1.5800000000000002E-2</v>
      </c>
      <c r="D32">
        <v>10.1</v>
      </c>
      <c r="F32">
        <f t="shared" si="1"/>
        <v>348.65</v>
      </c>
      <c r="G32">
        <f t="shared" si="2"/>
        <v>332.346</v>
      </c>
      <c r="H32">
        <f t="shared" si="0"/>
        <v>1.0123180057696113</v>
      </c>
      <c r="J32">
        <f t="shared" si="3"/>
        <v>1.5800000000000002E-2</v>
      </c>
    </row>
    <row r="33" spans="1:10">
      <c r="A33">
        <v>75.5</v>
      </c>
      <c r="B33">
        <v>310</v>
      </c>
      <c r="C33">
        <v>1.54E-2</v>
      </c>
      <c r="D33">
        <v>10.1</v>
      </c>
      <c r="F33">
        <f t="shared" si="1"/>
        <v>348.65</v>
      </c>
      <c r="G33">
        <f t="shared" si="2"/>
        <v>314.10750000000002</v>
      </c>
      <c r="H33">
        <f t="shared" si="0"/>
        <v>1.0123180057696113</v>
      </c>
      <c r="J33">
        <f t="shared" si="3"/>
        <v>1.54E-2</v>
      </c>
    </row>
    <row r="34" spans="1:10">
      <c r="A34">
        <v>75.5</v>
      </c>
      <c r="B34">
        <v>163</v>
      </c>
      <c r="C34">
        <v>1.3299999999999999E-2</v>
      </c>
      <c r="D34">
        <v>10.1</v>
      </c>
      <c r="F34">
        <f t="shared" si="1"/>
        <v>348.65</v>
      </c>
      <c r="G34">
        <f t="shared" si="2"/>
        <v>165.15975</v>
      </c>
      <c r="H34">
        <f t="shared" si="0"/>
        <v>1.0123180057696113</v>
      </c>
      <c r="J34">
        <f t="shared" si="3"/>
        <v>1.3299999999999999E-2</v>
      </c>
    </row>
    <row r="35" spans="1:10">
      <c r="A35">
        <v>75.5</v>
      </c>
      <c r="B35">
        <v>162</v>
      </c>
      <c r="C35">
        <v>1.3299999999999999E-2</v>
      </c>
      <c r="D35">
        <v>10.1</v>
      </c>
      <c r="F35">
        <f t="shared" si="1"/>
        <v>348.65</v>
      </c>
      <c r="G35">
        <f t="shared" si="2"/>
        <v>164.1465</v>
      </c>
      <c r="H35">
        <f t="shared" si="0"/>
        <v>1.0123180057696113</v>
      </c>
      <c r="J35">
        <f t="shared" si="3"/>
        <v>1.3299999999999999E-2</v>
      </c>
    </row>
    <row r="36" spans="1:10">
      <c r="A36">
        <v>75.5</v>
      </c>
      <c r="B36">
        <v>63</v>
      </c>
      <c r="C36">
        <v>8.3000000000000001E-3</v>
      </c>
      <c r="D36">
        <v>10.1</v>
      </c>
      <c r="F36">
        <f t="shared" si="1"/>
        <v>348.65</v>
      </c>
      <c r="G36">
        <f t="shared" si="2"/>
        <v>63.83475</v>
      </c>
      <c r="H36">
        <f t="shared" si="0"/>
        <v>1.0123180057696113</v>
      </c>
      <c r="J36">
        <f t="shared" si="3"/>
        <v>8.3000000000000001E-3</v>
      </c>
    </row>
    <row r="37" spans="1:10">
      <c r="A37">
        <v>75.5</v>
      </c>
      <c r="B37">
        <v>62</v>
      </c>
      <c r="C37">
        <v>8.0999999999999996E-3</v>
      </c>
      <c r="D37">
        <v>10.1</v>
      </c>
      <c r="F37">
        <f t="shared" si="1"/>
        <v>348.65</v>
      </c>
      <c r="G37">
        <f t="shared" si="2"/>
        <v>62.8215</v>
      </c>
      <c r="H37">
        <f t="shared" si="0"/>
        <v>1.0123180057696113</v>
      </c>
      <c r="J37">
        <f t="shared" si="3"/>
        <v>8.0999999999999996E-3</v>
      </c>
    </row>
    <row r="38" spans="1:10">
      <c r="A38">
        <v>75.5</v>
      </c>
      <c r="B38">
        <v>16</v>
      </c>
      <c r="C38">
        <v>2.7000000000000001E-3</v>
      </c>
      <c r="D38">
        <v>10.1</v>
      </c>
      <c r="F38">
        <f t="shared" si="1"/>
        <v>348.65</v>
      </c>
      <c r="G38">
        <f t="shared" si="2"/>
        <v>16.212</v>
      </c>
      <c r="H38">
        <f t="shared" si="0"/>
        <v>1.0123180057696113</v>
      </c>
      <c r="J38">
        <f t="shared" si="3"/>
        <v>2.7000000000000001E-3</v>
      </c>
    </row>
    <row r="39" spans="1:10">
      <c r="A39">
        <v>75.5</v>
      </c>
      <c r="B39">
        <v>16</v>
      </c>
      <c r="C39">
        <v>2.5999999999999999E-3</v>
      </c>
      <c r="D39">
        <v>10.1</v>
      </c>
      <c r="F39">
        <f t="shared" si="1"/>
        <v>348.65</v>
      </c>
      <c r="G39">
        <f t="shared" si="2"/>
        <v>16.212</v>
      </c>
      <c r="H39">
        <f t="shared" si="0"/>
        <v>1.0123180057696113</v>
      </c>
      <c r="J39">
        <f t="shared" si="3"/>
        <v>2.5999999999999999E-3</v>
      </c>
    </row>
    <row r="40" spans="1:10">
      <c r="A40">
        <v>101</v>
      </c>
      <c r="B40">
        <v>618</v>
      </c>
      <c r="C40">
        <v>1.8599999999999998E-2</v>
      </c>
      <c r="D40">
        <v>10.1</v>
      </c>
      <c r="F40">
        <f t="shared" si="1"/>
        <v>374.15</v>
      </c>
      <c r="G40">
        <f t="shared" si="2"/>
        <v>626.18849999999998</v>
      </c>
      <c r="H40">
        <f t="shared" ref="H40:H65" si="6">(1000 * D40) / (110.98 * (100 - D40))</f>
        <v>1.0123180057696113</v>
      </c>
      <c r="J40">
        <f t="shared" si="3"/>
        <v>1.8599999999999998E-2</v>
      </c>
    </row>
    <row r="41" spans="1:10">
      <c r="A41">
        <v>101</v>
      </c>
      <c r="B41">
        <v>575</v>
      </c>
      <c r="C41">
        <v>1.8499999999999999E-2</v>
      </c>
      <c r="D41">
        <v>10.1</v>
      </c>
      <c r="F41">
        <f t="shared" si="1"/>
        <v>374.15</v>
      </c>
      <c r="G41">
        <f t="shared" si="2"/>
        <v>582.61874999999998</v>
      </c>
      <c r="H41">
        <f t="shared" si="6"/>
        <v>1.0123180057696113</v>
      </c>
      <c r="J41">
        <f t="shared" si="3"/>
        <v>1.8499999999999999E-2</v>
      </c>
    </row>
    <row r="42" spans="1:10">
      <c r="A42">
        <v>101</v>
      </c>
      <c r="B42">
        <v>500</v>
      </c>
      <c r="C42">
        <v>1.7399999999999999E-2</v>
      </c>
      <c r="D42">
        <v>10.1</v>
      </c>
      <c r="F42">
        <f t="shared" si="1"/>
        <v>374.15</v>
      </c>
      <c r="G42">
        <f t="shared" si="2"/>
        <v>506.625</v>
      </c>
      <c r="H42">
        <f t="shared" si="6"/>
        <v>1.0123180057696113</v>
      </c>
      <c r="J42">
        <f t="shared" si="3"/>
        <v>1.7399999999999999E-2</v>
      </c>
    </row>
    <row r="43" spans="1:10">
      <c r="A43">
        <v>101</v>
      </c>
      <c r="B43">
        <v>394</v>
      </c>
      <c r="C43">
        <v>1.6799999999999999E-2</v>
      </c>
      <c r="D43">
        <v>10.1</v>
      </c>
      <c r="F43">
        <f t="shared" si="1"/>
        <v>374.15</v>
      </c>
      <c r="G43">
        <f t="shared" si="2"/>
        <v>399.22050000000002</v>
      </c>
      <c r="H43">
        <f t="shared" si="6"/>
        <v>1.0123180057696113</v>
      </c>
      <c r="J43">
        <f t="shared" si="3"/>
        <v>1.6799999999999999E-2</v>
      </c>
    </row>
    <row r="44" spans="1:10">
      <c r="A44">
        <v>101</v>
      </c>
      <c r="B44">
        <v>380</v>
      </c>
      <c r="C44">
        <v>1.6500000000000001E-2</v>
      </c>
      <c r="D44">
        <v>10.1</v>
      </c>
      <c r="F44">
        <f t="shared" si="1"/>
        <v>374.15</v>
      </c>
      <c r="G44">
        <f t="shared" si="2"/>
        <v>385.03499999999997</v>
      </c>
      <c r="H44">
        <f t="shared" si="6"/>
        <v>1.0123180057696113</v>
      </c>
      <c r="J44">
        <f t="shared" si="3"/>
        <v>1.6500000000000001E-2</v>
      </c>
    </row>
    <row r="45" spans="1:10">
      <c r="A45">
        <v>101</v>
      </c>
      <c r="B45">
        <v>352</v>
      </c>
      <c r="C45">
        <v>1.5900000000000001E-2</v>
      </c>
      <c r="D45">
        <v>10.1</v>
      </c>
      <c r="F45">
        <f t="shared" si="1"/>
        <v>374.15</v>
      </c>
      <c r="G45">
        <f t="shared" si="2"/>
        <v>356.66399999999999</v>
      </c>
      <c r="H45">
        <f t="shared" si="6"/>
        <v>1.0123180057696113</v>
      </c>
      <c r="J45">
        <f t="shared" si="3"/>
        <v>1.5900000000000001E-2</v>
      </c>
    </row>
    <row r="46" spans="1:10">
      <c r="A46">
        <v>101</v>
      </c>
      <c r="B46">
        <v>347</v>
      </c>
      <c r="C46">
        <v>1.6199999999999999E-2</v>
      </c>
      <c r="D46">
        <v>10.1</v>
      </c>
      <c r="F46">
        <f t="shared" si="1"/>
        <v>374.15</v>
      </c>
      <c r="G46">
        <f t="shared" si="2"/>
        <v>351.59775000000002</v>
      </c>
      <c r="H46">
        <f t="shared" si="6"/>
        <v>1.0123180057696113</v>
      </c>
      <c r="J46">
        <f t="shared" si="3"/>
        <v>1.6199999999999999E-2</v>
      </c>
    </row>
    <row r="47" spans="1:10">
      <c r="A47">
        <v>101</v>
      </c>
      <c r="B47">
        <v>286</v>
      </c>
      <c r="C47">
        <v>1.52E-2</v>
      </c>
      <c r="D47">
        <v>10.1</v>
      </c>
      <c r="F47">
        <f t="shared" si="1"/>
        <v>374.15</v>
      </c>
      <c r="G47">
        <f t="shared" si="2"/>
        <v>289.78949999999998</v>
      </c>
      <c r="H47">
        <f t="shared" si="6"/>
        <v>1.0123180057696113</v>
      </c>
      <c r="J47">
        <f t="shared" si="3"/>
        <v>1.52E-2</v>
      </c>
    </row>
    <row r="48" spans="1:10">
      <c r="A48">
        <v>101</v>
      </c>
      <c r="B48">
        <v>286</v>
      </c>
      <c r="C48">
        <v>1.47E-2</v>
      </c>
      <c r="D48">
        <v>10.1</v>
      </c>
      <c r="F48">
        <f t="shared" si="1"/>
        <v>374.15</v>
      </c>
      <c r="G48">
        <f t="shared" si="2"/>
        <v>289.78949999999998</v>
      </c>
      <c r="H48">
        <f t="shared" si="6"/>
        <v>1.0123180057696113</v>
      </c>
      <c r="J48">
        <f t="shared" si="3"/>
        <v>1.47E-2</v>
      </c>
    </row>
    <row r="49" spans="1:10">
      <c r="A49">
        <v>101</v>
      </c>
      <c r="B49">
        <v>213</v>
      </c>
      <c r="C49">
        <v>1.4E-2</v>
      </c>
      <c r="D49">
        <v>10.1</v>
      </c>
      <c r="F49">
        <f t="shared" si="1"/>
        <v>374.15</v>
      </c>
      <c r="G49">
        <f t="shared" si="2"/>
        <v>215.82225</v>
      </c>
      <c r="H49">
        <f t="shared" si="6"/>
        <v>1.0123180057696113</v>
      </c>
      <c r="J49">
        <f t="shared" si="3"/>
        <v>1.4E-2</v>
      </c>
    </row>
    <row r="50" spans="1:10">
      <c r="A50">
        <v>101</v>
      </c>
      <c r="B50">
        <v>213</v>
      </c>
      <c r="C50">
        <v>1.35E-2</v>
      </c>
      <c r="D50">
        <v>10.1</v>
      </c>
      <c r="F50">
        <f t="shared" si="1"/>
        <v>374.15</v>
      </c>
      <c r="G50">
        <f t="shared" si="2"/>
        <v>215.82225</v>
      </c>
      <c r="H50">
        <f t="shared" si="6"/>
        <v>1.0123180057696113</v>
      </c>
      <c r="J50">
        <f t="shared" si="3"/>
        <v>1.35E-2</v>
      </c>
    </row>
    <row r="51" spans="1:10">
      <c r="A51">
        <v>101</v>
      </c>
      <c r="B51">
        <v>120</v>
      </c>
      <c r="C51">
        <v>1.1299999999999999E-2</v>
      </c>
      <c r="D51">
        <v>10.1</v>
      </c>
      <c r="F51">
        <f t="shared" si="1"/>
        <v>374.15</v>
      </c>
      <c r="G51">
        <f t="shared" si="2"/>
        <v>121.59</v>
      </c>
      <c r="H51">
        <f t="shared" si="6"/>
        <v>1.0123180057696113</v>
      </c>
      <c r="J51">
        <f t="shared" si="3"/>
        <v>1.1299999999999999E-2</v>
      </c>
    </row>
    <row r="52" spans="1:10">
      <c r="A52">
        <v>101</v>
      </c>
      <c r="B52">
        <v>120</v>
      </c>
      <c r="C52">
        <v>1.12E-2</v>
      </c>
      <c r="D52">
        <v>10.1</v>
      </c>
      <c r="F52">
        <f t="shared" si="1"/>
        <v>374.15</v>
      </c>
      <c r="G52">
        <f t="shared" si="2"/>
        <v>121.59</v>
      </c>
      <c r="H52">
        <f t="shared" si="6"/>
        <v>1.0123180057696113</v>
      </c>
      <c r="J52">
        <f t="shared" si="3"/>
        <v>1.12E-2</v>
      </c>
    </row>
    <row r="53" spans="1:10">
      <c r="A53">
        <v>101</v>
      </c>
      <c r="B53">
        <v>56</v>
      </c>
      <c r="C53">
        <v>8.0999999999999996E-3</v>
      </c>
      <c r="D53">
        <v>10.1</v>
      </c>
      <c r="F53">
        <f t="shared" si="1"/>
        <v>374.15</v>
      </c>
      <c r="G53">
        <f t="shared" si="2"/>
        <v>56.741999999999997</v>
      </c>
      <c r="H53">
        <f t="shared" si="6"/>
        <v>1.0123180057696113</v>
      </c>
      <c r="J53">
        <f t="shared" si="3"/>
        <v>8.0999999999999996E-3</v>
      </c>
    </row>
    <row r="54" spans="1:10">
      <c r="A54">
        <v>101</v>
      </c>
      <c r="B54">
        <v>17</v>
      </c>
      <c r="C54">
        <v>2.2000000000000001E-3</v>
      </c>
      <c r="D54">
        <v>10.1</v>
      </c>
      <c r="F54">
        <f t="shared" si="1"/>
        <v>374.15</v>
      </c>
      <c r="G54">
        <f t="shared" si="2"/>
        <v>17.225249999999999</v>
      </c>
      <c r="H54">
        <f t="shared" si="6"/>
        <v>1.0123180057696113</v>
      </c>
      <c r="J54">
        <f t="shared" si="3"/>
        <v>2.2000000000000001E-3</v>
      </c>
    </row>
    <row r="55" spans="1:10">
      <c r="A55">
        <v>101</v>
      </c>
      <c r="B55">
        <v>17</v>
      </c>
      <c r="C55">
        <v>2.0999999999999999E-3</v>
      </c>
      <c r="D55">
        <v>10.1</v>
      </c>
      <c r="F55">
        <f t="shared" si="1"/>
        <v>374.15</v>
      </c>
      <c r="G55">
        <f t="shared" si="2"/>
        <v>17.225249999999999</v>
      </c>
      <c r="H55">
        <f t="shared" si="6"/>
        <v>1.0123180057696113</v>
      </c>
      <c r="J55">
        <f t="shared" si="3"/>
        <v>2.0999999999999999E-3</v>
      </c>
    </row>
    <row r="56" spans="1:10">
      <c r="A56">
        <v>121</v>
      </c>
      <c r="B56">
        <v>703</v>
      </c>
      <c r="C56">
        <v>1.9300000000000001E-2</v>
      </c>
      <c r="D56">
        <v>10.1</v>
      </c>
      <c r="F56">
        <f t="shared" si="1"/>
        <v>394.15</v>
      </c>
      <c r="G56">
        <f t="shared" si="2"/>
        <v>712.31475</v>
      </c>
      <c r="H56">
        <f t="shared" si="6"/>
        <v>1.0123180057696113</v>
      </c>
      <c r="J56">
        <f t="shared" si="3"/>
        <v>1.9300000000000001E-2</v>
      </c>
    </row>
    <row r="57" spans="1:10">
      <c r="A57">
        <v>121</v>
      </c>
      <c r="B57">
        <v>621</v>
      </c>
      <c r="C57">
        <v>1.8100000000000002E-2</v>
      </c>
      <c r="D57">
        <v>10.1</v>
      </c>
      <c r="F57">
        <f t="shared" si="1"/>
        <v>394.15</v>
      </c>
      <c r="G57">
        <f t="shared" si="2"/>
        <v>629.22825</v>
      </c>
      <c r="H57">
        <f t="shared" si="6"/>
        <v>1.0123180057696113</v>
      </c>
      <c r="J57">
        <f t="shared" si="3"/>
        <v>1.8100000000000002E-2</v>
      </c>
    </row>
    <row r="58" spans="1:10">
      <c r="A58">
        <v>121</v>
      </c>
      <c r="B58">
        <v>585</v>
      </c>
      <c r="C58">
        <v>1.84E-2</v>
      </c>
      <c r="D58">
        <v>10.1</v>
      </c>
      <c r="F58">
        <f t="shared" si="1"/>
        <v>394.15</v>
      </c>
      <c r="G58">
        <f t="shared" si="2"/>
        <v>592.75125000000003</v>
      </c>
      <c r="H58">
        <f t="shared" si="6"/>
        <v>1.0123180057696113</v>
      </c>
      <c r="J58">
        <f t="shared" si="3"/>
        <v>1.84E-2</v>
      </c>
    </row>
    <row r="59" spans="1:10">
      <c r="A59">
        <v>121</v>
      </c>
      <c r="B59">
        <v>460</v>
      </c>
      <c r="C59">
        <v>1.67E-2</v>
      </c>
      <c r="D59">
        <v>10.1</v>
      </c>
      <c r="F59">
        <f t="shared" si="1"/>
        <v>394.15</v>
      </c>
      <c r="G59">
        <f t="shared" si="2"/>
        <v>466.09499999999997</v>
      </c>
      <c r="H59">
        <f t="shared" si="6"/>
        <v>1.0123180057696113</v>
      </c>
      <c r="J59">
        <f t="shared" si="3"/>
        <v>1.67E-2</v>
      </c>
    </row>
    <row r="60" spans="1:10">
      <c r="A60">
        <v>121</v>
      </c>
      <c r="B60">
        <v>437</v>
      </c>
      <c r="C60">
        <v>1.6799999999999999E-2</v>
      </c>
      <c r="D60">
        <v>10.1</v>
      </c>
      <c r="F60">
        <f t="shared" si="1"/>
        <v>394.15</v>
      </c>
      <c r="G60">
        <f t="shared" si="2"/>
        <v>442.79025000000001</v>
      </c>
      <c r="H60">
        <f t="shared" si="6"/>
        <v>1.0123180057696113</v>
      </c>
      <c r="J60">
        <f t="shared" si="3"/>
        <v>1.6799999999999999E-2</v>
      </c>
    </row>
    <row r="61" spans="1:10">
      <c r="A61">
        <v>121</v>
      </c>
      <c r="B61">
        <v>300</v>
      </c>
      <c r="C61">
        <v>1.4800000000000001E-2</v>
      </c>
      <c r="D61">
        <v>10.1</v>
      </c>
      <c r="F61">
        <f t="shared" si="1"/>
        <v>394.15</v>
      </c>
      <c r="G61">
        <f t="shared" si="2"/>
        <v>303.97500000000002</v>
      </c>
      <c r="H61">
        <f t="shared" si="6"/>
        <v>1.0123180057696113</v>
      </c>
      <c r="J61">
        <f t="shared" si="3"/>
        <v>1.4800000000000001E-2</v>
      </c>
    </row>
    <row r="62" spans="1:10">
      <c r="A62">
        <v>121</v>
      </c>
      <c r="B62">
        <v>297</v>
      </c>
      <c r="C62">
        <v>1.4800000000000001E-2</v>
      </c>
      <c r="D62">
        <v>10.1</v>
      </c>
      <c r="F62">
        <f t="shared" si="1"/>
        <v>394.15</v>
      </c>
      <c r="G62">
        <f t="shared" si="2"/>
        <v>300.93525</v>
      </c>
      <c r="H62">
        <f t="shared" si="6"/>
        <v>1.0123180057696113</v>
      </c>
      <c r="J62">
        <f t="shared" si="3"/>
        <v>1.4800000000000001E-2</v>
      </c>
    </row>
    <row r="63" spans="1:10">
      <c r="A63">
        <v>121</v>
      </c>
      <c r="B63">
        <v>153</v>
      </c>
      <c r="C63">
        <v>1.11E-2</v>
      </c>
      <c r="D63">
        <v>10.1</v>
      </c>
      <c r="F63">
        <f t="shared" si="1"/>
        <v>394.15</v>
      </c>
      <c r="G63">
        <f t="shared" si="2"/>
        <v>155.02725000000001</v>
      </c>
      <c r="H63">
        <f t="shared" si="6"/>
        <v>1.0123180057696113</v>
      </c>
      <c r="J63">
        <f t="shared" si="3"/>
        <v>1.11E-2</v>
      </c>
    </row>
    <row r="64" spans="1:10">
      <c r="A64">
        <v>121</v>
      </c>
      <c r="B64">
        <v>140</v>
      </c>
      <c r="C64">
        <v>1.1299999999999999E-2</v>
      </c>
      <c r="D64">
        <v>10.1</v>
      </c>
      <c r="F64">
        <f t="shared" si="1"/>
        <v>394.15</v>
      </c>
      <c r="G64">
        <f t="shared" si="2"/>
        <v>141.85499999999999</v>
      </c>
      <c r="H64">
        <f t="shared" si="6"/>
        <v>1.0123180057696113</v>
      </c>
      <c r="J64">
        <f t="shared" si="3"/>
        <v>1.1299999999999999E-2</v>
      </c>
    </row>
    <row r="65" spans="1:10">
      <c r="A65">
        <v>121</v>
      </c>
      <c r="B65">
        <v>77</v>
      </c>
      <c r="C65">
        <v>6.8999999999999999E-3</v>
      </c>
      <c r="D65">
        <v>10.1</v>
      </c>
      <c r="F65">
        <f t="shared" si="1"/>
        <v>394.15</v>
      </c>
      <c r="G65">
        <f t="shared" si="2"/>
        <v>78.020250000000004</v>
      </c>
      <c r="H65">
        <f t="shared" si="6"/>
        <v>1.0123180057696113</v>
      </c>
      <c r="J65">
        <f t="shared" si="3"/>
        <v>6.8999999999999999E-3</v>
      </c>
    </row>
    <row r="66" spans="1:10">
      <c r="A66">
        <v>121</v>
      </c>
      <c r="B66">
        <v>76</v>
      </c>
      <c r="C66">
        <v>6.1000000000000004E-3</v>
      </c>
      <c r="D66">
        <v>10.1</v>
      </c>
      <c r="F66">
        <f t="shared" si="1"/>
        <v>394.15</v>
      </c>
      <c r="G66">
        <f t="shared" si="2"/>
        <v>77.007000000000005</v>
      </c>
      <c r="H66">
        <f t="shared" ref="H66:H97" si="7">(1000 * D66) / (110.98 * (100 - D66))</f>
        <v>1.0123180057696113</v>
      </c>
      <c r="J66">
        <f t="shared" si="3"/>
        <v>6.1000000000000004E-3</v>
      </c>
    </row>
    <row r="67" spans="1:10">
      <c r="A67">
        <v>121</v>
      </c>
      <c r="B67">
        <v>21</v>
      </c>
      <c r="C67">
        <v>2.7000000000000001E-3</v>
      </c>
      <c r="D67">
        <v>10.1</v>
      </c>
      <c r="F67">
        <f t="shared" ref="F67:F130" si="8">A67+273.15</f>
        <v>394.15</v>
      </c>
      <c r="G67">
        <f t="shared" ref="G67:G130" si="9">1.01325*B67</f>
        <v>21.27825</v>
      </c>
      <c r="H67">
        <f t="shared" si="7"/>
        <v>1.0123180057696113</v>
      </c>
      <c r="J67">
        <f t="shared" ref="J67:J130" si="10">C67</f>
        <v>2.7000000000000001E-3</v>
      </c>
    </row>
    <row r="68" spans="1:10">
      <c r="A68">
        <v>76</v>
      </c>
      <c r="B68">
        <v>600</v>
      </c>
      <c r="C68">
        <v>1.18E-2</v>
      </c>
      <c r="D68">
        <v>20.2</v>
      </c>
      <c r="F68">
        <f t="shared" si="8"/>
        <v>349.15</v>
      </c>
      <c r="G68">
        <f t="shared" si="9"/>
        <v>607.95000000000005</v>
      </c>
      <c r="H68">
        <f t="shared" si="7"/>
        <v>2.2808869353054648</v>
      </c>
      <c r="J68">
        <f t="shared" si="10"/>
        <v>1.18E-2</v>
      </c>
    </row>
    <row r="69" spans="1:10">
      <c r="A69">
        <v>76</v>
      </c>
      <c r="B69">
        <v>572</v>
      </c>
      <c r="C69">
        <v>1.17E-2</v>
      </c>
      <c r="D69">
        <v>20.2</v>
      </c>
      <c r="F69">
        <f t="shared" si="8"/>
        <v>349.15</v>
      </c>
      <c r="G69">
        <f t="shared" si="9"/>
        <v>579.57899999999995</v>
      </c>
      <c r="H69">
        <f t="shared" si="7"/>
        <v>2.2808869353054648</v>
      </c>
      <c r="J69">
        <f t="shared" si="10"/>
        <v>1.17E-2</v>
      </c>
    </row>
    <row r="70" spans="1:10">
      <c r="A70">
        <v>76</v>
      </c>
      <c r="B70">
        <v>460</v>
      </c>
      <c r="C70">
        <v>1.0800000000000001E-2</v>
      </c>
      <c r="D70">
        <v>20.2</v>
      </c>
      <c r="F70">
        <f t="shared" si="8"/>
        <v>349.15</v>
      </c>
      <c r="G70">
        <f t="shared" si="9"/>
        <v>466.09499999999997</v>
      </c>
      <c r="H70">
        <f t="shared" si="7"/>
        <v>2.2808869353054648</v>
      </c>
      <c r="J70">
        <f t="shared" si="10"/>
        <v>1.0800000000000001E-2</v>
      </c>
    </row>
    <row r="71" spans="1:10">
      <c r="A71">
        <v>76</v>
      </c>
      <c r="B71">
        <v>454</v>
      </c>
      <c r="C71">
        <v>1.0699999999999999E-2</v>
      </c>
      <c r="D71">
        <v>20.2</v>
      </c>
      <c r="F71">
        <f t="shared" si="8"/>
        <v>349.15</v>
      </c>
      <c r="G71">
        <f t="shared" si="9"/>
        <v>460.01549999999997</v>
      </c>
      <c r="H71">
        <f t="shared" si="7"/>
        <v>2.2808869353054648</v>
      </c>
      <c r="J71">
        <f t="shared" si="10"/>
        <v>1.0699999999999999E-2</v>
      </c>
    </row>
    <row r="72" spans="1:10">
      <c r="A72">
        <v>76</v>
      </c>
      <c r="B72">
        <v>290</v>
      </c>
      <c r="C72">
        <v>9.7999999999999997E-3</v>
      </c>
      <c r="D72">
        <v>20.2</v>
      </c>
      <c r="F72">
        <f t="shared" si="8"/>
        <v>349.15</v>
      </c>
      <c r="G72">
        <f t="shared" si="9"/>
        <v>293.84249999999997</v>
      </c>
      <c r="H72">
        <f t="shared" si="7"/>
        <v>2.2808869353054648</v>
      </c>
      <c r="J72">
        <f t="shared" si="10"/>
        <v>9.7999999999999997E-3</v>
      </c>
    </row>
    <row r="73" spans="1:10">
      <c r="A73">
        <v>76</v>
      </c>
      <c r="B73">
        <v>282</v>
      </c>
      <c r="C73">
        <v>9.7000000000000003E-3</v>
      </c>
      <c r="D73">
        <v>20.2</v>
      </c>
      <c r="F73">
        <f t="shared" si="8"/>
        <v>349.15</v>
      </c>
      <c r="G73">
        <f t="shared" si="9"/>
        <v>285.73649999999998</v>
      </c>
      <c r="H73">
        <f t="shared" si="7"/>
        <v>2.2808869353054648</v>
      </c>
      <c r="J73">
        <f t="shared" si="10"/>
        <v>9.7000000000000003E-3</v>
      </c>
    </row>
    <row r="74" spans="1:10">
      <c r="A74">
        <v>76</v>
      </c>
      <c r="B74">
        <v>166</v>
      </c>
      <c r="C74">
        <v>8.6E-3</v>
      </c>
      <c r="D74">
        <v>20.2</v>
      </c>
      <c r="F74">
        <f t="shared" si="8"/>
        <v>349.15</v>
      </c>
      <c r="G74">
        <f t="shared" si="9"/>
        <v>168.1995</v>
      </c>
      <c r="H74">
        <f t="shared" si="7"/>
        <v>2.2808869353054648</v>
      </c>
      <c r="J74">
        <f t="shared" si="10"/>
        <v>8.6E-3</v>
      </c>
    </row>
    <row r="75" spans="1:10">
      <c r="A75">
        <v>76</v>
      </c>
      <c r="B75">
        <v>165</v>
      </c>
      <c r="C75">
        <v>8.8000000000000005E-3</v>
      </c>
      <c r="D75">
        <v>20.2</v>
      </c>
      <c r="F75">
        <f t="shared" si="8"/>
        <v>349.15</v>
      </c>
      <c r="G75">
        <f t="shared" si="9"/>
        <v>167.18625</v>
      </c>
      <c r="H75">
        <f t="shared" si="7"/>
        <v>2.2808869353054648</v>
      </c>
      <c r="J75">
        <f t="shared" si="10"/>
        <v>8.8000000000000005E-3</v>
      </c>
    </row>
    <row r="76" spans="1:10">
      <c r="A76">
        <v>76</v>
      </c>
      <c r="B76">
        <v>73</v>
      </c>
      <c r="C76">
        <v>6.0000000000000001E-3</v>
      </c>
      <c r="D76">
        <v>20.2</v>
      </c>
      <c r="F76">
        <f t="shared" si="8"/>
        <v>349.15</v>
      </c>
      <c r="G76">
        <f t="shared" si="9"/>
        <v>73.967249999999993</v>
      </c>
      <c r="H76">
        <f t="shared" si="7"/>
        <v>2.2808869353054648</v>
      </c>
      <c r="J76">
        <f t="shared" si="10"/>
        <v>6.0000000000000001E-3</v>
      </c>
    </row>
    <row r="77" spans="1:10">
      <c r="A77">
        <v>76</v>
      </c>
      <c r="B77">
        <v>73</v>
      </c>
      <c r="C77">
        <v>5.7999999999999996E-3</v>
      </c>
      <c r="D77">
        <v>20.2</v>
      </c>
      <c r="F77">
        <f t="shared" si="8"/>
        <v>349.15</v>
      </c>
      <c r="G77">
        <f t="shared" si="9"/>
        <v>73.967249999999993</v>
      </c>
      <c r="H77">
        <f t="shared" si="7"/>
        <v>2.2808869353054648</v>
      </c>
      <c r="J77">
        <f t="shared" si="10"/>
        <v>5.7999999999999996E-3</v>
      </c>
    </row>
    <row r="78" spans="1:10">
      <c r="A78">
        <v>76</v>
      </c>
      <c r="B78">
        <v>23</v>
      </c>
      <c r="C78">
        <v>2.2000000000000001E-3</v>
      </c>
      <c r="D78">
        <v>20.2</v>
      </c>
      <c r="F78">
        <f t="shared" si="8"/>
        <v>349.15</v>
      </c>
      <c r="G78">
        <f t="shared" si="9"/>
        <v>23.304749999999999</v>
      </c>
      <c r="H78">
        <f t="shared" si="7"/>
        <v>2.2808869353054648</v>
      </c>
      <c r="J78">
        <f t="shared" si="10"/>
        <v>2.2000000000000001E-3</v>
      </c>
    </row>
    <row r="79" spans="1:10">
      <c r="A79">
        <v>76</v>
      </c>
      <c r="B79">
        <v>22</v>
      </c>
      <c r="C79">
        <v>2.2000000000000001E-3</v>
      </c>
      <c r="D79">
        <v>20.2</v>
      </c>
      <c r="F79">
        <f t="shared" si="8"/>
        <v>349.15</v>
      </c>
      <c r="G79">
        <f t="shared" si="9"/>
        <v>22.291499999999999</v>
      </c>
      <c r="H79">
        <f t="shared" si="7"/>
        <v>2.2808869353054648</v>
      </c>
      <c r="J79">
        <f t="shared" si="10"/>
        <v>2.2000000000000001E-3</v>
      </c>
    </row>
    <row r="80" spans="1:10">
      <c r="A80">
        <v>101</v>
      </c>
      <c r="B80">
        <v>648</v>
      </c>
      <c r="C80">
        <v>1.23E-2</v>
      </c>
      <c r="D80">
        <v>20.2</v>
      </c>
      <c r="F80">
        <f t="shared" si="8"/>
        <v>374.15</v>
      </c>
      <c r="G80">
        <f t="shared" si="9"/>
        <v>656.58600000000001</v>
      </c>
      <c r="H80">
        <f t="shared" si="7"/>
        <v>2.2808869353054648</v>
      </c>
      <c r="J80">
        <f t="shared" si="10"/>
        <v>1.23E-2</v>
      </c>
    </row>
    <row r="81" spans="1:10">
      <c r="A81">
        <v>101</v>
      </c>
      <c r="B81">
        <v>574</v>
      </c>
      <c r="C81">
        <v>1.18E-2</v>
      </c>
      <c r="D81">
        <v>20.2</v>
      </c>
      <c r="F81">
        <f t="shared" si="8"/>
        <v>374.15</v>
      </c>
      <c r="G81">
        <f t="shared" si="9"/>
        <v>581.60550000000001</v>
      </c>
      <c r="H81">
        <f t="shared" si="7"/>
        <v>2.2808869353054648</v>
      </c>
      <c r="J81">
        <f t="shared" si="10"/>
        <v>1.18E-2</v>
      </c>
    </row>
    <row r="82" spans="1:10">
      <c r="A82">
        <v>101</v>
      </c>
      <c r="B82">
        <v>566</v>
      </c>
      <c r="C82">
        <v>1.1599999999999999E-2</v>
      </c>
      <c r="D82">
        <v>20.2</v>
      </c>
      <c r="F82">
        <f t="shared" si="8"/>
        <v>374.15</v>
      </c>
      <c r="G82">
        <f t="shared" si="9"/>
        <v>573.49950000000001</v>
      </c>
      <c r="H82">
        <f t="shared" si="7"/>
        <v>2.2808869353054648</v>
      </c>
      <c r="J82">
        <f t="shared" si="10"/>
        <v>1.1599999999999999E-2</v>
      </c>
    </row>
    <row r="83" spans="1:10">
      <c r="A83">
        <v>101</v>
      </c>
      <c r="B83">
        <v>292</v>
      </c>
      <c r="C83">
        <v>9.9000000000000008E-3</v>
      </c>
      <c r="D83">
        <v>20.2</v>
      </c>
      <c r="F83">
        <f t="shared" si="8"/>
        <v>374.15</v>
      </c>
      <c r="G83">
        <f t="shared" si="9"/>
        <v>295.86899999999997</v>
      </c>
      <c r="H83">
        <f t="shared" si="7"/>
        <v>2.2808869353054648</v>
      </c>
      <c r="J83">
        <f t="shared" si="10"/>
        <v>9.9000000000000008E-3</v>
      </c>
    </row>
    <row r="84" spans="1:10">
      <c r="A84">
        <v>101</v>
      </c>
      <c r="B84">
        <v>290</v>
      </c>
      <c r="C84">
        <v>9.7000000000000003E-3</v>
      </c>
      <c r="D84">
        <v>20.2</v>
      </c>
      <c r="F84">
        <f t="shared" si="8"/>
        <v>374.15</v>
      </c>
      <c r="G84">
        <f t="shared" si="9"/>
        <v>293.84249999999997</v>
      </c>
      <c r="H84">
        <f t="shared" si="7"/>
        <v>2.2808869353054648</v>
      </c>
      <c r="J84">
        <f t="shared" si="10"/>
        <v>9.7000000000000003E-3</v>
      </c>
    </row>
    <row r="85" spans="1:10">
      <c r="A85">
        <v>101</v>
      </c>
      <c r="B85">
        <v>170</v>
      </c>
      <c r="C85">
        <v>8.3000000000000001E-3</v>
      </c>
      <c r="D85">
        <v>20.2</v>
      </c>
      <c r="F85">
        <f t="shared" si="8"/>
        <v>374.15</v>
      </c>
      <c r="G85">
        <f t="shared" si="9"/>
        <v>172.2525</v>
      </c>
      <c r="H85">
        <f t="shared" si="7"/>
        <v>2.2808869353054648</v>
      </c>
      <c r="J85">
        <f t="shared" si="10"/>
        <v>8.3000000000000001E-3</v>
      </c>
    </row>
    <row r="86" spans="1:10">
      <c r="A86">
        <v>101</v>
      </c>
      <c r="B86">
        <v>169</v>
      </c>
      <c r="C86">
        <v>8.3999999999999995E-3</v>
      </c>
      <c r="D86">
        <v>20.2</v>
      </c>
      <c r="F86">
        <f t="shared" si="8"/>
        <v>374.15</v>
      </c>
      <c r="G86">
        <f t="shared" si="9"/>
        <v>171.23925</v>
      </c>
      <c r="H86">
        <f t="shared" si="7"/>
        <v>2.2808869353054648</v>
      </c>
      <c r="J86">
        <f t="shared" si="10"/>
        <v>8.3999999999999995E-3</v>
      </c>
    </row>
    <row r="87" spans="1:10">
      <c r="A87">
        <v>101</v>
      </c>
      <c r="B87">
        <v>142</v>
      </c>
      <c r="C87">
        <v>7.4000000000000003E-3</v>
      </c>
      <c r="D87">
        <v>20.2</v>
      </c>
      <c r="F87">
        <f t="shared" si="8"/>
        <v>374.15</v>
      </c>
      <c r="G87">
        <f t="shared" si="9"/>
        <v>143.88149999999999</v>
      </c>
      <c r="H87">
        <f t="shared" si="7"/>
        <v>2.2808869353054648</v>
      </c>
      <c r="J87">
        <f t="shared" si="10"/>
        <v>7.4000000000000003E-3</v>
      </c>
    </row>
    <row r="88" spans="1:10">
      <c r="A88">
        <v>101</v>
      </c>
      <c r="B88">
        <v>142</v>
      </c>
      <c r="C88">
        <v>7.4000000000000003E-3</v>
      </c>
      <c r="D88">
        <v>20.2</v>
      </c>
      <c r="F88">
        <f t="shared" si="8"/>
        <v>374.15</v>
      </c>
      <c r="G88">
        <f t="shared" si="9"/>
        <v>143.88149999999999</v>
      </c>
      <c r="H88">
        <f t="shared" si="7"/>
        <v>2.2808869353054648</v>
      </c>
      <c r="J88">
        <f t="shared" si="10"/>
        <v>7.4000000000000003E-3</v>
      </c>
    </row>
    <row r="89" spans="1:10">
      <c r="A89">
        <v>101</v>
      </c>
      <c r="B89">
        <v>91</v>
      </c>
      <c r="C89">
        <v>5.7999999999999996E-3</v>
      </c>
      <c r="D89">
        <v>20.2</v>
      </c>
      <c r="F89">
        <f t="shared" si="8"/>
        <v>374.15</v>
      </c>
      <c r="G89">
        <f t="shared" si="9"/>
        <v>92.205749999999995</v>
      </c>
      <c r="H89">
        <f t="shared" si="7"/>
        <v>2.2808869353054648</v>
      </c>
      <c r="J89">
        <f t="shared" si="10"/>
        <v>5.7999999999999996E-3</v>
      </c>
    </row>
    <row r="90" spans="1:10">
      <c r="A90">
        <v>101</v>
      </c>
      <c r="B90">
        <v>88</v>
      </c>
      <c r="C90">
        <v>5.8999999999999999E-3</v>
      </c>
      <c r="D90">
        <v>20.2</v>
      </c>
      <c r="F90">
        <f t="shared" si="8"/>
        <v>374.15</v>
      </c>
      <c r="G90">
        <f t="shared" si="9"/>
        <v>89.165999999999997</v>
      </c>
      <c r="H90">
        <f t="shared" si="7"/>
        <v>2.2808869353054648</v>
      </c>
      <c r="J90">
        <f t="shared" si="10"/>
        <v>5.8999999999999999E-3</v>
      </c>
    </row>
    <row r="91" spans="1:10">
      <c r="A91">
        <v>101</v>
      </c>
      <c r="B91">
        <v>23</v>
      </c>
      <c r="C91">
        <v>1.8E-3</v>
      </c>
      <c r="D91">
        <v>20.2</v>
      </c>
      <c r="F91">
        <f t="shared" si="8"/>
        <v>374.15</v>
      </c>
      <c r="G91">
        <f t="shared" si="9"/>
        <v>23.304749999999999</v>
      </c>
      <c r="H91">
        <f t="shared" si="7"/>
        <v>2.2808869353054648</v>
      </c>
      <c r="J91">
        <f t="shared" si="10"/>
        <v>1.8E-3</v>
      </c>
    </row>
    <row r="92" spans="1:10">
      <c r="A92">
        <v>101</v>
      </c>
      <c r="B92">
        <v>23</v>
      </c>
      <c r="C92">
        <v>1.6999999999999999E-3</v>
      </c>
      <c r="D92">
        <v>20.2</v>
      </c>
      <c r="F92">
        <f t="shared" si="8"/>
        <v>374.15</v>
      </c>
      <c r="G92">
        <f t="shared" si="9"/>
        <v>23.304749999999999</v>
      </c>
      <c r="H92">
        <f t="shared" si="7"/>
        <v>2.2808869353054648</v>
      </c>
      <c r="J92">
        <f t="shared" si="10"/>
        <v>1.6999999999999999E-3</v>
      </c>
    </row>
    <row r="93" spans="1:10">
      <c r="A93">
        <v>121</v>
      </c>
      <c r="B93">
        <v>659</v>
      </c>
      <c r="C93">
        <v>1.15E-2</v>
      </c>
      <c r="D93">
        <v>20.2</v>
      </c>
      <c r="F93">
        <f t="shared" si="8"/>
        <v>394.15</v>
      </c>
      <c r="G93">
        <f t="shared" si="9"/>
        <v>667.73175000000003</v>
      </c>
      <c r="H93">
        <f t="shared" si="7"/>
        <v>2.2808869353054648</v>
      </c>
      <c r="J93">
        <f t="shared" si="10"/>
        <v>1.15E-2</v>
      </c>
    </row>
    <row r="94" spans="1:10">
      <c r="A94">
        <v>121</v>
      </c>
      <c r="B94">
        <v>636</v>
      </c>
      <c r="C94">
        <v>1.15E-2</v>
      </c>
      <c r="D94">
        <v>20.2</v>
      </c>
      <c r="F94">
        <f t="shared" si="8"/>
        <v>394.15</v>
      </c>
      <c r="G94">
        <f t="shared" si="9"/>
        <v>644.42700000000002</v>
      </c>
      <c r="H94">
        <f t="shared" si="7"/>
        <v>2.2808869353054648</v>
      </c>
      <c r="J94">
        <f t="shared" si="10"/>
        <v>1.15E-2</v>
      </c>
    </row>
    <row r="95" spans="1:10">
      <c r="A95">
        <v>121</v>
      </c>
      <c r="B95">
        <v>602</v>
      </c>
      <c r="C95">
        <v>1.17E-2</v>
      </c>
      <c r="D95">
        <v>20.2</v>
      </c>
      <c r="F95">
        <f t="shared" si="8"/>
        <v>394.15</v>
      </c>
      <c r="G95">
        <f t="shared" si="9"/>
        <v>609.97649999999999</v>
      </c>
      <c r="H95">
        <f t="shared" si="7"/>
        <v>2.2808869353054648</v>
      </c>
      <c r="J95">
        <f t="shared" si="10"/>
        <v>1.17E-2</v>
      </c>
    </row>
    <row r="96" spans="1:10">
      <c r="A96">
        <v>121</v>
      </c>
      <c r="B96">
        <v>506</v>
      </c>
      <c r="C96">
        <v>1.1299999999999999E-2</v>
      </c>
      <c r="D96">
        <v>20.2</v>
      </c>
      <c r="F96">
        <f t="shared" si="8"/>
        <v>394.15</v>
      </c>
      <c r="G96">
        <f t="shared" si="9"/>
        <v>512.70449999999994</v>
      </c>
      <c r="H96">
        <f t="shared" si="7"/>
        <v>2.2808869353054648</v>
      </c>
      <c r="J96">
        <f t="shared" si="10"/>
        <v>1.1299999999999999E-2</v>
      </c>
    </row>
    <row r="97" spans="1:10">
      <c r="A97">
        <v>121</v>
      </c>
      <c r="B97">
        <v>491</v>
      </c>
      <c r="C97">
        <v>1.0999999999999999E-2</v>
      </c>
      <c r="D97">
        <v>20.2</v>
      </c>
      <c r="F97">
        <f t="shared" si="8"/>
        <v>394.15</v>
      </c>
      <c r="G97">
        <f t="shared" si="9"/>
        <v>497.50574999999998</v>
      </c>
      <c r="H97">
        <f t="shared" si="7"/>
        <v>2.2808869353054648</v>
      </c>
      <c r="J97">
        <f t="shared" si="10"/>
        <v>1.0999999999999999E-2</v>
      </c>
    </row>
    <row r="98" spans="1:10">
      <c r="A98">
        <v>121</v>
      </c>
      <c r="B98">
        <v>464</v>
      </c>
      <c r="C98">
        <v>1.0999999999999999E-2</v>
      </c>
      <c r="D98">
        <v>20.2</v>
      </c>
      <c r="F98">
        <f t="shared" si="8"/>
        <v>394.15</v>
      </c>
      <c r="G98">
        <f t="shared" si="9"/>
        <v>470.14799999999997</v>
      </c>
      <c r="H98">
        <f t="shared" ref="H98:H129" si="11">(1000 * D98) / (110.98 * (100 - D98))</f>
        <v>2.2808869353054648</v>
      </c>
      <c r="J98">
        <f t="shared" si="10"/>
        <v>1.0999999999999999E-2</v>
      </c>
    </row>
    <row r="99" spans="1:10">
      <c r="A99">
        <v>121</v>
      </c>
      <c r="B99">
        <v>282</v>
      </c>
      <c r="C99">
        <v>9.4000000000000004E-3</v>
      </c>
      <c r="D99">
        <v>20.2</v>
      </c>
      <c r="F99">
        <f t="shared" si="8"/>
        <v>394.15</v>
      </c>
      <c r="G99">
        <f t="shared" si="9"/>
        <v>285.73649999999998</v>
      </c>
      <c r="H99">
        <f t="shared" si="11"/>
        <v>2.2808869353054648</v>
      </c>
      <c r="J99">
        <f t="shared" si="10"/>
        <v>9.4000000000000004E-3</v>
      </c>
    </row>
    <row r="100" spans="1:10">
      <c r="A100">
        <v>121</v>
      </c>
      <c r="B100">
        <v>280</v>
      </c>
      <c r="C100">
        <v>9.4000000000000004E-3</v>
      </c>
      <c r="D100">
        <v>20.2</v>
      </c>
      <c r="F100">
        <f t="shared" si="8"/>
        <v>394.15</v>
      </c>
      <c r="G100">
        <f t="shared" si="9"/>
        <v>283.70999999999998</v>
      </c>
      <c r="H100">
        <f t="shared" si="11"/>
        <v>2.2808869353054648</v>
      </c>
      <c r="J100">
        <f t="shared" si="10"/>
        <v>9.4000000000000004E-3</v>
      </c>
    </row>
    <row r="101" spans="1:10">
      <c r="A101">
        <v>121</v>
      </c>
      <c r="B101">
        <v>150</v>
      </c>
      <c r="C101">
        <v>7.3000000000000001E-3</v>
      </c>
      <c r="D101">
        <v>20.2</v>
      </c>
      <c r="F101">
        <f t="shared" si="8"/>
        <v>394.15</v>
      </c>
      <c r="G101">
        <f t="shared" si="9"/>
        <v>151.98750000000001</v>
      </c>
      <c r="H101">
        <f t="shared" si="11"/>
        <v>2.2808869353054648</v>
      </c>
      <c r="J101">
        <f t="shared" si="10"/>
        <v>7.3000000000000001E-3</v>
      </c>
    </row>
    <row r="102" spans="1:10">
      <c r="A102">
        <v>121</v>
      </c>
      <c r="B102">
        <v>150</v>
      </c>
      <c r="C102">
        <v>7.3000000000000001E-3</v>
      </c>
      <c r="D102">
        <v>20.2</v>
      </c>
      <c r="F102">
        <f t="shared" si="8"/>
        <v>394.15</v>
      </c>
      <c r="G102">
        <f t="shared" si="9"/>
        <v>151.98750000000001</v>
      </c>
      <c r="H102">
        <f t="shared" si="11"/>
        <v>2.2808869353054648</v>
      </c>
      <c r="J102">
        <f t="shared" si="10"/>
        <v>7.3000000000000001E-3</v>
      </c>
    </row>
    <row r="103" spans="1:10">
      <c r="A103">
        <v>121</v>
      </c>
      <c r="B103">
        <v>63</v>
      </c>
      <c r="C103">
        <v>3.8999999999999998E-3</v>
      </c>
      <c r="D103">
        <v>20.2</v>
      </c>
      <c r="F103">
        <f t="shared" si="8"/>
        <v>394.15</v>
      </c>
      <c r="G103">
        <f t="shared" si="9"/>
        <v>63.83475</v>
      </c>
      <c r="H103">
        <f t="shared" si="11"/>
        <v>2.2808869353054648</v>
      </c>
      <c r="J103">
        <f t="shared" si="10"/>
        <v>3.8999999999999998E-3</v>
      </c>
    </row>
    <row r="104" spans="1:10">
      <c r="A104">
        <v>121</v>
      </c>
      <c r="B104">
        <v>63</v>
      </c>
      <c r="C104">
        <v>3.8999999999999998E-3</v>
      </c>
      <c r="D104">
        <v>20.2</v>
      </c>
      <c r="F104">
        <f t="shared" si="8"/>
        <v>394.15</v>
      </c>
      <c r="G104">
        <f t="shared" si="9"/>
        <v>63.83475</v>
      </c>
      <c r="H104">
        <f t="shared" si="11"/>
        <v>2.2808869353054648</v>
      </c>
      <c r="J104">
        <f t="shared" si="10"/>
        <v>3.8999999999999998E-3</v>
      </c>
    </row>
    <row r="105" spans="1:10">
      <c r="A105">
        <v>121</v>
      </c>
      <c r="B105">
        <v>25</v>
      </c>
      <c r="C105">
        <v>1.9E-3</v>
      </c>
      <c r="D105">
        <v>20.2</v>
      </c>
      <c r="F105">
        <f t="shared" si="8"/>
        <v>394.15</v>
      </c>
      <c r="G105">
        <f t="shared" si="9"/>
        <v>25.331250000000001</v>
      </c>
      <c r="H105">
        <f t="shared" si="11"/>
        <v>2.2808869353054648</v>
      </c>
      <c r="J105">
        <f t="shared" si="10"/>
        <v>1.9E-3</v>
      </c>
    </row>
    <row r="106" spans="1:10">
      <c r="A106">
        <v>121</v>
      </c>
      <c r="B106">
        <v>25</v>
      </c>
      <c r="C106">
        <v>1.6999999999999999E-3</v>
      </c>
      <c r="D106">
        <v>20.2</v>
      </c>
      <c r="F106">
        <f t="shared" si="8"/>
        <v>394.15</v>
      </c>
      <c r="G106">
        <f t="shared" si="9"/>
        <v>25.331250000000001</v>
      </c>
      <c r="H106">
        <f t="shared" si="11"/>
        <v>2.2808869353054648</v>
      </c>
      <c r="J106">
        <f t="shared" si="10"/>
        <v>1.6999999999999999E-3</v>
      </c>
    </row>
    <row r="107" spans="1:10">
      <c r="A107">
        <v>76</v>
      </c>
      <c r="B107">
        <v>625</v>
      </c>
      <c r="C107">
        <v>6.8999999999999999E-3</v>
      </c>
      <c r="D107">
        <v>30.2</v>
      </c>
      <c r="F107">
        <f t="shared" si="8"/>
        <v>349.15</v>
      </c>
      <c r="G107">
        <f t="shared" si="9"/>
        <v>633.28125</v>
      </c>
      <c r="H107">
        <f t="shared" si="11"/>
        <v>3.8985831361235488</v>
      </c>
      <c r="J107">
        <f t="shared" si="10"/>
        <v>6.8999999999999999E-3</v>
      </c>
    </row>
    <row r="108" spans="1:10">
      <c r="A108">
        <v>76</v>
      </c>
      <c r="B108">
        <v>554</v>
      </c>
      <c r="C108">
        <v>7.0000000000000001E-3</v>
      </c>
      <c r="D108">
        <v>30.2</v>
      </c>
      <c r="F108">
        <f t="shared" si="8"/>
        <v>349.15</v>
      </c>
      <c r="G108">
        <f t="shared" si="9"/>
        <v>561.34050000000002</v>
      </c>
      <c r="H108">
        <f t="shared" si="11"/>
        <v>3.8985831361235488</v>
      </c>
      <c r="J108">
        <f t="shared" si="10"/>
        <v>7.0000000000000001E-3</v>
      </c>
    </row>
    <row r="109" spans="1:10">
      <c r="A109">
        <v>76</v>
      </c>
      <c r="B109">
        <v>525</v>
      </c>
      <c r="C109">
        <v>7.0000000000000001E-3</v>
      </c>
      <c r="D109">
        <v>30.2</v>
      </c>
      <c r="F109">
        <f t="shared" si="8"/>
        <v>349.15</v>
      </c>
      <c r="G109">
        <f t="shared" si="9"/>
        <v>531.95624999999995</v>
      </c>
      <c r="H109">
        <f t="shared" si="11"/>
        <v>3.8985831361235488</v>
      </c>
      <c r="J109">
        <f t="shared" si="10"/>
        <v>7.0000000000000001E-3</v>
      </c>
    </row>
    <row r="110" spans="1:10">
      <c r="A110">
        <v>76</v>
      </c>
      <c r="B110">
        <v>455</v>
      </c>
      <c r="C110">
        <v>6.6E-3</v>
      </c>
      <c r="D110">
        <v>30.2</v>
      </c>
      <c r="F110">
        <f t="shared" si="8"/>
        <v>349.15</v>
      </c>
      <c r="G110">
        <f t="shared" si="9"/>
        <v>461.02875</v>
      </c>
      <c r="H110">
        <f t="shared" si="11"/>
        <v>3.8985831361235488</v>
      </c>
      <c r="J110">
        <f t="shared" si="10"/>
        <v>6.6E-3</v>
      </c>
    </row>
    <row r="111" spans="1:10">
      <c r="A111">
        <v>76</v>
      </c>
      <c r="B111">
        <v>431</v>
      </c>
      <c r="C111">
        <v>6.7000000000000002E-3</v>
      </c>
      <c r="D111">
        <v>30.2</v>
      </c>
      <c r="F111">
        <f t="shared" si="8"/>
        <v>349.15</v>
      </c>
      <c r="G111">
        <f t="shared" si="9"/>
        <v>436.71075000000002</v>
      </c>
      <c r="H111">
        <f t="shared" si="11"/>
        <v>3.8985831361235488</v>
      </c>
      <c r="J111">
        <f t="shared" si="10"/>
        <v>6.7000000000000002E-3</v>
      </c>
    </row>
    <row r="112" spans="1:10">
      <c r="A112">
        <v>76</v>
      </c>
      <c r="B112">
        <v>319</v>
      </c>
      <c r="C112">
        <v>6.1000000000000004E-3</v>
      </c>
      <c r="D112">
        <v>30.2</v>
      </c>
      <c r="F112">
        <f t="shared" si="8"/>
        <v>349.15</v>
      </c>
      <c r="G112">
        <f t="shared" si="9"/>
        <v>323.22674999999998</v>
      </c>
      <c r="H112">
        <f t="shared" si="11"/>
        <v>3.8985831361235488</v>
      </c>
      <c r="J112">
        <f t="shared" si="10"/>
        <v>6.1000000000000004E-3</v>
      </c>
    </row>
    <row r="113" spans="1:10">
      <c r="A113">
        <v>76</v>
      </c>
      <c r="B113">
        <v>314</v>
      </c>
      <c r="C113">
        <v>6.0000000000000001E-3</v>
      </c>
      <c r="D113">
        <v>30.2</v>
      </c>
      <c r="F113">
        <f t="shared" si="8"/>
        <v>349.15</v>
      </c>
      <c r="G113">
        <f t="shared" si="9"/>
        <v>318.16050000000001</v>
      </c>
      <c r="H113">
        <f t="shared" si="11"/>
        <v>3.8985831361235488</v>
      </c>
      <c r="J113">
        <f t="shared" si="10"/>
        <v>6.0000000000000001E-3</v>
      </c>
    </row>
    <row r="114" spans="1:10">
      <c r="A114">
        <v>76</v>
      </c>
      <c r="B114">
        <v>163</v>
      </c>
      <c r="C114">
        <v>5.1000000000000004E-3</v>
      </c>
      <c r="D114">
        <v>30.2</v>
      </c>
      <c r="F114">
        <f t="shared" si="8"/>
        <v>349.15</v>
      </c>
      <c r="G114">
        <f t="shared" si="9"/>
        <v>165.15975</v>
      </c>
      <c r="H114">
        <f t="shared" si="11"/>
        <v>3.8985831361235488</v>
      </c>
      <c r="J114">
        <f t="shared" si="10"/>
        <v>5.1000000000000004E-3</v>
      </c>
    </row>
    <row r="115" spans="1:10">
      <c r="A115">
        <v>76</v>
      </c>
      <c r="B115">
        <v>161</v>
      </c>
      <c r="C115">
        <v>5.1999999999999998E-3</v>
      </c>
      <c r="D115">
        <v>30.2</v>
      </c>
      <c r="F115">
        <f t="shared" si="8"/>
        <v>349.15</v>
      </c>
      <c r="G115">
        <f t="shared" si="9"/>
        <v>163.13325</v>
      </c>
      <c r="H115">
        <f t="shared" si="11"/>
        <v>3.8985831361235488</v>
      </c>
      <c r="J115">
        <f t="shared" si="10"/>
        <v>5.1999999999999998E-3</v>
      </c>
    </row>
    <row r="116" spans="1:10">
      <c r="A116">
        <v>76</v>
      </c>
      <c r="B116">
        <v>74</v>
      </c>
      <c r="C116">
        <v>3.7000000000000002E-3</v>
      </c>
      <c r="D116">
        <v>30.2</v>
      </c>
      <c r="F116">
        <f t="shared" si="8"/>
        <v>349.15</v>
      </c>
      <c r="G116">
        <f t="shared" si="9"/>
        <v>74.980499999999992</v>
      </c>
      <c r="H116">
        <f t="shared" si="11"/>
        <v>3.8985831361235488</v>
      </c>
      <c r="J116">
        <f t="shared" si="10"/>
        <v>3.7000000000000002E-3</v>
      </c>
    </row>
    <row r="117" spans="1:10">
      <c r="A117">
        <v>76</v>
      </c>
      <c r="B117">
        <v>73</v>
      </c>
      <c r="C117">
        <v>3.5999999999999999E-3</v>
      </c>
      <c r="D117">
        <v>30.2</v>
      </c>
      <c r="F117">
        <f t="shared" si="8"/>
        <v>349.15</v>
      </c>
      <c r="G117">
        <f t="shared" si="9"/>
        <v>73.967249999999993</v>
      </c>
      <c r="H117">
        <f t="shared" si="11"/>
        <v>3.8985831361235488</v>
      </c>
      <c r="J117">
        <f t="shared" si="10"/>
        <v>3.5999999999999999E-3</v>
      </c>
    </row>
    <row r="118" spans="1:10">
      <c r="A118">
        <v>76</v>
      </c>
      <c r="B118">
        <v>15</v>
      </c>
      <c r="C118">
        <v>8.9999999999999998E-4</v>
      </c>
      <c r="D118">
        <v>30.2</v>
      </c>
      <c r="F118">
        <f t="shared" si="8"/>
        <v>349.15</v>
      </c>
      <c r="G118">
        <f t="shared" si="9"/>
        <v>15.19875</v>
      </c>
      <c r="H118">
        <f t="shared" si="11"/>
        <v>3.8985831361235488</v>
      </c>
      <c r="J118">
        <f t="shared" si="10"/>
        <v>8.9999999999999998E-4</v>
      </c>
    </row>
    <row r="119" spans="1:10">
      <c r="A119">
        <v>76</v>
      </c>
      <c r="B119">
        <v>15</v>
      </c>
      <c r="C119">
        <v>8.9999999999999998E-4</v>
      </c>
      <c r="D119">
        <v>30.2</v>
      </c>
      <c r="F119">
        <f t="shared" si="8"/>
        <v>349.15</v>
      </c>
      <c r="G119">
        <f t="shared" si="9"/>
        <v>15.19875</v>
      </c>
      <c r="H119">
        <f t="shared" si="11"/>
        <v>3.8985831361235488</v>
      </c>
      <c r="J119">
        <f t="shared" si="10"/>
        <v>8.9999999999999998E-4</v>
      </c>
    </row>
    <row r="120" spans="1:10">
      <c r="A120">
        <v>101</v>
      </c>
      <c r="B120">
        <v>630</v>
      </c>
      <c r="C120">
        <v>7.1000000000000004E-3</v>
      </c>
      <c r="D120">
        <v>30.2</v>
      </c>
      <c r="F120">
        <f t="shared" si="8"/>
        <v>374.15</v>
      </c>
      <c r="G120">
        <f t="shared" si="9"/>
        <v>638.34749999999997</v>
      </c>
      <c r="H120">
        <f t="shared" si="11"/>
        <v>3.8985831361235488</v>
      </c>
      <c r="J120">
        <f t="shared" si="10"/>
        <v>7.1000000000000004E-3</v>
      </c>
    </row>
    <row r="121" spans="1:10">
      <c r="A121">
        <v>101</v>
      </c>
      <c r="B121">
        <v>525</v>
      </c>
      <c r="C121">
        <v>7.0000000000000001E-3</v>
      </c>
      <c r="D121">
        <v>30.2</v>
      </c>
      <c r="F121">
        <f t="shared" si="8"/>
        <v>374.15</v>
      </c>
      <c r="G121">
        <f t="shared" si="9"/>
        <v>531.95624999999995</v>
      </c>
      <c r="H121">
        <f t="shared" si="11"/>
        <v>3.8985831361235488</v>
      </c>
      <c r="J121">
        <f t="shared" si="10"/>
        <v>7.0000000000000001E-3</v>
      </c>
    </row>
    <row r="122" spans="1:10">
      <c r="A122">
        <v>101</v>
      </c>
      <c r="B122">
        <v>402</v>
      </c>
      <c r="C122">
        <v>6.3E-3</v>
      </c>
      <c r="D122">
        <v>30.2</v>
      </c>
      <c r="F122">
        <f t="shared" si="8"/>
        <v>374.15</v>
      </c>
      <c r="G122">
        <f t="shared" si="9"/>
        <v>407.32650000000001</v>
      </c>
      <c r="H122">
        <f t="shared" si="11"/>
        <v>3.8985831361235488</v>
      </c>
      <c r="J122">
        <f t="shared" si="10"/>
        <v>6.3E-3</v>
      </c>
    </row>
    <row r="123" spans="1:10">
      <c r="A123">
        <v>101</v>
      </c>
      <c r="B123">
        <v>389</v>
      </c>
      <c r="C123">
        <v>6.4000000000000003E-3</v>
      </c>
      <c r="D123">
        <v>30.2</v>
      </c>
      <c r="F123">
        <f t="shared" si="8"/>
        <v>374.15</v>
      </c>
      <c r="G123">
        <f t="shared" si="9"/>
        <v>394.15424999999999</v>
      </c>
      <c r="H123">
        <f t="shared" si="11"/>
        <v>3.8985831361235488</v>
      </c>
      <c r="J123">
        <f t="shared" si="10"/>
        <v>6.4000000000000003E-3</v>
      </c>
    </row>
    <row r="124" spans="1:10">
      <c r="A124">
        <v>101</v>
      </c>
      <c r="B124">
        <v>388</v>
      </c>
      <c r="C124">
        <v>6.4000000000000003E-3</v>
      </c>
      <c r="D124">
        <v>30.2</v>
      </c>
      <c r="F124">
        <f t="shared" si="8"/>
        <v>374.15</v>
      </c>
      <c r="G124">
        <f t="shared" si="9"/>
        <v>393.14100000000002</v>
      </c>
      <c r="H124">
        <f t="shared" si="11"/>
        <v>3.8985831361235488</v>
      </c>
      <c r="J124">
        <f t="shared" si="10"/>
        <v>6.4000000000000003E-3</v>
      </c>
    </row>
    <row r="125" spans="1:10">
      <c r="A125">
        <v>101</v>
      </c>
      <c r="B125">
        <v>261</v>
      </c>
      <c r="C125">
        <v>5.7999999999999996E-3</v>
      </c>
      <c r="D125">
        <v>30.2</v>
      </c>
      <c r="F125">
        <f t="shared" si="8"/>
        <v>374.15</v>
      </c>
      <c r="G125">
        <f t="shared" si="9"/>
        <v>264.45825000000002</v>
      </c>
      <c r="H125">
        <f t="shared" si="11"/>
        <v>3.8985831361235488</v>
      </c>
      <c r="J125">
        <f t="shared" si="10"/>
        <v>5.7999999999999996E-3</v>
      </c>
    </row>
    <row r="126" spans="1:10">
      <c r="A126">
        <v>101</v>
      </c>
      <c r="B126">
        <v>238</v>
      </c>
      <c r="C126">
        <v>5.1999999999999998E-3</v>
      </c>
      <c r="D126">
        <v>30.2</v>
      </c>
      <c r="F126">
        <f t="shared" si="8"/>
        <v>374.15</v>
      </c>
      <c r="G126">
        <f t="shared" si="9"/>
        <v>241.15350000000001</v>
      </c>
      <c r="H126">
        <f t="shared" si="11"/>
        <v>3.8985831361235488</v>
      </c>
      <c r="J126">
        <f t="shared" si="10"/>
        <v>5.1999999999999998E-3</v>
      </c>
    </row>
    <row r="127" spans="1:10">
      <c r="A127">
        <v>101</v>
      </c>
      <c r="B127">
        <v>234</v>
      </c>
      <c r="C127">
        <v>5.4000000000000003E-3</v>
      </c>
      <c r="D127">
        <v>30.2</v>
      </c>
      <c r="F127">
        <f t="shared" si="8"/>
        <v>374.15</v>
      </c>
      <c r="G127">
        <f t="shared" si="9"/>
        <v>237.10049999999998</v>
      </c>
      <c r="H127">
        <f t="shared" si="11"/>
        <v>3.8985831361235488</v>
      </c>
      <c r="J127">
        <f t="shared" si="10"/>
        <v>5.4000000000000003E-3</v>
      </c>
    </row>
    <row r="128" spans="1:10">
      <c r="A128">
        <v>101</v>
      </c>
      <c r="B128">
        <v>154</v>
      </c>
      <c r="C128">
        <v>4.8999999999999998E-3</v>
      </c>
      <c r="D128">
        <v>30.2</v>
      </c>
      <c r="F128">
        <f t="shared" si="8"/>
        <v>374.15</v>
      </c>
      <c r="G128">
        <f t="shared" si="9"/>
        <v>156.04050000000001</v>
      </c>
      <c r="H128">
        <f t="shared" si="11"/>
        <v>3.8985831361235488</v>
      </c>
      <c r="J128">
        <f t="shared" si="10"/>
        <v>4.8999999999999998E-3</v>
      </c>
    </row>
    <row r="129" spans="1:10">
      <c r="A129">
        <v>101</v>
      </c>
      <c r="B129">
        <v>151</v>
      </c>
      <c r="C129">
        <v>4.7000000000000002E-3</v>
      </c>
      <c r="D129">
        <v>30.2</v>
      </c>
      <c r="F129">
        <f t="shared" si="8"/>
        <v>374.15</v>
      </c>
      <c r="G129">
        <f t="shared" si="9"/>
        <v>153.00075000000001</v>
      </c>
      <c r="H129">
        <f t="shared" si="11"/>
        <v>3.8985831361235488</v>
      </c>
      <c r="J129">
        <f t="shared" si="10"/>
        <v>4.7000000000000002E-3</v>
      </c>
    </row>
    <row r="130" spans="1:10">
      <c r="A130">
        <v>101</v>
      </c>
      <c r="B130">
        <v>76</v>
      </c>
      <c r="C130">
        <v>3.3E-3</v>
      </c>
      <c r="D130">
        <v>30.2</v>
      </c>
      <c r="F130">
        <f t="shared" si="8"/>
        <v>374.15</v>
      </c>
      <c r="G130">
        <f t="shared" si="9"/>
        <v>77.007000000000005</v>
      </c>
      <c r="H130">
        <f t="shared" ref="H130:H145" si="12">(1000 * D130) / (110.98 * (100 - D130))</f>
        <v>3.8985831361235488</v>
      </c>
      <c r="J130">
        <f t="shared" si="10"/>
        <v>3.3E-3</v>
      </c>
    </row>
    <row r="131" spans="1:10">
      <c r="A131">
        <v>101</v>
      </c>
      <c r="B131">
        <v>74</v>
      </c>
      <c r="C131">
        <v>3.0999999999999999E-3</v>
      </c>
      <c r="D131">
        <v>30.2</v>
      </c>
      <c r="F131">
        <f t="shared" ref="F131:F145" si="13">A131+273.15</f>
        <v>374.15</v>
      </c>
      <c r="G131">
        <f t="shared" ref="G131:G145" si="14">1.01325*B131</f>
        <v>74.980499999999992</v>
      </c>
      <c r="H131">
        <f t="shared" si="12"/>
        <v>3.8985831361235488</v>
      </c>
      <c r="J131">
        <f t="shared" ref="J131:J145" si="15">C131</f>
        <v>3.0999999999999999E-3</v>
      </c>
    </row>
    <row r="132" spans="1:10">
      <c r="A132">
        <v>121</v>
      </c>
      <c r="B132">
        <v>874</v>
      </c>
      <c r="C132">
        <v>2.12E-2</v>
      </c>
      <c r="D132">
        <v>30.2</v>
      </c>
      <c r="F132">
        <f t="shared" si="13"/>
        <v>394.15</v>
      </c>
      <c r="G132">
        <f t="shared" si="14"/>
        <v>885.58050000000003</v>
      </c>
      <c r="H132">
        <f t="shared" si="12"/>
        <v>3.8985831361235488</v>
      </c>
      <c r="J132">
        <f t="shared" si="15"/>
        <v>2.12E-2</v>
      </c>
    </row>
    <row r="133" spans="1:10">
      <c r="A133">
        <v>121</v>
      </c>
      <c r="B133">
        <v>830</v>
      </c>
      <c r="C133">
        <v>2.1999999999999999E-2</v>
      </c>
      <c r="D133">
        <v>30.2</v>
      </c>
      <c r="F133">
        <f t="shared" si="13"/>
        <v>394.15</v>
      </c>
      <c r="G133">
        <f t="shared" si="14"/>
        <v>840.99749999999995</v>
      </c>
      <c r="H133">
        <f t="shared" si="12"/>
        <v>3.8985831361235488</v>
      </c>
      <c r="J133">
        <f t="shared" si="15"/>
        <v>2.1999999999999999E-2</v>
      </c>
    </row>
    <row r="134" spans="1:10">
      <c r="A134">
        <v>121</v>
      </c>
      <c r="B134">
        <v>655</v>
      </c>
      <c r="C134">
        <v>1.9800000000000002E-2</v>
      </c>
      <c r="D134">
        <v>30.2</v>
      </c>
      <c r="F134">
        <f t="shared" si="13"/>
        <v>394.15</v>
      </c>
      <c r="G134">
        <f t="shared" si="14"/>
        <v>663.67875000000004</v>
      </c>
      <c r="H134">
        <f t="shared" si="12"/>
        <v>3.8985831361235488</v>
      </c>
      <c r="J134">
        <f t="shared" si="15"/>
        <v>1.9800000000000002E-2</v>
      </c>
    </row>
    <row r="135" spans="1:10">
      <c r="A135">
        <v>121</v>
      </c>
      <c r="B135">
        <v>643</v>
      </c>
      <c r="C135">
        <v>1.095</v>
      </c>
      <c r="D135">
        <v>30.2</v>
      </c>
      <c r="F135">
        <f t="shared" si="13"/>
        <v>394.15</v>
      </c>
      <c r="G135">
        <f t="shared" si="14"/>
        <v>651.51975000000004</v>
      </c>
      <c r="H135">
        <f t="shared" si="12"/>
        <v>3.8985831361235488</v>
      </c>
      <c r="J135">
        <f t="shared" si="15"/>
        <v>1.095</v>
      </c>
    </row>
    <row r="136" spans="1:10">
      <c r="A136">
        <v>121</v>
      </c>
      <c r="B136">
        <v>492</v>
      </c>
      <c r="C136">
        <v>1.0840000000000001</v>
      </c>
      <c r="D136">
        <v>30.2</v>
      </c>
      <c r="F136">
        <f t="shared" si="13"/>
        <v>394.15</v>
      </c>
      <c r="G136">
        <f t="shared" si="14"/>
        <v>498.51900000000001</v>
      </c>
      <c r="H136">
        <f t="shared" si="12"/>
        <v>3.8985831361235488</v>
      </c>
      <c r="J136">
        <f t="shared" si="15"/>
        <v>1.0840000000000001</v>
      </c>
    </row>
    <row r="137" spans="1:10">
      <c r="A137">
        <v>121</v>
      </c>
      <c r="B137">
        <v>480</v>
      </c>
      <c r="C137">
        <v>1.7899999999999999E-2</v>
      </c>
      <c r="D137">
        <v>30.2</v>
      </c>
      <c r="F137">
        <f t="shared" si="13"/>
        <v>394.15</v>
      </c>
      <c r="G137">
        <f t="shared" si="14"/>
        <v>486.36</v>
      </c>
      <c r="H137">
        <f t="shared" si="12"/>
        <v>3.8985831361235488</v>
      </c>
      <c r="J137">
        <f t="shared" si="15"/>
        <v>1.7899999999999999E-2</v>
      </c>
    </row>
    <row r="138" spans="1:10">
      <c r="A138">
        <v>121</v>
      </c>
      <c r="B138">
        <v>318</v>
      </c>
      <c r="C138">
        <v>1.5900000000000001E-2</v>
      </c>
      <c r="D138">
        <v>30.2</v>
      </c>
      <c r="F138">
        <f t="shared" si="13"/>
        <v>394.15</v>
      </c>
      <c r="G138">
        <f t="shared" si="14"/>
        <v>322.21350000000001</v>
      </c>
      <c r="H138">
        <f t="shared" si="12"/>
        <v>3.8985831361235488</v>
      </c>
      <c r="J138">
        <f t="shared" si="15"/>
        <v>1.5900000000000001E-2</v>
      </c>
    </row>
    <row r="139" spans="1:10">
      <c r="A139">
        <v>121</v>
      </c>
      <c r="B139">
        <v>309</v>
      </c>
      <c r="C139">
        <v>1.5299999999999999E-2</v>
      </c>
      <c r="D139">
        <v>30.2</v>
      </c>
      <c r="F139">
        <f t="shared" si="13"/>
        <v>394.15</v>
      </c>
      <c r="G139">
        <f t="shared" si="14"/>
        <v>313.09424999999999</v>
      </c>
      <c r="H139">
        <f t="shared" si="12"/>
        <v>3.8985831361235488</v>
      </c>
      <c r="J139">
        <f t="shared" si="15"/>
        <v>1.5299999999999999E-2</v>
      </c>
    </row>
    <row r="140" spans="1:10">
      <c r="A140">
        <v>121</v>
      </c>
      <c r="B140">
        <v>156</v>
      </c>
      <c r="C140">
        <v>1.24E-2</v>
      </c>
      <c r="D140">
        <v>30.2</v>
      </c>
      <c r="F140">
        <f t="shared" si="13"/>
        <v>394.15</v>
      </c>
      <c r="G140">
        <f t="shared" si="14"/>
        <v>158.06700000000001</v>
      </c>
      <c r="H140">
        <f t="shared" si="12"/>
        <v>3.8985831361235488</v>
      </c>
      <c r="J140">
        <f t="shared" si="15"/>
        <v>1.24E-2</v>
      </c>
    </row>
    <row r="141" spans="1:10">
      <c r="A141">
        <v>121</v>
      </c>
      <c r="B141">
        <v>155</v>
      </c>
      <c r="C141">
        <v>1.1599999999999999E-2</v>
      </c>
      <c r="D141">
        <v>30.2</v>
      </c>
      <c r="F141">
        <f t="shared" si="13"/>
        <v>394.15</v>
      </c>
      <c r="G141">
        <f t="shared" si="14"/>
        <v>157.05375000000001</v>
      </c>
      <c r="H141">
        <f t="shared" si="12"/>
        <v>3.8985831361235488</v>
      </c>
      <c r="J141">
        <f t="shared" si="15"/>
        <v>1.1599999999999999E-2</v>
      </c>
    </row>
    <row r="142" spans="1:10">
      <c r="A142">
        <v>121</v>
      </c>
      <c r="B142">
        <v>74</v>
      </c>
      <c r="C142">
        <v>8.2000000000000007E-3</v>
      </c>
      <c r="D142">
        <v>30.2</v>
      </c>
      <c r="F142">
        <f t="shared" si="13"/>
        <v>394.15</v>
      </c>
      <c r="G142">
        <f t="shared" si="14"/>
        <v>74.980499999999992</v>
      </c>
      <c r="H142">
        <f t="shared" si="12"/>
        <v>3.8985831361235488</v>
      </c>
      <c r="J142">
        <f t="shared" si="15"/>
        <v>8.2000000000000007E-3</v>
      </c>
    </row>
    <row r="143" spans="1:10">
      <c r="A143">
        <v>121</v>
      </c>
      <c r="B143">
        <v>73</v>
      </c>
      <c r="C143">
        <v>7.1000000000000004E-3</v>
      </c>
      <c r="D143">
        <v>30.2</v>
      </c>
      <c r="F143">
        <f t="shared" si="13"/>
        <v>394.15</v>
      </c>
      <c r="G143">
        <f t="shared" si="14"/>
        <v>73.967249999999993</v>
      </c>
      <c r="H143">
        <f t="shared" si="12"/>
        <v>3.8985831361235488</v>
      </c>
      <c r="J143">
        <f t="shared" si="15"/>
        <v>7.1000000000000004E-3</v>
      </c>
    </row>
    <row r="144" spans="1:10">
      <c r="A144">
        <v>121</v>
      </c>
      <c r="B144">
        <v>28</v>
      </c>
      <c r="C144">
        <v>3.0000000000000001E-3</v>
      </c>
      <c r="D144">
        <v>30.2</v>
      </c>
      <c r="F144">
        <f t="shared" si="13"/>
        <v>394.15</v>
      </c>
      <c r="G144">
        <f t="shared" si="14"/>
        <v>28.370999999999999</v>
      </c>
      <c r="H144">
        <f t="shared" si="12"/>
        <v>3.8985831361235488</v>
      </c>
      <c r="J144">
        <f t="shared" si="15"/>
        <v>3.0000000000000001E-3</v>
      </c>
    </row>
    <row r="145" spans="1:10">
      <c r="A145">
        <v>121</v>
      </c>
      <c r="B145">
        <v>28</v>
      </c>
      <c r="C145">
        <v>3.0000000000000001E-3</v>
      </c>
      <c r="D145">
        <v>30.2</v>
      </c>
      <c r="F145">
        <f t="shared" si="13"/>
        <v>394.15</v>
      </c>
      <c r="G145">
        <f t="shared" si="14"/>
        <v>28.370999999999999</v>
      </c>
      <c r="H145">
        <f t="shared" si="12"/>
        <v>3.8985831361235488</v>
      </c>
      <c r="J145">
        <f t="shared" si="15"/>
        <v>3.0000000000000001E-3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14F9-2943-4AA7-8B91-A96EB296BB2A}">
  <dimension ref="A1:N124"/>
  <sheetViews>
    <sheetView topLeftCell="F94" workbookViewId="0">
      <selection activeCell="J2" sqref="J2:N124"/>
    </sheetView>
  </sheetViews>
  <sheetFormatPr defaultRowHeight="14.5"/>
  <cols>
    <col min="3" max="3" width="10.6328125" customWidth="1"/>
    <col min="4" max="4" width="10.1796875" customWidth="1"/>
    <col min="9" max="9" width="4.1796875" customWidth="1"/>
  </cols>
  <sheetData>
    <row r="1" spans="1:14">
      <c r="A1" t="s">
        <v>49</v>
      </c>
      <c r="B1" t="s">
        <v>58</v>
      </c>
      <c r="C1" t="s">
        <v>59</v>
      </c>
      <c r="D1" t="s">
        <v>57</v>
      </c>
      <c r="E1" t="s">
        <v>60</v>
      </c>
      <c r="F1" t="s">
        <v>61</v>
      </c>
      <c r="G1" t="s">
        <v>62</v>
      </c>
      <c r="H1" t="s">
        <v>63</v>
      </c>
      <c r="J1" t="s">
        <v>2</v>
      </c>
      <c r="K1" t="s">
        <v>52</v>
      </c>
      <c r="L1" t="s">
        <v>53</v>
      </c>
      <c r="N1" t="s">
        <v>46</v>
      </c>
    </row>
    <row r="2" spans="1:14">
      <c r="A2">
        <v>350</v>
      </c>
      <c r="B2">
        <v>200</v>
      </c>
      <c r="C2" s="4">
        <v>3.6</v>
      </c>
      <c r="D2">
        <v>0</v>
      </c>
      <c r="E2">
        <f>100*C2/(100-C2)</f>
        <v>3.7344398340248959</v>
      </c>
      <c r="F2">
        <f>(100-D2)/18.015</f>
        <v>5.5509297807382731</v>
      </c>
      <c r="G2">
        <f>D2/58.44</f>
        <v>0</v>
      </c>
      <c r="H2">
        <f>E2/44.01</f>
        <v>8.4854347512494793E-2</v>
      </c>
      <c r="J2">
        <f>273.15+A2</f>
        <v>623.15</v>
      </c>
      <c r="K2">
        <f>B2</f>
        <v>200</v>
      </c>
      <c r="L2">
        <f>(1000 * D2) / (58.44 * (100 - D2))</f>
        <v>0</v>
      </c>
      <c r="N2">
        <f>H2/SUM(F2:H2)</f>
        <v>1.5056351624105206E-2</v>
      </c>
    </row>
    <row r="3" spans="1:14">
      <c r="A3">
        <v>350</v>
      </c>
      <c r="B3">
        <v>300</v>
      </c>
      <c r="C3" s="4">
        <v>14.3</v>
      </c>
      <c r="D3">
        <f>D2</f>
        <v>0</v>
      </c>
      <c r="E3">
        <f t="shared" ref="E3:E66" si="0">100*C3/(100-C3)</f>
        <v>16.686114352392064</v>
      </c>
      <c r="F3">
        <f t="shared" ref="F3:F66" si="1">(100-D3)/18.015</f>
        <v>5.5509297807382731</v>
      </c>
      <c r="G3">
        <f t="shared" ref="G3:G66" si="2">D3/58.44</f>
        <v>0</v>
      </c>
      <c r="H3">
        <f t="shared" ref="H3:H66" si="3">E3/44.01</f>
        <v>0.37914370262195102</v>
      </c>
      <c r="J3">
        <f t="shared" ref="J3:J66" si="4">273.15+A3</f>
        <v>623.15</v>
      </c>
      <c r="K3">
        <f t="shared" ref="K3:K66" si="5">B3</f>
        <v>300</v>
      </c>
      <c r="L3">
        <f t="shared" ref="L3:L66" si="6">(1000 * D3) / (58.44 * (100 - D3))</f>
        <v>0</v>
      </c>
      <c r="N3">
        <f t="shared" ref="N3:N66" si="7">H3/SUM(F3:H3)</f>
        <v>6.3935751164943835E-2</v>
      </c>
    </row>
    <row r="4" spans="1:14">
      <c r="A4">
        <v>300</v>
      </c>
      <c r="B4">
        <v>100</v>
      </c>
      <c r="C4" s="4">
        <v>1</v>
      </c>
      <c r="D4">
        <f t="shared" ref="D4:D67" si="8">D3</f>
        <v>0</v>
      </c>
      <c r="E4">
        <f t="shared" si="0"/>
        <v>1.0101010101010102</v>
      </c>
      <c r="F4">
        <f t="shared" si="1"/>
        <v>5.5509297807382731</v>
      </c>
      <c r="G4">
        <f t="shared" si="2"/>
        <v>0</v>
      </c>
      <c r="H4">
        <f t="shared" si="3"/>
        <v>2.2951624860281985E-2</v>
      </c>
      <c r="J4">
        <f t="shared" si="4"/>
        <v>573.15</v>
      </c>
      <c r="K4">
        <f t="shared" si="5"/>
        <v>100</v>
      </c>
      <c r="L4">
        <f t="shared" si="6"/>
        <v>0</v>
      </c>
      <c r="N4">
        <f t="shared" si="7"/>
        <v>4.1177095797604807E-3</v>
      </c>
    </row>
    <row r="5" spans="1:14">
      <c r="A5">
        <f>A4</f>
        <v>300</v>
      </c>
      <c r="B5">
        <v>200</v>
      </c>
      <c r="C5" s="4">
        <v>6.4</v>
      </c>
      <c r="D5">
        <f t="shared" si="8"/>
        <v>0</v>
      </c>
      <c r="E5">
        <f t="shared" si="0"/>
        <v>6.8376068376068382</v>
      </c>
      <c r="F5">
        <f t="shared" si="1"/>
        <v>5.5509297807382731</v>
      </c>
      <c r="G5">
        <f t="shared" si="2"/>
        <v>0</v>
      </c>
      <c r="H5">
        <f t="shared" si="3"/>
        <v>0.15536484520806268</v>
      </c>
      <c r="J5">
        <f t="shared" si="4"/>
        <v>573.15</v>
      </c>
      <c r="K5">
        <f t="shared" si="5"/>
        <v>200</v>
      </c>
      <c r="L5">
        <f t="shared" si="6"/>
        <v>0</v>
      </c>
      <c r="N5">
        <f t="shared" si="7"/>
        <v>2.7226923142317925E-2</v>
      </c>
    </row>
    <row r="6" spans="1:14">
      <c r="A6">
        <f t="shared" ref="A6:A69" si="9">A5</f>
        <v>300</v>
      </c>
      <c r="B6">
        <v>300</v>
      </c>
      <c r="C6" s="4">
        <v>12.2</v>
      </c>
      <c r="D6">
        <f t="shared" si="8"/>
        <v>0</v>
      </c>
      <c r="E6">
        <f t="shared" si="0"/>
        <v>13.895216400911162</v>
      </c>
      <c r="F6">
        <f t="shared" si="1"/>
        <v>5.5509297807382731</v>
      </c>
      <c r="G6">
        <f t="shared" si="2"/>
        <v>0</v>
      </c>
      <c r="H6">
        <f t="shared" si="3"/>
        <v>0.31572861624428905</v>
      </c>
      <c r="J6">
        <f t="shared" si="4"/>
        <v>573.15</v>
      </c>
      <c r="K6">
        <f t="shared" si="5"/>
        <v>300</v>
      </c>
      <c r="L6">
        <f t="shared" si="6"/>
        <v>0</v>
      </c>
      <c r="N6">
        <f t="shared" si="7"/>
        <v>5.3817453630277817E-2</v>
      </c>
    </row>
    <row r="7" spans="1:14">
      <c r="A7">
        <f t="shared" si="9"/>
        <v>300</v>
      </c>
      <c r="B7">
        <v>400</v>
      </c>
      <c r="C7" s="4">
        <v>18.2</v>
      </c>
      <c r="D7">
        <f t="shared" si="8"/>
        <v>0</v>
      </c>
      <c r="E7">
        <f t="shared" si="0"/>
        <v>22.249388753056234</v>
      </c>
      <c r="F7">
        <f t="shared" si="1"/>
        <v>5.5509297807382731</v>
      </c>
      <c r="G7">
        <f t="shared" si="2"/>
        <v>0</v>
      </c>
      <c r="H7">
        <f t="shared" si="3"/>
        <v>0.50555302779041666</v>
      </c>
      <c r="J7">
        <f t="shared" si="4"/>
        <v>573.15</v>
      </c>
      <c r="K7">
        <f t="shared" si="5"/>
        <v>400</v>
      </c>
      <c r="L7">
        <f t="shared" si="6"/>
        <v>0</v>
      </c>
      <c r="N7">
        <f t="shared" si="7"/>
        <v>8.3473039348597011E-2</v>
      </c>
    </row>
    <row r="8" spans="1:14">
      <c r="A8">
        <f t="shared" si="9"/>
        <v>300</v>
      </c>
      <c r="B8">
        <v>500</v>
      </c>
      <c r="C8" s="4">
        <v>26.4</v>
      </c>
      <c r="D8">
        <f t="shared" si="8"/>
        <v>0</v>
      </c>
      <c r="E8">
        <f t="shared" si="0"/>
        <v>35.869565217391305</v>
      </c>
      <c r="F8">
        <f t="shared" si="1"/>
        <v>5.5509297807382731</v>
      </c>
      <c r="G8">
        <f t="shared" si="2"/>
        <v>0</v>
      </c>
      <c r="H8">
        <f t="shared" si="3"/>
        <v>0.81503215672327445</v>
      </c>
      <c r="J8">
        <f t="shared" si="4"/>
        <v>573.15</v>
      </c>
      <c r="K8">
        <f t="shared" si="5"/>
        <v>500</v>
      </c>
      <c r="L8">
        <f t="shared" si="6"/>
        <v>0</v>
      </c>
      <c r="N8">
        <f t="shared" si="7"/>
        <v>0.12802969366296144</v>
      </c>
    </row>
    <row r="9" spans="1:14">
      <c r="A9">
        <v>250</v>
      </c>
      <c r="B9">
        <v>100</v>
      </c>
      <c r="C9" s="4">
        <v>2.8</v>
      </c>
      <c r="D9">
        <f t="shared" si="8"/>
        <v>0</v>
      </c>
      <c r="E9">
        <f t="shared" si="0"/>
        <v>2.8806584362139915</v>
      </c>
      <c r="F9">
        <f t="shared" si="1"/>
        <v>5.5509297807382731</v>
      </c>
      <c r="G9">
        <f t="shared" si="2"/>
        <v>0</v>
      </c>
      <c r="H9">
        <f t="shared" si="3"/>
        <v>6.5454633860804176E-2</v>
      </c>
      <c r="J9">
        <f t="shared" si="4"/>
        <v>523.15</v>
      </c>
      <c r="K9">
        <f t="shared" si="5"/>
        <v>100</v>
      </c>
      <c r="L9">
        <f t="shared" si="6"/>
        <v>0</v>
      </c>
      <c r="N9">
        <f t="shared" si="7"/>
        <v>1.1654229666093223E-2</v>
      </c>
    </row>
    <row r="10" spans="1:14">
      <c r="A10">
        <f t="shared" si="9"/>
        <v>250</v>
      </c>
      <c r="B10">
        <v>200</v>
      </c>
      <c r="C10" s="4">
        <v>6</v>
      </c>
      <c r="D10">
        <f t="shared" si="8"/>
        <v>0</v>
      </c>
      <c r="E10">
        <f t="shared" si="0"/>
        <v>6.3829787234042552</v>
      </c>
      <c r="F10">
        <f t="shared" si="1"/>
        <v>5.5509297807382731</v>
      </c>
      <c r="G10">
        <f t="shared" si="2"/>
        <v>0</v>
      </c>
      <c r="H10">
        <f t="shared" si="3"/>
        <v>0.14503473581922871</v>
      </c>
      <c r="J10">
        <f t="shared" si="4"/>
        <v>523.15</v>
      </c>
      <c r="K10">
        <f t="shared" si="5"/>
        <v>200</v>
      </c>
      <c r="L10">
        <f t="shared" si="6"/>
        <v>0</v>
      </c>
      <c r="N10">
        <f t="shared" si="7"/>
        <v>2.5462717577967652E-2</v>
      </c>
    </row>
    <row r="11" spans="1:14">
      <c r="A11">
        <f t="shared" si="9"/>
        <v>250</v>
      </c>
      <c r="B11">
        <v>300</v>
      </c>
      <c r="C11" s="4">
        <v>9.6</v>
      </c>
      <c r="D11">
        <f t="shared" si="8"/>
        <v>0</v>
      </c>
      <c r="E11">
        <f t="shared" si="0"/>
        <v>10.619469026548671</v>
      </c>
      <c r="F11">
        <f t="shared" si="1"/>
        <v>5.5509297807382731</v>
      </c>
      <c r="G11">
        <f t="shared" si="2"/>
        <v>0</v>
      </c>
      <c r="H11">
        <f t="shared" si="3"/>
        <v>0.24129672861960172</v>
      </c>
      <c r="J11">
        <f t="shared" si="4"/>
        <v>523.15</v>
      </c>
      <c r="K11">
        <f t="shared" si="5"/>
        <v>300</v>
      </c>
      <c r="L11">
        <f t="shared" si="6"/>
        <v>0</v>
      </c>
      <c r="N11">
        <f t="shared" si="7"/>
        <v>4.1658717632980111E-2</v>
      </c>
    </row>
    <row r="12" spans="1:14">
      <c r="A12">
        <f t="shared" si="9"/>
        <v>250</v>
      </c>
      <c r="B12">
        <v>400</v>
      </c>
      <c r="C12" s="4">
        <v>12.1</v>
      </c>
      <c r="D12">
        <f t="shared" si="8"/>
        <v>0</v>
      </c>
      <c r="E12">
        <f t="shared" si="0"/>
        <v>13.765642775881682</v>
      </c>
      <c r="F12">
        <f t="shared" si="1"/>
        <v>5.5509297807382731</v>
      </c>
      <c r="G12">
        <f t="shared" si="2"/>
        <v>0</v>
      </c>
      <c r="H12">
        <f t="shared" si="3"/>
        <v>0.31278443026316027</v>
      </c>
      <c r="J12">
        <f t="shared" si="4"/>
        <v>523.15</v>
      </c>
      <c r="K12">
        <f t="shared" si="5"/>
        <v>400</v>
      </c>
      <c r="L12">
        <f t="shared" si="6"/>
        <v>0</v>
      </c>
      <c r="N12">
        <f t="shared" si="7"/>
        <v>5.3342372941081906E-2</v>
      </c>
    </row>
    <row r="13" spans="1:14">
      <c r="A13">
        <f t="shared" si="9"/>
        <v>250</v>
      </c>
      <c r="B13">
        <v>500</v>
      </c>
      <c r="C13" s="4">
        <v>14.3</v>
      </c>
      <c r="D13">
        <f t="shared" si="8"/>
        <v>0</v>
      </c>
      <c r="E13">
        <f t="shared" si="0"/>
        <v>16.686114352392064</v>
      </c>
      <c r="F13">
        <f t="shared" si="1"/>
        <v>5.5509297807382731</v>
      </c>
      <c r="G13">
        <f t="shared" si="2"/>
        <v>0</v>
      </c>
      <c r="H13">
        <f t="shared" si="3"/>
        <v>0.37914370262195102</v>
      </c>
      <c r="J13">
        <f t="shared" si="4"/>
        <v>523.15</v>
      </c>
      <c r="K13">
        <f t="shared" si="5"/>
        <v>500</v>
      </c>
      <c r="L13">
        <f t="shared" si="6"/>
        <v>0</v>
      </c>
      <c r="N13">
        <f t="shared" si="7"/>
        <v>6.3935751164943835E-2</v>
      </c>
    </row>
    <row r="14" spans="1:14">
      <c r="A14">
        <f t="shared" si="9"/>
        <v>250</v>
      </c>
      <c r="B14">
        <v>600</v>
      </c>
      <c r="C14" s="4">
        <v>16.399999999999999</v>
      </c>
      <c r="D14">
        <f t="shared" si="8"/>
        <v>0</v>
      </c>
      <c r="E14">
        <f t="shared" si="0"/>
        <v>19.617224880382775</v>
      </c>
      <c r="F14">
        <f t="shared" si="1"/>
        <v>5.5509297807382731</v>
      </c>
      <c r="G14">
        <f t="shared" si="2"/>
        <v>0</v>
      </c>
      <c r="H14">
        <f t="shared" si="3"/>
        <v>0.44574471439179225</v>
      </c>
      <c r="J14">
        <f t="shared" si="4"/>
        <v>523.15</v>
      </c>
      <c r="K14">
        <f t="shared" si="5"/>
        <v>600</v>
      </c>
      <c r="L14">
        <f t="shared" si="6"/>
        <v>0</v>
      </c>
      <c r="N14">
        <f t="shared" si="7"/>
        <v>7.4331984294592632E-2</v>
      </c>
    </row>
    <row r="15" spans="1:14">
      <c r="A15">
        <f t="shared" si="9"/>
        <v>250</v>
      </c>
      <c r="B15">
        <v>800</v>
      </c>
      <c r="C15" s="4">
        <v>20.399999999999999</v>
      </c>
      <c r="D15">
        <f t="shared" si="8"/>
        <v>0</v>
      </c>
      <c r="E15">
        <f t="shared" si="0"/>
        <v>25.628140703517587</v>
      </c>
      <c r="F15">
        <f t="shared" si="1"/>
        <v>5.5509297807382731</v>
      </c>
      <c r="G15">
        <f t="shared" si="2"/>
        <v>0</v>
      </c>
      <c r="H15">
        <f t="shared" si="3"/>
        <v>0.58232539658072235</v>
      </c>
      <c r="J15">
        <f t="shared" si="4"/>
        <v>523.15</v>
      </c>
      <c r="K15">
        <f t="shared" si="5"/>
        <v>800</v>
      </c>
      <c r="L15">
        <f t="shared" si="6"/>
        <v>0</v>
      </c>
      <c r="N15">
        <f t="shared" si="7"/>
        <v>9.4945568013244136E-2</v>
      </c>
    </row>
    <row r="16" spans="1:14">
      <c r="A16">
        <f t="shared" si="9"/>
        <v>250</v>
      </c>
      <c r="B16">
        <v>1000</v>
      </c>
      <c r="C16" s="4">
        <v>24.2</v>
      </c>
      <c r="D16">
        <f t="shared" si="8"/>
        <v>0</v>
      </c>
      <c r="E16">
        <f t="shared" si="0"/>
        <v>31.926121372031663</v>
      </c>
      <c r="F16">
        <f t="shared" si="1"/>
        <v>5.5509297807382731</v>
      </c>
      <c r="G16">
        <f t="shared" si="2"/>
        <v>0</v>
      </c>
      <c r="H16">
        <f t="shared" si="3"/>
        <v>0.72542879736495491</v>
      </c>
      <c r="J16">
        <f t="shared" si="4"/>
        <v>523.15</v>
      </c>
      <c r="K16">
        <f t="shared" si="5"/>
        <v>1000</v>
      </c>
      <c r="L16">
        <f t="shared" si="6"/>
        <v>0</v>
      </c>
      <c r="N16">
        <f t="shared" si="7"/>
        <v>0.11558115877824592</v>
      </c>
    </row>
    <row r="17" spans="1:14">
      <c r="A17">
        <f t="shared" si="9"/>
        <v>250</v>
      </c>
      <c r="B17">
        <v>1200</v>
      </c>
      <c r="C17" s="4">
        <v>27.2</v>
      </c>
      <c r="D17">
        <f t="shared" si="8"/>
        <v>0</v>
      </c>
      <c r="E17">
        <f t="shared" si="0"/>
        <v>37.362637362637365</v>
      </c>
      <c r="F17">
        <f t="shared" si="1"/>
        <v>5.5509297807382731</v>
      </c>
      <c r="G17">
        <f t="shared" si="2"/>
        <v>0</v>
      </c>
      <c r="H17">
        <f t="shared" si="3"/>
        <v>0.84895790417262817</v>
      </c>
      <c r="J17">
        <f t="shared" si="4"/>
        <v>523.15</v>
      </c>
      <c r="K17">
        <f t="shared" si="5"/>
        <v>1200</v>
      </c>
      <c r="L17">
        <f t="shared" si="6"/>
        <v>0</v>
      </c>
      <c r="N17">
        <f t="shared" si="7"/>
        <v>0.13265200046779374</v>
      </c>
    </row>
    <row r="18" spans="1:14">
      <c r="A18">
        <f t="shared" si="9"/>
        <v>250</v>
      </c>
      <c r="B18">
        <v>1400</v>
      </c>
      <c r="C18" s="4">
        <v>28.8</v>
      </c>
      <c r="D18">
        <f t="shared" si="8"/>
        <v>0</v>
      </c>
      <c r="E18">
        <f t="shared" si="0"/>
        <v>40.449438202247187</v>
      </c>
      <c r="F18">
        <f t="shared" si="1"/>
        <v>5.5509297807382731</v>
      </c>
      <c r="G18">
        <f t="shared" si="2"/>
        <v>0</v>
      </c>
      <c r="H18">
        <f t="shared" si="3"/>
        <v>0.91909652811286502</v>
      </c>
      <c r="J18">
        <f t="shared" si="4"/>
        <v>523.15</v>
      </c>
      <c r="K18">
        <f t="shared" si="5"/>
        <v>1400</v>
      </c>
      <c r="L18">
        <f t="shared" si="6"/>
        <v>0</v>
      </c>
      <c r="N18">
        <f t="shared" si="7"/>
        <v>0.14205452717487729</v>
      </c>
    </row>
    <row r="19" spans="1:14">
      <c r="A19">
        <v>200</v>
      </c>
      <c r="B19">
        <f>B9</f>
        <v>100</v>
      </c>
      <c r="C19" s="4">
        <v>3.2</v>
      </c>
      <c r="D19">
        <f t="shared" si="8"/>
        <v>0</v>
      </c>
      <c r="E19">
        <f t="shared" si="0"/>
        <v>3.3057851239669422</v>
      </c>
      <c r="F19">
        <f t="shared" si="1"/>
        <v>5.5509297807382731</v>
      </c>
      <c r="G19">
        <f t="shared" si="2"/>
        <v>0</v>
      </c>
      <c r="H19">
        <f t="shared" si="3"/>
        <v>7.511440863365014E-2</v>
      </c>
      <c r="J19">
        <f t="shared" si="4"/>
        <v>473.15</v>
      </c>
      <c r="K19">
        <f t="shared" si="5"/>
        <v>100</v>
      </c>
      <c r="L19">
        <f t="shared" si="6"/>
        <v>0</v>
      </c>
      <c r="N19">
        <f t="shared" si="7"/>
        <v>1.335119421485307E-2</v>
      </c>
    </row>
    <row r="20" spans="1:14">
      <c r="A20">
        <f t="shared" si="9"/>
        <v>200</v>
      </c>
      <c r="B20">
        <f t="shared" ref="B20:B38" si="10">B10</f>
        <v>200</v>
      </c>
      <c r="C20" s="4">
        <v>6.1</v>
      </c>
      <c r="D20">
        <f t="shared" si="8"/>
        <v>0</v>
      </c>
      <c r="E20">
        <f t="shared" si="0"/>
        <v>6.4962726304579332</v>
      </c>
      <c r="F20">
        <f t="shared" si="1"/>
        <v>5.5509297807382731</v>
      </c>
      <c r="G20">
        <f t="shared" si="2"/>
        <v>0</v>
      </c>
      <c r="H20">
        <f t="shared" si="3"/>
        <v>0.14760901228034387</v>
      </c>
      <c r="J20">
        <f t="shared" si="4"/>
        <v>473.15</v>
      </c>
      <c r="K20">
        <f t="shared" si="5"/>
        <v>200</v>
      </c>
      <c r="L20">
        <f t="shared" si="6"/>
        <v>0</v>
      </c>
      <c r="N20">
        <f t="shared" si="7"/>
        <v>2.5902958221708051E-2</v>
      </c>
    </row>
    <row r="21" spans="1:14">
      <c r="A21">
        <f t="shared" si="9"/>
        <v>200</v>
      </c>
      <c r="B21">
        <f t="shared" si="10"/>
        <v>300</v>
      </c>
      <c r="C21" s="4">
        <v>7.9</v>
      </c>
      <c r="D21">
        <f t="shared" si="8"/>
        <v>0</v>
      </c>
      <c r="E21">
        <f t="shared" si="0"/>
        <v>8.5776330076004346</v>
      </c>
      <c r="F21">
        <f t="shared" si="1"/>
        <v>5.5509297807382731</v>
      </c>
      <c r="G21">
        <f t="shared" si="2"/>
        <v>0</v>
      </c>
      <c r="H21">
        <f t="shared" si="3"/>
        <v>0.19490190882982128</v>
      </c>
      <c r="J21">
        <f t="shared" si="4"/>
        <v>473.15</v>
      </c>
      <c r="K21">
        <f t="shared" si="5"/>
        <v>300</v>
      </c>
      <c r="L21">
        <f t="shared" si="6"/>
        <v>0</v>
      </c>
      <c r="N21">
        <f t="shared" si="7"/>
        <v>3.3920573967329656E-2</v>
      </c>
    </row>
    <row r="22" spans="1:14">
      <c r="A22">
        <f t="shared" si="9"/>
        <v>200</v>
      </c>
      <c r="B22">
        <f t="shared" si="10"/>
        <v>400</v>
      </c>
      <c r="C22" s="4">
        <v>9.5</v>
      </c>
      <c r="D22">
        <f t="shared" si="8"/>
        <v>0</v>
      </c>
      <c r="E22">
        <f t="shared" si="0"/>
        <v>10.497237569060774</v>
      </c>
      <c r="F22">
        <f t="shared" si="1"/>
        <v>5.5509297807382731</v>
      </c>
      <c r="G22">
        <f t="shared" si="2"/>
        <v>0</v>
      </c>
      <c r="H22">
        <f t="shared" si="3"/>
        <v>0.23851937216679786</v>
      </c>
      <c r="J22">
        <f t="shared" si="4"/>
        <v>473.15</v>
      </c>
      <c r="K22">
        <f t="shared" si="5"/>
        <v>400</v>
      </c>
      <c r="L22">
        <f t="shared" si="6"/>
        <v>0</v>
      </c>
      <c r="N22">
        <f t="shared" si="7"/>
        <v>4.1198975216340215E-2</v>
      </c>
    </row>
    <row r="23" spans="1:14">
      <c r="A23">
        <f t="shared" si="9"/>
        <v>200</v>
      </c>
      <c r="B23">
        <f t="shared" si="10"/>
        <v>500</v>
      </c>
      <c r="C23" s="4">
        <v>10.8</v>
      </c>
      <c r="D23">
        <f t="shared" si="8"/>
        <v>0</v>
      </c>
      <c r="E23">
        <f t="shared" si="0"/>
        <v>12.107623318385651</v>
      </c>
      <c r="F23">
        <f t="shared" si="1"/>
        <v>5.5509297807382731</v>
      </c>
      <c r="G23">
        <f t="shared" si="2"/>
        <v>0</v>
      </c>
      <c r="H23">
        <f t="shared" si="3"/>
        <v>0.27511073206965808</v>
      </c>
      <c r="J23">
        <f t="shared" si="4"/>
        <v>473.15</v>
      </c>
      <c r="K23">
        <f t="shared" si="5"/>
        <v>500</v>
      </c>
      <c r="L23">
        <f t="shared" si="6"/>
        <v>0</v>
      </c>
      <c r="N23">
        <f t="shared" si="7"/>
        <v>4.7220875217887065E-2</v>
      </c>
    </row>
    <row r="24" spans="1:14">
      <c r="A24">
        <f t="shared" si="9"/>
        <v>200</v>
      </c>
      <c r="B24">
        <f t="shared" si="10"/>
        <v>600</v>
      </c>
      <c r="C24" s="4">
        <v>11.8</v>
      </c>
      <c r="D24">
        <f t="shared" si="8"/>
        <v>0</v>
      </c>
      <c r="E24">
        <f t="shared" si="0"/>
        <v>13.378684807256235</v>
      </c>
      <c r="F24">
        <f t="shared" si="1"/>
        <v>5.5509297807382731</v>
      </c>
      <c r="G24">
        <f t="shared" si="2"/>
        <v>0</v>
      </c>
      <c r="H24">
        <f t="shared" si="3"/>
        <v>0.30399192927189811</v>
      </c>
      <c r="J24">
        <f t="shared" si="4"/>
        <v>473.15</v>
      </c>
      <c r="K24">
        <f t="shared" si="5"/>
        <v>600</v>
      </c>
      <c r="L24">
        <f t="shared" si="6"/>
        <v>0</v>
      </c>
      <c r="N24">
        <f t="shared" si="7"/>
        <v>5.1920750494778178E-2</v>
      </c>
    </row>
    <row r="25" spans="1:14">
      <c r="A25">
        <f t="shared" si="9"/>
        <v>200</v>
      </c>
      <c r="B25">
        <f t="shared" si="10"/>
        <v>800</v>
      </c>
      <c r="C25" s="4">
        <v>13.2</v>
      </c>
      <c r="D25">
        <f t="shared" si="8"/>
        <v>0</v>
      </c>
      <c r="E25">
        <f t="shared" si="0"/>
        <v>15.207373271889402</v>
      </c>
      <c r="F25">
        <f t="shared" si="1"/>
        <v>5.5509297807382731</v>
      </c>
      <c r="G25">
        <f t="shared" si="2"/>
        <v>0</v>
      </c>
      <c r="H25">
        <f t="shared" si="3"/>
        <v>0.34554358718221773</v>
      </c>
      <c r="J25">
        <f t="shared" si="4"/>
        <v>473.15</v>
      </c>
      <c r="K25">
        <f t="shared" si="5"/>
        <v>800</v>
      </c>
      <c r="L25">
        <f t="shared" si="6"/>
        <v>0</v>
      </c>
      <c r="N25">
        <f t="shared" si="7"/>
        <v>5.8601737957833022E-2</v>
      </c>
    </row>
    <row r="26" spans="1:14">
      <c r="A26">
        <f t="shared" si="9"/>
        <v>200</v>
      </c>
      <c r="B26">
        <f t="shared" si="10"/>
        <v>1000</v>
      </c>
      <c r="C26" s="4">
        <v>14.2</v>
      </c>
      <c r="D26">
        <f t="shared" si="8"/>
        <v>0</v>
      </c>
      <c r="E26">
        <f t="shared" si="0"/>
        <v>16.550116550116552</v>
      </c>
      <c r="F26">
        <f t="shared" si="1"/>
        <v>5.5509297807382731</v>
      </c>
      <c r="G26">
        <f t="shared" si="2"/>
        <v>0</v>
      </c>
      <c r="H26">
        <f t="shared" si="3"/>
        <v>0.37605354578769717</v>
      </c>
      <c r="J26">
        <f t="shared" si="4"/>
        <v>473.15</v>
      </c>
      <c r="K26">
        <f t="shared" si="5"/>
        <v>1000</v>
      </c>
      <c r="L26">
        <f t="shared" si="6"/>
        <v>0</v>
      </c>
      <c r="N26">
        <f t="shared" si="7"/>
        <v>6.3447714473007705E-2</v>
      </c>
    </row>
    <row r="27" spans="1:14">
      <c r="A27">
        <f t="shared" si="9"/>
        <v>200</v>
      </c>
      <c r="B27">
        <f t="shared" si="10"/>
        <v>1200</v>
      </c>
      <c r="C27" s="4">
        <v>15</v>
      </c>
      <c r="D27">
        <f t="shared" si="8"/>
        <v>0</v>
      </c>
      <c r="E27">
        <f t="shared" si="0"/>
        <v>17.647058823529413</v>
      </c>
      <c r="F27">
        <f t="shared" si="1"/>
        <v>5.5509297807382731</v>
      </c>
      <c r="G27">
        <f t="shared" si="2"/>
        <v>0</v>
      </c>
      <c r="H27">
        <f t="shared" si="3"/>
        <v>0.40097838726492646</v>
      </c>
      <c r="J27">
        <f t="shared" si="4"/>
        <v>473.15</v>
      </c>
      <c r="K27">
        <f t="shared" si="5"/>
        <v>1200</v>
      </c>
      <c r="L27">
        <f t="shared" si="6"/>
        <v>0</v>
      </c>
      <c r="N27">
        <f t="shared" si="7"/>
        <v>6.7369720087507731E-2</v>
      </c>
    </row>
    <row r="28" spans="1:14">
      <c r="A28">
        <f t="shared" si="9"/>
        <v>200</v>
      </c>
      <c r="B28">
        <f t="shared" si="10"/>
        <v>1400</v>
      </c>
      <c r="C28" s="4">
        <v>15.6</v>
      </c>
      <c r="D28">
        <f t="shared" si="8"/>
        <v>0</v>
      </c>
      <c r="E28">
        <f t="shared" si="0"/>
        <v>18.48341232227488</v>
      </c>
      <c r="F28">
        <f t="shared" si="1"/>
        <v>5.5509297807382731</v>
      </c>
      <c r="G28">
        <f t="shared" si="2"/>
        <v>0</v>
      </c>
      <c r="H28">
        <f t="shared" si="3"/>
        <v>0.41998210230117883</v>
      </c>
      <c r="J28">
        <f t="shared" si="4"/>
        <v>473.15</v>
      </c>
      <c r="K28">
        <f t="shared" si="5"/>
        <v>1400</v>
      </c>
      <c r="L28">
        <f t="shared" si="6"/>
        <v>0</v>
      </c>
      <c r="N28">
        <f t="shared" si="7"/>
        <v>7.0338017128363614E-2</v>
      </c>
    </row>
    <row r="29" spans="1:14">
      <c r="A29">
        <v>150</v>
      </c>
      <c r="B29">
        <f t="shared" si="10"/>
        <v>100</v>
      </c>
      <c r="C29" s="4">
        <v>3.1</v>
      </c>
      <c r="D29">
        <f t="shared" si="8"/>
        <v>0</v>
      </c>
      <c r="E29">
        <f t="shared" si="0"/>
        <v>3.1991744066047469</v>
      </c>
      <c r="F29">
        <f t="shared" si="1"/>
        <v>5.5509297807382731</v>
      </c>
      <c r="G29">
        <f t="shared" si="2"/>
        <v>0</v>
      </c>
      <c r="H29">
        <f t="shared" si="3"/>
        <v>7.2691988334577309E-2</v>
      </c>
      <c r="J29">
        <f t="shared" si="4"/>
        <v>423.15</v>
      </c>
      <c r="K29">
        <f t="shared" si="5"/>
        <v>100</v>
      </c>
      <c r="L29">
        <f t="shared" si="6"/>
        <v>0</v>
      </c>
      <c r="N29">
        <f t="shared" si="7"/>
        <v>1.2926187307679089E-2</v>
      </c>
    </row>
    <row r="30" spans="1:14">
      <c r="A30">
        <f t="shared" si="9"/>
        <v>150</v>
      </c>
      <c r="B30">
        <f t="shared" si="10"/>
        <v>200</v>
      </c>
      <c r="C30" s="4">
        <v>5.0999999999999996</v>
      </c>
      <c r="D30">
        <f t="shared" si="8"/>
        <v>0</v>
      </c>
      <c r="E30">
        <f t="shared" si="0"/>
        <v>5.3740779768177021</v>
      </c>
      <c r="F30">
        <f t="shared" si="1"/>
        <v>5.5509297807382731</v>
      </c>
      <c r="G30">
        <f t="shared" si="2"/>
        <v>0</v>
      </c>
      <c r="H30">
        <f t="shared" si="3"/>
        <v>0.12211038347688485</v>
      </c>
      <c r="J30">
        <f t="shared" si="4"/>
        <v>423.15</v>
      </c>
      <c r="K30">
        <f t="shared" si="5"/>
        <v>200</v>
      </c>
      <c r="L30">
        <f t="shared" si="6"/>
        <v>0</v>
      </c>
      <c r="N30">
        <f t="shared" si="7"/>
        <v>2.1524681641977818E-2</v>
      </c>
    </row>
    <row r="31" spans="1:14">
      <c r="A31">
        <f t="shared" si="9"/>
        <v>150</v>
      </c>
      <c r="B31">
        <f t="shared" si="10"/>
        <v>300</v>
      </c>
      <c r="C31" s="4">
        <v>6.1</v>
      </c>
      <c r="D31">
        <f t="shared" si="8"/>
        <v>0</v>
      </c>
      <c r="E31">
        <f t="shared" si="0"/>
        <v>6.4962726304579332</v>
      </c>
      <c r="F31">
        <f t="shared" si="1"/>
        <v>5.5509297807382731</v>
      </c>
      <c r="G31">
        <f t="shared" si="2"/>
        <v>0</v>
      </c>
      <c r="H31">
        <f t="shared" si="3"/>
        <v>0.14760901228034387</v>
      </c>
      <c r="J31">
        <f t="shared" si="4"/>
        <v>423.15</v>
      </c>
      <c r="K31">
        <f t="shared" si="5"/>
        <v>300</v>
      </c>
      <c r="L31">
        <f t="shared" si="6"/>
        <v>0</v>
      </c>
      <c r="N31">
        <f t="shared" si="7"/>
        <v>2.5902958221708051E-2</v>
      </c>
    </row>
    <row r="32" spans="1:14">
      <c r="A32">
        <f t="shared" si="9"/>
        <v>150</v>
      </c>
      <c r="B32">
        <f t="shared" si="10"/>
        <v>400</v>
      </c>
      <c r="C32" s="4">
        <v>6.9</v>
      </c>
      <c r="D32">
        <f t="shared" si="8"/>
        <v>0</v>
      </c>
      <c r="E32">
        <f t="shared" si="0"/>
        <v>7.4113856068743296</v>
      </c>
      <c r="F32">
        <f t="shared" si="1"/>
        <v>5.5509297807382731</v>
      </c>
      <c r="G32">
        <f t="shared" si="2"/>
        <v>0</v>
      </c>
      <c r="H32">
        <f t="shared" si="3"/>
        <v>0.16840230872243422</v>
      </c>
      <c r="J32">
        <f t="shared" si="4"/>
        <v>423.15</v>
      </c>
      <c r="K32">
        <f t="shared" si="5"/>
        <v>400</v>
      </c>
      <c r="L32">
        <f t="shared" si="6"/>
        <v>0</v>
      </c>
      <c r="N32">
        <f t="shared" si="7"/>
        <v>2.9444401214742785E-2</v>
      </c>
    </row>
    <row r="33" spans="1:14">
      <c r="A33">
        <f t="shared" si="9"/>
        <v>150</v>
      </c>
      <c r="B33">
        <f t="shared" si="10"/>
        <v>500</v>
      </c>
      <c r="C33" s="4">
        <v>7.5</v>
      </c>
      <c r="D33">
        <f t="shared" si="8"/>
        <v>0</v>
      </c>
      <c r="E33">
        <f t="shared" si="0"/>
        <v>8.1081081081081088</v>
      </c>
      <c r="F33">
        <f t="shared" si="1"/>
        <v>5.5509297807382731</v>
      </c>
      <c r="G33">
        <f t="shared" si="2"/>
        <v>0</v>
      </c>
      <c r="H33">
        <f t="shared" si="3"/>
        <v>0.18423331306766891</v>
      </c>
      <c r="J33">
        <f t="shared" si="4"/>
        <v>423.15</v>
      </c>
      <c r="K33">
        <f t="shared" si="5"/>
        <v>500</v>
      </c>
      <c r="L33">
        <f t="shared" si="6"/>
        <v>0</v>
      </c>
      <c r="N33">
        <f t="shared" si="7"/>
        <v>3.2123465375665343E-2</v>
      </c>
    </row>
    <row r="34" spans="1:14">
      <c r="A34">
        <f t="shared" si="9"/>
        <v>150</v>
      </c>
      <c r="B34">
        <f t="shared" si="10"/>
        <v>600</v>
      </c>
      <c r="C34" s="4">
        <v>8</v>
      </c>
      <c r="D34">
        <f t="shared" si="8"/>
        <v>0</v>
      </c>
      <c r="E34">
        <f t="shared" si="0"/>
        <v>8.695652173913043</v>
      </c>
      <c r="F34">
        <f t="shared" si="1"/>
        <v>5.5509297807382731</v>
      </c>
      <c r="G34">
        <f t="shared" si="2"/>
        <v>0</v>
      </c>
      <c r="H34">
        <f t="shared" si="3"/>
        <v>0.1975835531450362</v>
      </c>
      <c r="J34">
        <f t="shared" si="4"/>
        <v>423.15</v>
      </c>
      <c r="K34">
        <f t="shared" si="5"/>
        <v>600</v>
      </c>
      <c r="L34">
        <f t="shared" si="6"/>
        <v>0</v>
      </c>
      <c r="N34">
        <f t="shared" si="7"/>
        <v>3.4371243775399234E-2</v>
      </c>
    </row>
    <row r="35" spans="1:14">
      <c r="A35">
        <f t="shared" si="9"/>
        <v>150</v>
      </c>
      <c r="B35">
        <f t="shared" si="10"/>
        <v>800</v>
      </c>
      <c r="C35" s="4">
        <v>9</v>
      </c>
      <c r="D35">
        <f t="shared" si="8"/>
        <v>0</v>
      </c>
      <c r="E35">
        <f t="shared" si="0"/>
        <v>9.8901098901098905</v>
      </c>
      <c r="F35">
        <f t="shared" si="1"/>
        <v>5.5509297807382731</v>
      </c>
      <c r="G35">
        <f t="shared" si="2"/>
        <v>0</v>
      </c>
      <c r="H35">
        <f t="shared" si="3"/>
        <v>0.22472415110451921</v>
      </c>
      <c r="J35">
        <f t="shared" si="4"/>
        <v>423.15</v>
      </c>
      <c r="K35">
        <f t="shared" si="5"/>
        <v>800</v>
      </c>
      <c r="L35">
        <f t="shared" si="6"/>
        <v>0</v>
      </c>
      <c r="N35">
        <f t="shared" si="7"/>
        <v>3.8908867074869603E-2</v>
      </c>
    </row>
    <row r="36" spans="1:14">
      <c r="A36">
        <f t="shared" si="9"/>
        <v>150</v>
      </c>
      <c r="B36">
        <f t="shared" si="10"/>
        <v>1000</v>
      </c>
      <c r="C36" s="4">
        <v>9.6999999999999993</v>
      </c>
      <c r="D36">
        <f t="shared" si="8"/>
        <v>0</v>
      </c>
      <c r="E36">
        <f t="shared" si="0"/>
        <v>10.741971207087484</v>
      </c>
      <c r="F36">
        <f t="shared" si="1"/>
        <v>5.5509297807382731</v>
      </c>
      <c r="G36">
        <f t="shared" si="2"/>
        <v>0</v>
      </c>
      <c r="H36">
        <f t="shared" si="3"/>
        <v>0.24408023647097216</v>
      </c>
      <c r="J36">
        <f t="shared" si="4"/>
        <v>423.15</v>
      </c>
      <c r="K36">
        <f t="shared" si="5"/>
        <v>1000</v>
      </c>
      <c r="L36">
        <f t="shared" si="6"/>
        <v>0</v>
      </c>
      <c r="N36">
        <f t="shared" si="7"/>
        <v>4.2119036161479502E-2</v>
      </c>
    </row>
    <row r="37" spans="1:14">
      <c r="A37">
        <f t="shared" si="9"/>
        <v>150</v>
      </c>
      <c r="B37">
        <f t="shared" si="10"/>
        <v>1200</v>
      </c>
      <c r="C37" s="4">
        <v>10.3</v>
      </c>
      <c r="D37">
        <f t="shared" si="8"/>
        <v>0</v>
      </c>
      <c r="E37">
        <f t="shared" si="0"/>
        <v>11.482720178372352</v>
      </c>
      <c r="F37">
        <f t="shared" si="1"/>
        <v>5.5509297807382731</v>
      </c>
      <c r="G37">
        <f t="shared" si="2"/>
        <v>0</v>
      </c>
      <c r="H37">
        <f t="shared" si="3"/>
        <v>0.26091161505049654</v>
      </c>
      <c r="J37">
        <f t="shared" si="4"/>
        <v>423.15</v>
      </c>
      <c r="K37">
        <f t="shared" si="5"/>
        <v>1200</v>
      </c>
      <c r="L37">
        <f t="shared" si="6"/>
        <v>0</v>
      </c>
      <c r="N37">
        <f t="shared" si="7"/>
        <v>4.4893106553037E-2</v>
      </c>
    </row>
    <row r="38" spans="1:14">
      <c r="A38">
        <f t="shared" si="9"/>
        <v>150</v>
      </c>
      <c r="B38">
        <f t="shared" si="10"/>
        <v>1400</v>
      </c>
      <c r="C38" s="4">
        <v>10.8</v>
      </c>
      <c r="D38">
        <f t="shared" si="8"/>
        <v>0</v>
      </c>
      <c r="E38">
        <f t="shared" si="0"/>
        <v>12.107623318385651</v>
      </c>
      <c r="F38">
        <f t="shared" si="1"/>
        <v>5.5509297807382731</v>
      </c>
      <c r="G38">
        <f t="shared" si="2"/>
        <v>0</v>
      </c>
      <c r="H38">
        <f t="shared" si="3"/>
        <v>0.27511073206965808</v>
      </c>
      <c r="J38">
        <f t="shared" si="4"/>
        <v>423.15</v>
      </c>
      <c r="K38">
        <f t="shared" si="5"/>
        <v>1400</v>
      </c>
      <c r="L38">
        <f t="shared" si="6"/>
        <v>0</v>
      </c>
      <c r="N38">
        <f t="shared" si="7"/>
        <v>4.7220875217887065E-2</v>
      </c>
    </row>
    <row r="39" spans="1:14">
      <c r="A39">
        <v>400</v>
      </c>
      <c r="B39">
        <v>300</v>
      </c>
      <c r="C39" s="4">
        <v>1.7</v>
      </c>
      <c r="D39">
        <v>6</v>
      </c>
      <c r="E39">
        <f t="shared" si="0"/>
        <v>1.7293997965412005</v>
      </c>
      <c r="F39">
        <f t="shared" si="1"/>
        <v>5.2178739938939769</v>
      </c>
      <c r="G39">
        <f t="shared" si="2"/>
        <v>0.10266940451745381</v>
      </c>
      <c r="H39">
        <f t="shared" si="3"/>
        <v>3.9295610010025003E-2</v>
      </c>
      <c r="J39">
        <f t="shared" si="4"/>
        <v>673.15</v>
      </c>
      <c r="K39">
        <f t="shared" si="5"/>
        <v>300</v>
      </c>
      <c r="L39">
        <f t="shared" si="6"/>
        <v>1.0922277076324873</v>
      </c>
      <c r="N39">
        <f t="shared" si="7"/>
        <v>7.3314907310244168E-3</v>
      </c>
    </row>
    <row r="40" spans="1:14">
      <c r="A40">
        <f t="shared" si="9"/>
        <v>400</v>
      </c>
      <c r="B40">
        <v>400</v>
      </c>
      <c r="C40" s="4">
        <v>7.5</v>
      </c>
      <c r="D40">
        <f t="shared" si="8"/>
        <v>6</v>
      </c>
      <c r="E40">
        <f t="shared" si="0"/>
        <v>8.1081081081081088</v>
      </c>
      <c r="F40">
        <f t="shared" si="1"/>
        <v>5.2178739938939769</v>
      </c>
      <c r="G40">
        <f t="shared" si="2"/>
        <v>0.10266940451745381</v>
      </c>
      <c r="H40">
        <f t="shared" si="3"/>
        <v>0.18423331306766891</v>
      </c>
      <c r="J40">
        <f t="shared" si="4"/>
        <v>673.15</v>
      </c>
      <c r="K40">
        <f t="shared" si="5"/>
        <v>400</v>
      </c>
      <c r="L40">
        <f t="shared" si="6"/>
        <v>1.0922277076324873</v>
      </c>
      <c r="N40">
        <f t="shared" si="7"/>
        <v>3.3467899376097773E-2</v>
      </c>
    </row>
    <row r="41" spans="1:14">
      <c r="A41">
        <f t="shared" si="9"/>
        <v>400</v>
      </c>
      <c r="B41">
        <v>500</v>
      </c>
      <c r="C41" s="4">
        <v>13.5</v>
      </c>
      <c r="D41">
        <f t="shared" si="8"/>
        <v>6</v>
      </c>
      <c r="E41">
        <f t="shared" si="0"/>
        <v>15.606936416184972</v>
      </c>
      <c r="F41">
        <f t="shared" si="1"/>
        <v>5.2178739938939769</v>
      </c>
      <c r="G41">
        <f t="shared" si="2"/>
        <v>0.10266940451745381</v>
      </c>
      <c r="H41">
        <f t="shared" si="3"/>
        <v>0.35462250434412573</v>
      </c>
      <c r="J41">
        <f t="shared" si="4"/>
        <v>673.15</v>
      </c>
      <c r="K41">
        <f t="shared" si="5"/>
        <v>500</v>
      </c>
      <c r="L41">
        <f t="shared" si="6"/>
        <v>1.0922277076324873</v>
      </c>
      <c r="N41">
        <f t="shared" si="7"/>
        <v>6.2486720286351466E-2</v>
      </c>
    </row>
    <row r="42" spans="1:14">
      <c r="A42">
        <v>350</v>
      </c>
      <c r="B42">
        <v>200</v>
      </c>
      <c r="C42" s="4">
        <v>3.2</v>
      </c>
      <c r="D42">
        <f t="shared" si="8"/>
        <v>6</v>
      </c>
      <c r="E42">
        <f t="shared" si="0"/>
        <v>3.3057851239669422</v>
      </c>
      <c r="F42">
        <f t="shared" si="1"/>
        <v>5.2178739938939769</v>
      </c>
      <c r="G42">
        <f t="shared" si="2"/>
        <v>0.10266940451745381</v>
      </c>
      <c r="H42">
        <f t="shared" si="3"/>
        <v>7.511440863365014E-2</v>
      </c>
      <c r="J42">
        <f t="shared" si="4"/>
        <v>623.15</v>
      </c>
      <c r="K42">
        <f t="shared" si="5"/>
        <v>200</v>
      </c>
      <c r="L42">
        <f t="shared" si="6"/>
        <v>1.0922277076324873</v>
      </c>
      <c r="N42">
        <f t="shared" si="7"/>
        <v>1.3921269902545278E-2</v>
      </c>
    </row>
    <row r="43" spans="1:14">
      <c r="A43">
        <f t="shared" si="9"/>
        <v>350</v>
      </c>
      <c r="B43">
        <v>300</v>
      </c>
      <c r="C43" s="4">
        <v>7.5</v>
      </c>
      <c r="D43">
        <f t="shared" si="8"/>
        <v>6</v>
      </c>
      <c r="E43">
        <f t="shared" si="0"/>
        <v>8.1081081081081088</v>
      </c>
      <c r="F43">
        <f t="shared" si="1"/>
        <v>5.2178739938939769</v>
      </c>
      <c r="G43">
        <f t="shared" si="2"/>
        <v>0.10266940451745381</v>
      </c>
      <c r="H43">
        <f t="shared" si="3"/>
        <v>0.18423331306766891</v>
      </c>
      <c r="J43">
        <f t="shared" si="4"/>
        <v>623.15</v>
      </c>
      <c r="K43">
        <f t="shared" si="5"/>
        <v>300</v>
      </c>
      <c r="L43">
        <f t="shared" si="6"/>
        <v>1.0922277076324873</v>
      </c>
      <c r="N43">
        <f t="shared" si="7"/>
        <v>3.3467899376097773E-2</v>
      </c>
    </row>
    <row r="44" spans="1:14">
      <c r="A44">
        <f t="shared" si="9"/>
        <v>350</v>
      </c>
      <c r="B44">
        <v>400</v>
      </c>
      <c r="C44" s="4">
        <v>11.5</v>
      </c>
      <c r="D44">
        <f t="shared" si="8"/>
        <v>6</v>
      </c>
      <c r="E44">
        <f t="shared" si="0"/>
        <v>12.994350282485875</v>
      </c>
      <c r="F44">
        <f t="shared" si="1"/>
        <v>5.2178739938939769</v>
      </c>
      <c r="G44">
        <f t="shared" si="2"/>
        <v>0.10266940451745381</v>
      </c>
      <c r="H44">
        <f t="shared" si="3"/>
        <v>0.29525903845684792</v>
      </c>
      <c r="J44">
        <f t="shared" si="4"/>
        <v>623.15</v>
      </c>
      <c r="K44">
        <f t="shared" si="5"/>
        <v>400</v>
      </c>
      <c r="L44">
        <f t="shared" si="6"/>
        <v>1.0922277076324873</v>
      </c>
      <c r="N44">
        <f t="shared" si="7"/>
        <v>5.2576464677326282E-2</v>
      </c>
    </row>
    <row r="45" spans="1:14">
      <c r="A45">
        <f t="shared" si="9"/>
        <v>350</v>
      </c>
      <c r="B45">
        <v>500</v>
      </c>
      <c r="C45" s="4">
        <v>14.8</v>
      </c>
      <c r="D45">
        <f t="shared" si="8"/>
        <v>6</v>
      </c>
      <c r="E45">
        <f t="shared" si="0"/>
        <v>17.370892018779344</v>
      </c>
      <c r="F45">
        <f t="shared" si="1"/>
        <v>5.2178739938939769</v>
      </c>
      <c r="G45">
        <f t="shared" si="2"/>
        <v>0.10266940451745381</v>
      </c>
      <c r="H45">
        <f t="shared" si="3"/>
        <v>0.394703295132455</v>
      </c>
      <c r="J45">
        <f t="shared" si="4"/>
        <v>623.15</v>
      </c>
      <c r="K45">
        <f t="shared" si="5"/>
        <v>500</v>
      </c>
      <c r="L45">
        <f t="shared" si="6"/>
        <v>1.0922277076324873</v>
      </c>
      <c r="N45">
        <f t="shared" si="7"/>
        <v>6.906146248740648E-2</v>
      </c>
    </row>
    <row r="46" spans="1:14">
      <c r="A46">
        <f t="shared" si="9"/>
        <v>350</v>
      </c>
      <c r="B46">
        <v>600</v>
      </c>
      <c r="C46" s="4">
        <v>18</v>
      </c>
      <c r="D46">
        <f t="shared" si="8"/>
        <v>6</v>
      </c>
      <c r="E46">
        <f t="shared" si="0"/>
        <v>21.951219512195124</v>
      </c>
      <c r="F46">
        <f t="shared" si="1"/>
        <v>5.2178739938939769</v>
      </c>
      <c r="G46">
        <f t="shared" si="2"/>
        <v>0.10266940451745381</v>
      </c>
      <c r="H46">
        <f t="shared" si="3"/>
        <v>0.49877799391490851</v>
      </c>
      <c r="J46">
        <f t="shared" si="4"/>
        <v>623.15</v>
      </c>
      <c r="K46">
        <f t="shared" si="5"/>
        <v>600</v>
      </c>
      <c r="L46">
        <f t="shared" si="6"/>
        <v>1.0922277076324873</v>
      </c>
      <c r="N46">
        <f t="shared" si="7"/>
        <v>8.5710680041254164E-2</v>
      </c>
    </row>
    <row r="47" spans="1:14">
      <c r="A47">
        <f t="shared" si="9"/>
        <v>350</v>
      </c>
      <c r="B47">
        <v>800</v>
      </c>
      <c r="C47" s="4">
        <v>23</v>
      </c>
      <c r="D47">
        <f t="shared" si="8"/>
        <v>6</v>
      </c>
      <c r="E47">
        <f t="shared" si="0"/>
        <v>29.870129870129869</v>
      </c>
      <c r="F47">
        <f t="shared" si="1"/>
        <v>5.2178739938939769</v>
      </c>
      <c r="G47">
        <f t="shared" si="2"/>
        <v>0.10266940451745381</v>
      </c>
      <c r="H47">
        <f t="shared" si="3"/>
        <v>0.67871233515405294</v>
      </c>
      <c r="J47">
        <f t="shared" si="4"/>
        <v>623.15</v>
      </c>
      <c r="K47">
        <f t="shared" si="5"/>
        <v>800</v>
      </c>
      <c r="L47">
        <f t="shared" si="6"/>
        <v>1.0922277076324873</v>
      </c>
      <c r="N47">
        <f t="shared" si="7"/>
        <v>0.11313275601116606</v>
      </c>
    </row>
    <row r="48" spans="1:14">
      <c r="A48">
        <f t="shared" si="9"/>
        <v>350</v>
      </c>
      <c r="B48">
        <v>1000</v>
      </c>
      <c r="C48" s="4">
        <v>28.2</v>
      </c>
      <c r="D48">
        <f t="shared" si="8"/>
        <v>6</v>
      </c>
      <c r="E48">
        <f t="shared" si="0"/>
        <v>39.275766016713092</v>
      </c>
      <c r="F48">
        <f t="shared" si="1"/>
        <v>5.2178739938939769</v>
      </c>
      <c r="G48">
        <f t="shared" si="2"/>
        <v>0.10266940451745381</v>
      </c>
      <c r="H48">
        <f t="shared" si="3"/>
        <v>0.8924282212386524</v>
      </c>
      <c r="J48">
        <f t="shared" si="4"/>
        <v>623.15</v>
      </c>
      <c r="K48">
        <f t="shared" si="5"/>
        <v>1000</v>
      </c>
      <c r="L48">
        <f t="shared" si="6"/>
        <v>1.0922277076324873</v>
      </c>
      <c r="N48">
        <f t="shared" si="7"/>
        <v>0.14363951356483329</v>
      </c>
    </row>
    <row r="49" spans="1:14">
      <c r="A49">
        <f t="shared" si="9"/>
        <v>350</v>
      </c>
      <c r="B49">
        <v>1200</v>
      </c>
      <c r="C49" s="4">
        <v>31</v>
      </c>
      <c r="D49">
        <f t="shared" si="8"/>
        <v>6</v>
      </c>
      <c r="E49">
        <f t="shared" si="0"/>
        <v>44.927536231884055</v>
      </c>
      <c r="F49">
        <f t="shared" si="1"/>
        <v>5.2178739938939769</v>
      </c>
      <c r="G49">
        <f t="shared" si="2"/>
        <v>0.10266940451745381</v>
      </c>
      <c r="H49">
        <f t="shared" si="3"/>
        <v>1.0208483579160204</v>
      </c>
      <c r="J49">
        <f t="shared" si="4"/>
        <v>623.15</v>
      </c>
      <c r="K49">
        <f t="shared" si="5"/>
        <v>1200</v>
      </c>
      <c r="L49">
        <f t="shared" si="6"/>
        <v>1.0922277076324873</v>
      </c>
      <c r="N49">
        <f t="shared" si="7"/>
        <v>0.16098175245164695</v>
      </c>
    </row>
    <row r="50" spans="1:14">
      <c r="A50">
        <f t="shared" si="9"/>
        <v>350</v>
      </c>
      <c r="B50">
        <v>1400</v>
      </c>
      <c r="C50" s="4">
        <v>34</v>
      </c>
      <c r="D50">
        <f t="shared" si="8"/>
        <v>6</v>
      </c>
      <c r="E50">
        <f t="shared" si="0"/>
        <v>51.515151515151516</v>
      </c>
      <c r="F50">
        <f t="shared" si="1"/>
        <v>5.2178739938939769</v>
      </c>
      <c r="G50">
        <f t="shared" si="2"/>
        <v>0.10266940451745381</v>
      </c>
      <c r="H50">
        <f t="shared" si="3"/>
        <v>1.1705328678743812</v>
      </c>
      <c r="J50">
        <f t="shared" si="4"/>
        <v>623.15</v>
      </c>
      <c r="K50">
        <f t="shared" si="5"/>
        <v>1400</v>
      </c>
      <c r="L50">
        <f t="shared" si="6"/>
        <v>1.0922277076324873</v>
      </c>
      <c r="N50">
        <f t="shared" si="7"/>
        <v>0.18032955088727667</v>
      </c>
    </row>
    <row r="51" spans="1:14">
      <c r="A51">
        <v>300</v>
      </c>
      <c r="B51">
        <v>100</v>
      </c>
      <c r="C51" s="4">
        <v>0</v>
      </c>
      <c r="D51">
        <f t="shared" si="8"/>
        <v>6</v>
      </c>
      <c r="E51">
        <f t="shared" si="0"/>
        <v>0</v>
      </c>
      <c r="F51">
        <f t="shared" si="1"/>
        <v>5.2178739938939769</v>
      </c>
      <c r="G51">
        <f t="shared" si="2"/>
        <v>0.10266940451745381</v>
      </c>
      <c r="H51">
        <f t="shared" si="3"/>
        <v>0</v>
      </c>
      <c r="J51">
        <f t="shared" si="4"/>
        <v>573.15</v>
      </c>
      <c r="K51">
        <f t="shared" si="5"/>
        <v>100</v>
      </c>
      <c r="L51">
        <f t="shared" si="6"/>
        <v>1.0922277076324873</v>
      </c>
      <c r="N51">
        <f t="shared" si="7"/>
        <v>0</v>
      </c>
    </row>
    <row r="52" spans="1:14">
      <c r="A52">
        <f t="shared" si="9"/>
        <v>300</v>
      </c>
      <c r="B52">
        <v>200</v>
      </c>
      <c r="C52" s="4">
        <v>4.5999999999999996</v>
      </c>
      <c r="D52">
        <f t="shared" si="8"/>
        <v>6</v>
      </c>
      <c r="E52">
        <f t="shared" si="0"/>
        <v>4.8218029350104814</v>
      </c>
      <c r="F52">
        <f t="shared" si="1"/>
        <v>5.2178739938939769</v>
      </c>
      <c r="G52">
        <f t="shared" si="2"/>
        <v>0.10266940451745381</v>
      </c>
      <c r="H52">
        <f t="shared" si="3"/>
        <v>0.10956152999342153</v>
      </c>
      <c r="J52">
        <f t="shared" si="4"/>
        <v>573.15</v>
      </c>
      <c r="K52">
        <f t="shared" si="5"/>
        <v>200</v>
      </c>
      <c r="L52">
        <f t="shared" si="6"/>
        <v>1.0922277076324873</v>
      </c>
      <c r="N52">
        <f t="shared" si="7"/>
        <v>2.0176687455946883E-2</v>
      </c>
    </row>
    <row r="53" spans="1:14">
      <c r="A53">
        <f t="shared" si="9"/>
        <v>300</v>
      </c>
      <c r="B53">
        <v>300</v>
      </c>
      <c r="C53" s="4">
        <v>7.6</v>
      </c>
      <c r="D53">
        <f t="shared" si="8"/>
        <v>6</v>
      </c>
      <c r="E53">
        <f t="shared" si="0"/>
        <v>8.2251082251082241</v>
      </c>
      <c r="F53">
        <f t="shared" si="1"/>
        <v>5.2178739938939769</v>
      </c>
      <c r="G53">
        <f t="shared" si="2"/>
        <v>0.10266940451745381</v>
      </c>
      <c r="H53">
        <f t="shared" si="3"/>
        <v>0.18689180243372472</v>
      </c>
      <c r="J53">
        <f t="shared" si="4"/>
        <v>573.15</v>
      </c>
      <c r="K53">
        <f t="shared" si="5"/>
        <v>300</v>
      </c>
      <c r="L53">
        <f t="shared" si="6"/>
        <v>1.0922277076324873</v>
      </c>
      <c r="N53">
        <f t="shared" si="7"/>
        <v>3.3934453265114191E-2</v>
      </c>
    </row>
    <row r="54" spans="1:14">
      <c r="A54">
        <f t="shared" si="9"/>
        <v>300</v>
      </c>
      <c r="B54">
        <v>400</v>
      </c>
      <c r="C54" s="4">
        <v>10.5</v>
      </c>
      <c r="D54">
        <f t="shared" si="8"/>
        <v>6</v>
      </c>
      <c r="E54">
        <f t="shared" si="0"/>
        <v>11.731843575418994</v>
      </c>
      <c r="F54">
        <f t="shared" si="1"/>
        <v>5.2178739938939769</v>
      </c>
      <c r="G54">
        <f t="shared" si="2"/>
        <v>0.10266940451745381</v>
      </c>
      <c r="H54">
        <f t="shared" si="3"/>
        <v>0.2665722239359008</v>
      </c>
      <c r="J54">
        <f t="shared" si="4"/>
        <v>573.15</v>
      </c>
      <c r="K54">
        <f t="shared" si="5"/>
        <v>400</v>
      </c>
      <c r="L54">
        <f t="shared" si="6"/>
        <v>1.0922277076324873</v>
      </c>
      <c r="N54">
        <f t="shared" si="7"/>
        <v>4.7711957645849651E-2</v>
      </c>
    </row>
    <row r="55" spans="1:14">
      <c r="A55">
        <f t="shared" si="9"/>
        <v>300</v>
      </c>
      <c r="B55">
        <v>500</v>
      </c>
      <c r="C55" s="4">
        <v>13</v>
      </c>
      <c r="D55">
        <f t="shared" si="8"/>
        <v>6</v>
      </c>
      <c r="E55">
        <f t="shared" si="0"/>
        <v>14.942528735632184</v>
      </c>
      <c r="F55">
        <f t="shared" si="1"/>
        <v>5.2178739938939769</v>
      </c>
      <c r="G55">
        <f t="shared" si="2"/>
        <v>0.10266940451745381</v>
      </c>
      <c r="H55">
        <f t="shared" si="3"/>
        <v>0.33952576086417141</v>
      </c>
      <c r="J55">
        <f t="shared" si="4"/>
        <v>573.15</v>
      </c>
      <c r="K55">
        <f t="shared" si="5"/>
        <v>500</v>
      </c>
      <c r="L55">
        <f t="shared" si="6"/>
        <v>1.0922277076324873</v>
      </c>
      <c r="N55">
        <f t="shared" si="7"/>
        <v>5.9986150576934863E-2</v>
      </c>
    </row>
    <row r="56" spans="1:14">
      <c r="A56">
        <f t="shared" si="9"/>
        <v>300</v>
      </c>
      <c r="B56">
        <v>600</v>
      </c>
      <c r="C56" s="4">
        <v>15.3</v>
      </c>
      <c r="D56">
        <f t="shared" si="8"/>
        <v>6</v>
      </c>
      <c r="E56">
        <f t="shared" si="0"/>
        <v>18.063754427390791</v>
      </c>
      <c r="F56">
        <f t="shared" si="1"/>
        <v>5.2178739938939769</v>
      </c>
      <c r="G56">
        <f t="shared" si="2"/>
        <v>0.10266940451745381</v>
      </c>
      <c r="H56">
        <f t="shared" si="3"/>
        <v>0.4104465900338739</v>
      </c>
      <c r="J56">
        <f t="shared" si="4"/>
        <v>573.15</v>
      </c>
      <c r="K56">
        <f t="shared" si="5"/>
        <v>600</v>
      </c>
      <c r="L56">
        <f t="shared" si="6"/>
        <v>1.0922277076324873</v>
      </c>
      <c r="N56">
        <f t="shared" si="7"/>
        <v>7.1618793761881849E-2</v>
      </c>
    </row>
    <row r="57" spans="1:14">
      <c r="A57">
        <f t="shared" si="9"/>
        <v>300</v>
      </c>
      <c r="B57">
        <v>800</v>
      </c>
      <c r="C57" s="4">
        <v>19</v>
      </c>
      <c r="D57">
        <f t="shared" si="8"/>
        <v>6</v>
      </c>
      <c r="E57">
        <f t="shared" si="0"/>
        <v>23.456790123456791</v>
      </c>
      <c r="F57">
        <f t="shared" si="1"/>
        <v>5.2178739938939769</v>
      </c>
      <c r="G57">
        <f t="shared" si="2"/>
        <v>0.10266940451745381</v>
      </c>
      <c r="H57">
        <f t="shared" si="3"/>
        <v>0.53298773286654832</v>
      </c>
      <c r="J57">
        <f t="shared" si="4"/>
        <v>573.15</v>
      </c>
      <c r="K57">
        <f t="shared" si="5"/>
        <v>800</v>
      </c>
      <c r="L57">
        <f t="shared" si="6"/>
        <v>1.0922277076324873</v>
      </c>
      <c r="N57">
        <f t="shared" si="7"/>
        <v>9.105405282950689E-2</v>
      </c>
    </row>
    <row r="58" spans="1:14">
      <c r="A58">
        <f t="shared" si="9"/>
        <v>300</v>
      </c>
      <c r="B58">
        <v>1000</v>
      </c>
      <c r="C58" s="4">
        <v>21.6</v>
      </c>
      <c r="D58">
        <f t="shared" si="8"/>
        <v>6</v>
      </c>
      <c r="E58">
        <f t="shared" si="0"/>
        <v>27.551020408163264</v>
      </c>
      <c r="F58">
        <f t="shared" si="1"/>
        <v>5.2178739938939769</v>
      </c>
      <c r="G58">
        <f t="shared" si="2"/>
        <v>0.10266940451745381</v>
      </c>
      <c r="H58">
        <f t="shared" si="3"/>
        <v>0.62601727807687491</v>
      </c>
      <c r="J58">
        <f t="shared" si="4"/>
        <v>573.15</v>
      </c>
      <c r="K58">
        <f t="shared" si="5"/>
        <v>1000</v>
      </c>
      <c r="L58">
        <f t="shared" si="6"/>
        <v>1.0922277076324873</v>
      </c>
      <c r="N58">
        <f t="shared" si="7"/>
        <v>0.10527384014629521</v>
      </c>
    </row>
    <row r="59" spans="1:14">
      <c r="A59">
        <f t="shared" si="9"/>
        <v>300</v>
      </c>
      <c r="B59">
        <v>1200</v>
      </c>
      <c r="C59" s="4">
        <v>23.8</v>
      </c>
      <c r="D59">
        <f t="shared" si="8"/>
        <v>6</v>
      </c>
      <c r="E59">
        <f t="shared" si="0"/>
        <v>31.233595800524935</v>
      </c>
      <c r="F59">
        <f t="shared" si="1"/>
        <v>5.2178739938939769</v>
      </c>
      <c r="G59">
        <f t="shared" si="2"/>
        <v>0.10266940451745381</v>
      </c>
      <c r="H59">
        <f t="shared" si="3"/>
        <v>0.70969315611281381</v>
      </c>
      <c r="J59">
        <f t="shared" si="4"/>
        <v>573.15</v>
      </c>
      <c r="K59">
        <f t="shared" si="5"/>
        <v>1200</v>
      </c>
      <c r="L59">
        <f t="shared" si="6"/>
        <v>1.0922277076324873</v>
      </c>
      <c r="N59">
        <f t="shared" si="7"/>
        <v>0.1176891071678373</v>
      </c>
    </row>
    <row r="60" spans="1:14">
      <c r="A60">
        <f t="shared" si="9"/>
        <v>300</v>
      </c>
      <c r="B60">
        <v>1400</v>
      </c>
      <c r="C60" s="4">
        <v>25.3</v>
      </c>
      <c r="D60">
        <f t="shared" si="8"/>
        <v>6</v>
      </c>
      <c r="E60">
        <f t="shared" si="0"/>
        <v>33.86880856760375</v>
      </c>
      <c r="F60">
        <f t="shared" si="1"/>
        <v>5.2178739938939769</v>
      </c>
      <c r="G60">
        <f t="shared" si="2"/>
        <v>0.10266940451745381</v>
      </c>
      <c r="H60">
        <f t="shared" si="3"/>
        <v>0.76957074682126225</v>
      </c>
      <c r="J60">
        <f t="shared" si="4"/>
        <v>573.15</v>
      </c>
      <c r="K60">
        <f t="shared" si="5"/>
        <v>1400</v>
      </c>
      <c r="L60">
        <f t="shared" si="6"/>
        <v>1.0922277076324873</v>
      </c>
      <c r="N60">
        <f t="shared" si="7"/>
        <v>0.12636392823994569</v>
      </c>
    </row>
    <row r="61" spans="1:14">
      <c r="A61">
        <v>250</v>
      </c>
      <c r="B61">
        <f>B51</f>
        <v>100</v>
      </c>
      <c r="C61" s="4">
        <v>2.4</v>
      </c>
      <c r="D61">
        <f t="shared" si="8"/>
        <v>6</v>
      </c>
      <c r="E61">
        <f t="shared" si="0"/>
        <v>2.459016393442623</v>
      </c>
      <c r="F61">
        <f t="shared" si="1"/>
        <v>5.2178739938939769</v>
      </c>
      <c r="G61">
        <f t="shared" si="2"/>
        <v>0.10266940451745381</v>
      </c>
      <c r="H61">
        <f t="shared" si="3"/>
        <v>5.5874037569702863E-2</v>
      </c>
      <c r="J61">
        <f t="shared" si="4"/>
        <v>523.15</v>
      </c>
      <c r="K61">
        <f t="shared" si="5"/>
        <v>100</v>
      </c>
      <c r="L61">
        <f t="shared" si="6"/>
        <v>1.0922277076324873</v>
      </c>
      <c r="N61">
        <f t="shared" si="7"/>
        <v>1.039242920309191E-2</v>
      </c>
    </row>
    <row r="62" spans="1:14">
      <c r="A62">
        <f t="shared" si="9"/>
        <v>250</v>
      </c>
      <c r="B62">
        <f t="shared" ref="B62:B124" si="11">B52</f>
        <v>200</v>
      </c>
      <c r="C62" s="4">
        <v>4.9000000000000004</v>
      </c>
      <c r="D62">
        <f t="shared" si="8"/>
        <v>6</v>
      </c>
      <c r="E62">
        <f t="shared" si="0"/>
        <v>5.152471083070453</v>
      </c>
      <c r="F62">
        <f t="shared" si="1"/>
        <v>5.2178739938939769</v>
      </c>
      <c r="G62">
        <f t="shared" si="2"/>
        <v>0.10266940451745381</v>
      </c>
      <c r="H62">
        <f t="shared" si="3"/>
        <v>0.11707500756806301</v>
      </c>
      <c r="J62">
        <f t="shared" si="4"/>
        <v>523.15</v>
      </c>
      <c r="K62">
        <f t="shared" si="5"/>
        <v>200</v>
      </c>
      <c r="L62">
        <f t="shared" si="6"/>
        <v>1.0922277076324873</v>
      </c>
      <c r="N62">
        <f t="shared" si="7"/>
        <v>2.1530567028999519E-2</v>
      </c>
    </row>
    <row r="63" spans="1:14">
      <c r="A63">
        <f t="shared" si="9"/>
        <v>250</v>
      </c>
      <c r="B63">
        <f t="shared" si="11"/>
        <v>300</v>
      </c>
      <c r="C63" s="4">
        <v>6.8</v>
      </c>
      <c r="D63">
        <f t="shared" si="8"/>
        <v>6</v>
      </c>
      <c r="E63">
        <f t="shared" si="0"/>
        <v>7.296137339055794</v>
      </c>
      <c r="F63">
        <f t="shared" si="1"/>
        <v>5.2178739938939769</v>
      </c>
      <c r="G63">
        <f t="shared" si="2"/>
        <v>0.10266940451745381</v>
      </c>
      <c r="H63">
        <f t="shared" si="3"/>
        <v>0.16578362506375358</v>
      </c>
      <c r="J63">
        <f t="shared" si="4"/>
        <v>523.15</v>
      </c>
      <c r="K63">
        <f t="shared" si="5"/>
        <v>300</v>
      </c>
      <c r="L63">
        <f t="shared" si="6"/>
        <v>1.0922277076324873</v>
      </c>
      <c r="N63">
        <f t="shared" si="7"/>
        <v>3.0217598104230733E-2</v>
      </c>
    </row>
    <row r="64" spans="1:14">
      <c r="A64">
        <f t="shared" si="9"/>
        <v>250</v>
      </c>
      <c r="B64">
        <f t="shared" si="11"/>
        <v>400</v>
      </c>
      <c r="C64" s="4">
        <v>8.5</v>
      </c>
      <c r="D64">
        <f t="shared" si="8"/>
        <v>6</v>
      </c>
      <c r="E64">
        <f t="shared" si="0"/>
        <v>9.2896174863387984</v>
      </c>
      <c r="F64">
        <f t="shared" si="1"/>
        <v>5.2178739938939769</v>
      </c>
      <c r="G64">
        <f t="shared" si="2"/>
        <v>0.10266940451745381</v>
      </c>
      <c r="H64">
        <f t="shared" si="3"/>
        <v>0.21107969748554417</v>
      </c>
      <c r="J64">
        <f t="shared" si="4"/>
        <v>523.15</v>
      </c>
      <c r="K64">
        <f t="shared" si="5"/>
        <v>400</v>
      </c>
      <c r="L64">
        <f t="shared" si="6"/>
        <v>1.0922277076324873</v>
      </c>
      <c r="N64">
        <f t="shared" si="7"/>
        <v>3.8158727343898469E-2</v>
      </c>
    </row>
    <row r="65" spans="1:14">
      <c r="A65">
        <f t="shared" si="9"/>
        <v>250</v>
      </c>
      <c r="B65">
        <f t="shared" si="11"/>
        <v>500</v>
      </c>
      <c r="C65" s="4">
        <v>10</v>
      </c>
      <c r="D65">
        <f t="shared" si="8"/>
        <v>6</v>
      </c>
      <c r="E65">
        <f t="shared" si="0"/>
        <v>11.111111111111111</v>
      </c>
      <c r="F65">
        <f t="shared" si="1"/>
        <v>5.2178739938939769</v>
      </c>
      <c r="G65">
        <f t="shared" si="2"/>
        <v>0.10266940451745381</v>
      </c>
      <c r="H65">
        <f t="shared" si="3"/>
        <v>0.25246787346310184</v>
      </c>
      <c r="J65">
        <f t="shared" si="4"/>
        <v>523.15</v>
      </c>
      <c r="K65">
        <f t="shared" si="5"/>
        <v>500</v>
      </c>
      <c r="L65">
        <f t="shared" si="6"/>
        <v>1.0922277076324873</v>
      </c>
      <c r="N65">
        <f t="shared" si="7"/>
        <v>4.5301877413605515E-2</v>
      </c>
    </row>
    <row r="66" spans="1:14">
      <c r="A66">
        <f t="shared" si="9"/>
        <v>250</v>
      </c>
      <c r="B66">
        <f t="shared" si="11"/>
        <v>600</v>
      </c>
      <c r="C66" s="4">
        <v>11.5</v>
      </c>
      <c r="D66">
        <f t="shared" si="8"/>
        <v>6</v>
      </c>
      <c r="E66">
        <f t="shared" si="0"/>
        <v>12.994350282485875</v>
      </c>
      <c r="F66">
        <f t="shared" si="1"/>
        <v>5.2178739938939769</v>
      </c>
      <c r="G66">
        <f t="shared" si="2"/>
        <v>0.10266940451745381</v>
      </c>
      <c r="H66">
        <f t="shared" si="3"/>
        <v>0.29525903845684792</v>
      </c>
      <c r="J66">
        <f t="shared" si="4"/>
        <v>523.15</v>
      </c>
      <c r="K66">
        <f t="shared" si="5"/>
        <v>600</v>
      </c>
      <c r="L66">
        <f t="shared" si="6"/>
        <v>1.0922277076324873</v>
      </c>
      <c r="N66">
        <f t="shared" si="7"/>
        <v>5.2576464677326282E-2</v>
      </c>
    </row>
    <row r="67" spans="1:14">
      <c r="A67">
        <f t="shared" si="9"/>
        <v>250</v>
      </c>
      <c r="B67">
        <f t="shared" si="11"/>
        <v>800</v>
      </c>
      <c r="C67" s="4">
        <v>13.4</v>
      </c>
      <c r="D67">
        <f t="shared" si="8"/>
        <v>6</v>
      </c>
      <c r="E67">
        <f t="shared" ref="E67:E124" si="12">100*C67/(100-C67)</f>
        <v>15.473441108545035</v>
      </c>
      <c r="F67">
        <f t="shared" ref="F67:F124" si="13">(100-D67)/18.015</f>
        <v>5.2178739938939769</v>
      </c>
      <c r="G67">
        <f t="shared" ref="G67:G124" si="14">D67/58.44</f>
        <v>0.10266940451745381</v>
      </c>
      <c r="H67">
        <f t="shared" ref="H67:H124" si="15">E67/44.01</f>
        <v>0.35158920946478156</v>
      </c>
      <c r="J67">
        <f t="shared" ref="J67:J124" si="16">273.15+A67</f>
        <v>523.15</v>
      </c>
      <c r="K67">
        <f t="shared" ref="K67:K124" si="17">B67</f>
        <v>800</v>
      </c>
      <c r="L67">
        <f t="shared" ref="L67:L124" si="18">(1000 * D67) / (58.44 * (100 - D67))</f>
        <v>1.0922277076324873</v>
      </c>
      <c r="N67">
        <f t="shared" ref="N67:N124" si="19">H67/SUM(F67:H67)</f>
        <v>6.1985364900773242E-2</v>
      </c>
    </row>
    <row r="68" spans="1:14">
      <c r="A68">
        <f t="shared" si="9"/>
        <v>250</v>
      </c>
      <c r="B68">
        <f t="shared" si="11"/>
        <v>1000</v>
      </c>
      <c r="C68" s="4">
        <v>14.8</v>
      </c>
      <c r="D68">
        <f t="shared" ref="D68:D124" si="20">D67</f>
        <v>6</v>
      </c>
      <c r="E68">
        <f t="shared" si="12"/>
        <v>17.370892018779344</v>
      </c>
      <c r="F68">
        <f t="shared" si="13"/>
        <v>5.2178739938939769</v>
      </c>
      <c r="G68">
        <f t="shared" si="14"/>
        <v>0.10266940451745381</v>
      </c>
      <c r="H68">
        <f t="shared" si="15"/>
        <v>0.394703295132455</v>
      </c>
      <c r="J68">
        <f t="shared" si="16"/>
        <v>523.15</v>
      </c>
      <c r="K68">
        <f t="shared" si="17"/>
        <v>1000</v>
      </c>
      <c r="L68">
        <f t="shared" si="18"/>
        <v>1.0922277076324873</v>
      </c>
      <c r="N68">
        <f t="shared" si="19"/>
        <v>6.906146248740648E-2</v>
      </c>
    </row>
    <row r="69" spans="1:14">
      <c r="A69">
        <f t="shared" si="9"/>
        <v>250</v>
      </c>
      <c r="B69">
        <f t="shared" si="11"/>
        <v>1200</v>
      </c>
      <c r="C69" s="4">
        <v>16.100000000000001</v>
      </c>
      <c r="D69">
        <f t="shared" si="20"/>
        <v>6</v>
      </c>
      <c r="E69">
        <f t="shared" si="12"/>
        <v>19.189511323003575</v>
      </c>
      <c r="F69">
        <f t="shared" si="13"/>
        <v>5.2178739938939769</v>
      </c>
      <c r="G69">
        <f t="shared" si="14"/>
        <v>0.10266940451745381</v>
      </c>
      <c r="H69">
        <f t="shared" si="15"/>
        <v>0.43602616048633436</v>
      </c>
      <c r="J69">
        <f t="shared" si="16"/>
        <v>523.15</v>
      </c>
      <c r="K69">
        <f t="shared" si="17"/>
        <v>1200</v>
      </c>
      <c r="L69">
        <f t="shared" si="18"/>
        <v>1.0922277076324873</v>
      </c>
      <c r="N69">
        <f t="shared" si="19"/>
        <v>7.5744096553542237E-2</v>
      </c>
    </row>
    <row r="70" spans="1:14">
      <c r="A70">
        <f t="shared" ref="A70:A124" si="21">A69</f>
        <v>250</v>
      </c>
      <c r="B70">
        <f t="shared" si="11"/>
        <v>1400</v>
      </c>
      <c r="C70" s="4">
        <v>17</v>
      </c>
      <c r="D70">
        <f t="shared" si="20"/>
        <v>6</v>
      </c>
      <c r="E70">
        <f t="shared" si="12"/>
        <v>20.481927710843372</v>
      </c>
      <c r="F70">
        <f t="shared" si="13"/>
        <v>5.2178739938939769</v>
      </c>
      <c r="G70">
        <f t="shared" si="14"/>
        <v>0.10266940451745381</v>
      </c>
      <c r="H70">
        <f t="shared" si="15"/>
        <v>0.46539258602234429</v>
      </c>
      <c r="J70">
        <f t="shared" si="16"/>
        <v>523.15</v>
      </c>
      <c r="K70">
        <f t="shared" si="17"/>
        <v>1400</v>
      </c>
      <c r="L70">
        <f t="shared" si="18"/>
        <v>1.0922277076324873</v>
      </c>
      <c r="N70">
        <f t="shared" si="19"/>
        <v>8.0435142606903334E-2</v>
      </c>
    </row>
    <row r="71" spans="1:14">
      <c r="A71">
        <v>200</v>
      </c>
      <c r="B71">
        <f t="shared" si="11"/>
        <v>100</v>
      </c>
      <c r="C71" s="4">
        <v>2.5</v>
      </c>
      <c r="D71">
        <f t="shared" si="20"/>
        <v>6</v>
      </c>
      <c r="E71">
        <f t="shared" si="12"/>
        <v>2.5641025641025643</v>
      </c>
      <c r="F71">
        <f t="shared" si="13"/>
        <v>5.2178739938939769</v>
      </c>
      <c r="G71">
        <f t="shared" si="14"/>
        <v>0.10266940451745381</v>
      </c>
      <c r="H71">
        <f t="shared" si="15"/>
        <v>5.8261816953023501E-2</v>
      </c>
      <c r="J71">
        <f t="shared" si="16"/>
        <v>473.15</v>
      </c>
      <c r="K71">
        <f t="shared" si="17"/>
        <v>100</v>
      </c>
      <c r="L71">
        <f t="shared" si="18"/>
        <v>1.0922277076324873</v>
      </c>
      <c r="N71">
        <f t="shared" si="19"/>
        <v>1.0831739507242191E-2</v>
      </c>
    </row>
    <row r="72" spans="1:14">
      <c r="A72">
        <f t="shared" si="21"/>
        <v>200</v>
      </c>
      <c r="B72">
        <f t="shared" si="11"/>
        <v>200</v>
      </c>
      <c r="C72">
        <v>4.4000000000000004</v>
      </c>
      <c r="D72">
        <f t="shared" si="20"/>
        <v>6</v>
      </c>
      <c r="E72">
        <f t="shared" si="12"/>
        <v>4.6025104602510467</v>
      </c>
      <c r="F72">
        <f t="shared" si="13"/>
        <v>5.2178739938939769</v>
      </c>
      <c r="G72">
        <f t="shared" si="14"/>
        <v>0.10266940451745381</v>
      </c>
      <c r="H72">
        <f t="shared" si="15"/>
        <v>0.10457874256421375</v>
      </c>
      <c r="J72">
        <f t="shared" si="16"/>
        <v>473.15</v>
      </c>
      <c r="K72">
        <f t="shared" si="17"/>
        <v>200</v>
      </c>
      <c r="L72">
        <f t="shared" si="18"/>
        <v>1.0922277076324873</v>
      </c>
      <c r="N72">
        <f t="shared" si="19"/>
        <v>1.927675356363617E-2</v>
      </c>
    </row>
    <row r="73" spans="1:14">
      <c r="A73">
        <f t="shared" si="21"/>
        <v>200</v>
      </c>
      <c r="B73">
        <f t="shared" si="11"/>
        <v>300</v>
      </c>
      <c r="C73">
        <v>5.6</v>
      </c>
      <c r="D73">
        <f t="shared" si="20"/>
        <v>6</v>
      </c>
      <c r="E73">
        <f t="shared" si="12"/>
        <v>5.9322033898305078</v>
      </c>
      <c r="F73">
        <f t="shared" si="13"/>
        <v>5.2178739938939769</v>
      </c>
      <c r="G73">
        <f t="shared" si="14"/>
        <v>0.10266940451745381</v>
      </c>
      <c r="H73">
        <f t="shared" si="15"/>
        <v>0.13479216973030012</v>
      </c>
      <c r="J73">
        <f t="shared" si="16"/>
        <v>473.15</v>
      </c>
      <c r="K73">
        <f t="shared" si="17"/>
        <v>300</v>
      </c>
      <c r="L73">
        <f t="shared" si="18"/>
        <v>1.0922277076324873</v>
      </c>
      <c r="N73">
        <f t="shared" si="19"/>
        <v>2.4708318681157651E-2</v>
      </c>
    </row>
    <row r="74" spans="1:14">
      <c r="A74">
        <f t="shared" si="21"/>
        <v>200</v>
      </c>
      <c r="B74">
        <f t="shared" si="11"/>
        <v>400</v>
      </c>
      <c r="C74">
        <v>6.5</v>
      </c>
      <c r="D74">
        <f t="shared" si="20"/>
        <v>6</v>
      </c>
      <c r="E74">
        <f t="shared" si="12"/>
        <v>6.9518716577540109</v>
      </c>
      <c r="F74">
        <f t="shared" si="13"/>
        <v>5.2178739938939769</v>
      </c>
      <c r="G74">
        <f t="shared" si="14"/>
        <v>0.10266940451745381</v>
      </c>
      <c r="H74">
        <f t="shared" si="15"/>
        <v>0.15796118286194072</v>
      </c>
      <c r="J74">
        <f t="shared" si="16"/>
        <v>473.15</v>
      </c>
      <c r="K74">
        <f t="shared" si="17"/>
        <v>400</v>
      </c>
      <c r="L74">
        <f t="shared" si="18"/>
        <v>1.0922277076324873</v>
      </c>
      <c r="N74">
        <f t="shared" si="19"/>
        <v>2.8832901482255532E-2</v>
      </c>
    </row>
    <row r="75" spans="1:14">
      <c r="A75">
        <f t="shared" si="21"/>
        <v>200</v>
      </c>
      <c r="B75">
        <f t="shared" si="11"/>
        <v>500</v>
      </c>
      <c r="C75">
        <v>7.2</v>
      </c>
      <c r="D75">
        <f t="shared" si="20"/>
        <v>6</v>
      </c>
      <c r="E75">
        <f t="shared" si="12"/>
        <v>7.7586206896551726</v>
      </c>
      <c r="F75">
        <f t="shared" si="13"/>
        <v>5.2178739938939769</v>
      </c>
      <c r="G75">
        <f t="shared" si="14"/>
        <v>0.10266940451745381</v>
      </c>
      <c r="H75">
        <f t="shared" si="15"/>
        <v>0.17629222198716593</v>
      </c>
      <c r="J75">
        <f t="shared" si="16"/>
        <v>473.15</v>
      </c>
      <c r="K75">
        <f t="shared" si="17"/>
        <v>500</v>
      </c>
      <c r="L75">
        <f t="shared" si="18"/>
        <v>1.0922277076324873</v>
      </c>
      <c r="N75">
        <f t="shared" si="19"/>
        <v>3.2071583391169757E-2</v>
      </c>
    </row>
    <row r="76" spans="1:14">
      <c r="A76">
        <f t="shared" si="21"/>
        <v>200</v>
      </c>
      <c r="B76">
        <f t="shared" si="11"/>
        <v>600</v>
      </c>
      <c r="C76">
        <v>7.9</v>
      </c>
      <c r="D76">
        <f t="shared" si="20"/>
        <v>6</v>
      </c>
      <c r="E76">
        <f t="shared" si="12"/>
        <v>8.5776330076004346</v>
      </c>
      <c r="F76">
        <f t="shared" si="13"/>
        <v>5.2178739938939769</v>
      </c>
      <c r="G76">
        <f t="shared" si="14"/>
        <v>0.10266940451745381</v>
      </c>
      <c r="H76">
        <f t="shared" si="15"/>
        <v>0.19490190882982128</v>
      </c>
      <c r="J76">
        <f t="shared" si="16"/>
        <v>473.15</v>
      </c>
      <c r="K76">
        <f t="shared" si="17"/>
        <v>600</v>
      </c>
      <c r="L76">
        <f t="shared" si="18"/>
        <v>1.0922277076324873</v>
      </c>
      <c r="N76">
        <f t="shared" si="19"/>
        <v>3.5337474668443135E-2</v>
      </c>
    </row>
    <row r="77" spans="1:14">
      <c r="A77">
        <f t="shared" si="21"/>
        <v>200</v>
      </c>
      <c r="B77">
        <f t="shared" si="11"/>
        <v>800</v>
      </c>
      <c r="C77">
        <v>8.9</v>
      </c>
      <c r="D77">
        <f t="shared" si="20"/>
        <v>6</v>
      </c>
      <c r="E77">
        <f t="shared" si="12"/>
        <v>9.7694840834248087</v>
      </c>
      <c r="F77">
        <f t="shared" si="13"/>
        <v>5.2178739938939769</v>
      </c>
      <c r="G77">
        <f t="shared" si="14"/>
        <v>0.10266940451745381</v>
      </c>
      <c r="H77">
        <f t="shared" si="15"/>
        <v>0.22198327842364937</v>
      </c>
      <c r="J77">
        <f t="shared" si="16"/>
        <v>473.15</v>
      </c>
      <c r="K77">
        <f t="shared" si="17"/>
        <v>800</v>
      </c>
      <c r="L77">
        <f t="shared" si="18"/>
        <v>1.0922277076324873</v>
      </c>
      <c r="N77">
        <f t="shared" si="19"/>
        <v>4.0050917454565564E-2</v>
      </c>
    </row>
    <row r="78" spans="1:14">
      <c r="A78">
        <f t="shared" si="21"/>
        <v>200</v>
      </c>
      <c r="B78">
        <f t="shared" si="11"/>
        <v>1000</v>
      </c>
      <c r="C78">
        <v>9.6</v>
      </c>
      <c r="D78">
        <f t="shared" si="20"/>
        <v>6</v>
      </c>
      <c r="E78">
        <f t="shared" si="12"/>
        <v>10.619469026548671</v>
      </c>
      <c r="F78">
        <f t="shared" si="13"/>
        <v>5.2178739938939769</v>
      </c>
      <c r="G78">
        <f t="shared" si="14"/>
        <v>0.10266940451745381</v>
      </c>
      <c r="H78">
        <f t="shared" si="15"/>
        <v>0.24129672861960172</v>
      </c>
      <c r="J78">
        <f t="shared" si="16"/>
        <v>473.15</v>
      </c>
      <c r="K78">
        <f t="shared" si="17"/>
        <v>1000</v>
      </c>
      <c r="L78">
        <f t="shared" si="18"/>
        <v>1.0922277076324873</v>
      </c>
      <c r="N78">
        <f t="shared" si="19"/>
        <v>4.3384333801124268E-2</v>
      </c>
    </row>
    <row r="79" spans="1:14">
      <c r="A79">
        <f t="shared" si="21"/>
        <v>200</v>
      </c>
      <c r="B79">
        <f t="shared" si="11"/>
        <v>1200</v>
      </c>
      <c r="C79">
        <v>10.199999999999999</v>
      </c>
      <c r="D79">
        <f t="shared" si="20"/>
        <v>6</v>
      </c>
      <c r="E79">
        <f t="shared" si="12"/>
        <v>11.358574610244988</v>
      </c>
      <c r="F79">
        <f t="shared" si="13"/>
        <v>5.2178739938939769</v>
      </c>
      <c r="G79">
        <f t="shared" si="14"/>
        <v>0.10266940451745381</v>
      </c>
      <c r="H79">
        <f t="shared" si="15"/>
        <v>0.25809076596784797</v>
      </c>
      <c r="J79">
        <f t="shared" si="16"/>
        <v>473.15</v>
      </c>
      <c r="K79">
        <f t="shared" si="17"/>
        <v>1200</v>
      </c>
      <c r="L79">
        <f t="shared" si="18"/>
        <v>1.0922277076324873</v>
      </c>
      <c r="N79">
        <f t="shared" si="19"/>
        <v>4.6264149675884887E-2</v>
      </c>
    </row>
    <row r="80" spans="1:14">
      <c r="A80">
        <f t="shared" si="21"/>
        <v>200</v>
      </c>
      <c r="B80">
        <f t="shared" si="11"/>
        <v>1400</v>
      </c>
      <c r="C80">
        <v>10.7</v>
      </c>
      <c r="D80">
        <f t="shared" si="20"/>
        <v>6</v>
      </c>
      <c r="E80">
        <f t="shared" si="12"/>
        <v>11.982082866741322</v>
      </c>
      <c r="F80">
        <f t="shared" si="13"/>
        <v>5.2178739938939769</v>
      </c>
      <c r="G80">
        <f t="shared" si="14"/>
        <v>0.10266940451745381</v>
      </c>
      <c r="H80">
        <f t="shared" si="15"/>
        <v>0.27225818829223636</v>
      </c>
      <c r="J80">
        <f t="shared" si="16"/>
        <v>473.15</v>
      </c>
      <c r="K80">
        <f t="shared" si="17"/>
        <v>1400</v>
      </c>
      <c r="L80">
        <f t="shared" si="18"/>
        <v>1.0922277076324873</v>
      </c>
      <c r="N80">
        <f t="shared" si="19"/>
        <v>4.8680108541576603E-2</v>
      </c>
    </row>
    <row r="81" spans="1:14">
      <c r="A81">
        <v>150</v>
      </c>
      <c r="B81">
        <f t="shared" si="11"/>
        <v>100</v>
      </c>
      <c r="C81">
        <v>2.5</v>
      </c>
      <c r="D81">
        <f t="shared" si="20"/>
        <v>6</v>
      </c>
      <c r="E81">
        <f t="shared" si="12"/>
        <v>2.5641025641025643</v>
      </c>
      <c r="F81">
        <f t="shared" si="13"/>
        <v>5.2178739938939769</v>
      </c>
      <c r="G81">
        <f t="shared" si="14"/>
        <v>0.10266940451745381</v>
      </c>
      <c r="H81">
        <f t="shared" si="15"/>
        <v>5.8261816953023501E-2</v>
      </c>
      <c r="J81">
        <f t="shared" si="16"/>
        <v>423.15</v>
      </c>
      <c r="K81">
        <f t="shared" si="17"/>
        <v>100</v>
      </c>
      <c r="L81">
        <f t="shared" si="18"/>
        <v>1.0922277076324873</v>
      </c>
      <c r="N81">
        <f t="shared" si="19"/>
        <v>1.0831739507242191E-2</v>
      </c>
    </row>
    <row r="82" spans="1:14">
      <c r="A82">
        <f t="shared" si="21"/>
        <v>150</v>
      </c>
      <c r="B82">
        <f t="shared" si="11"/>
        <v>200</v>
      </c>
      <c r="C82">
        <v>4</v>
      </c>
      <c r="D82">
        <f t="shared" si="20"/>
        <v>6</v>
      </c>
      <c r="E82">
        <f t="shared" si="12"/>
        <v>4.166666666666667</v>
      </c>
      <c r="F82">
        <f t="shared" si="13"/>
        <v>5.2178739938939769</v>
      </c>
      <c r="G82">
        <f t="shared" si="14"/>
        <v>0.10266940451745381</v>
      </c>
      <c r="H82">
        <f t="shared" si="15"/>
        <v>9.4675452548663191E-2</v>
      </c>
      <c r="J82">
        <f t="shared" si="16"/>
        <v>423.15</v>
      </c>
      <c r="K82">
        <f t="shared" si="17"/>
        <v>200</v>
      </c>
      <c r="L82">
        <f t="shared" si="18"/>
        <v>1.0922277076324873</v>
      </c>
      <c r="N82">
        <f t="shared" si="19"/>
        <v>1.7483218158741206E-2</v>
      </c>
    </row>
    <row r="83" spans="1:14">
      <c r="A83">
        <f t="shared" si="21"/>
        <v>150</v>
      </c>
      <c r="B83">
        <f t="shared" si="11"/>
        <v>300</v>
      </c>
      <c r="C83">
        <v>4.7</v>
      </c>
      <c r="D83">
        <f t="shared" si="20"/>
        <v>6</v>
      </c>
      <c r="E83">
        <f t="shared" si="12"/>
        <v>4.931794333683106</v>
      </c>
      <c r="F83">
        <f t="shared" si="13"/>
        <v>5.2178739938939769</v>
      </c>
      <c r="G83">
        <f t="shared" si="14"/>
        <v>0.10266940451745381</v>
      </c>
      <c r="H83">
        <f t="shared" si="15"/>
        <v>0.11206076650041141</v>
      </c>
      <c r="J83">
        <f t="shared" si="16"/>
        <v>423.15</v>
      </c>
      <c r="K83">
        <f t="shared" si="17"/>
        <v>300</v>
      </c>
      <c r="L83">
        <f t="shared" si="18"/>
        <v>1.0922277076324873</v>
      </c>
      <c r="N83">
        <f t="shared" si="19"/>
        <v>2.0627449211961846E-2</v>
      </c>
    </row>
    <row r="84" spans="1:14">
      <c r="A84">
        <f t="shared" si="21"/>
        <v>150</v>
      </c>
      <c r="B84">
        <f t="shared" si="11"/>
        <v>400</v>
      </c>
      <c r="C84">
        <v>5.2</v>
      </c>
      <c r="D84">
        <f t="shared" si="20"/>
        <v>6</v>
      </c>
      <c r="E84">
        <f t="shared" si="12"/>
        <v>5.485232067510549</v>
      </c>
      <c r="F84">
        <f t="shared" si="13"/>
        <v>5.2178739938939769</v>
      </c>
      <c r="G84">
        <f t="shared" si="14"/>
        <v>0.10266940451745381</v>
      </c>
      <c r="H84">
        <f t="shared" si="15"/>
        <v>0.12463603879824016</v>
      </c>
      <c r="J84">
        <f t="shared" si="16"/>
        <v>423.15</v>
      </c>
      <c r="K84">
        <f t="shared" si="17"/>
        <v>400</v>
      </c>
      <c r="L84">
        <f t="shared" si="18"/>
        <v>1.0922277076324873</v>
      </c>
      <c r="N84">
        <f t="shared" si="19"/>
        <v>2.2889243639344359E-2</v>
      </c>
    </row>
    <row r="85" spans="1:14">
      <c r="A85">
        <f t="shared" si="21"/>
        <v>150</v>
      </c>
      <c r="B85">
        <f t="shared" si="11"/>
        <v>500</v>
      </c>
      <c r="C85">
        <v>5.6</v>
      </c>
      <c r="D85">
        <f t="shared" si="20"/>
        <v>6</v>
      </c>
      <c r="E85">
        <f t="shared" si="12"/>
        <v>5.9322033898305078</v>
      </c>
      <c r="F85">
        <f t="shared" si="13"/>
        <v>5.2178739938939769</v>
      </c>
      <c r="G85">
        <f t="shared" si="14"/>
        <v>0.10266940451745381</v>
      </c>
      <c r="H85">
        <f t="shared" si="15"/>
        <v>0.13479216973030012</v>
      </c>
      <c r="J85">
        <f t="shared" si="16"/>
        <v>423.15</v>
      </c>
      <c r="K85">
        <f t="shared" si="17"/>
        <v>500</v>
      </c>
      <c r="L85">
        <f t="shared" si="18"/>
        <v>1.0922277076324873</v>
      </c>
      <c r="N85">
        <f t="shared" si="19"/>
        <v>2.4708318681157651E-2</v>
      </c>
    </row>
    <row r="86" spans="1:14">
      <c r="A86">
        <f t="shared" si="21"/>
        <v>150</v>
      </c>
      <c r="B86">
        <f t="shared" si="11"/>
        <v>600</v>
      </c>
      <c r="C86">
        <v>6</v>
      </c>
      <c r="D86">
        <f t="shared" si="20"/>
        <v>6</v>
      </c>
      <c r="E86">
        <f t="shared" si="12"/>
        <v>6.3829787234042552</v>
      </c>
      <c r="F86">
        <f t="shared" si="13"/>
        <v>5.2178739938939769</v>
      </c>
      <c r="G86">
        <f t="shared" si="14"/>
        <v>0.10266940451745381</v>
      </c>
      <c r="H86">
        <f t="shared" si="15"/>
        <v>0.14503473581922871</v>
      </c>
      <c r="J86">
        <f t="shared" si="16"/>
        <v>423.15</v>
      </c>
      <c r="K86">
        <f t="shared" si="17"/>
        <v>600</v>
      </c>
      <c r="L86">
        <f t="shared" si="18"/>
        <v>1.0922277076324873</v>
      </c>
      <c r="N86">
        <f t="shared" si="19"/>
        <v>2.6536028258544685E-2</v>
      </c>
    </row>
    <row r="87" spans="1:14">
      <c r="A87">
        <f t="shared" si="21"/>
        <v>150</v>
      </c>
      <c r="B87">
        <f t="shared" si="11"/>
        <v>800</v>
      </c>
      <c r="C87">
        <v>6.6</v>
      </c>
      <c r="D87">
        <f t="shared" si="20"/>
        <v>6</v>
      </c>
      <c r="E87">
        <f t="shared" si="12"/>
        <v>7.0663811563169157</v>
      </c>
      <c r="F87">
        <f t="shared" si="13"/>
        <v>5.2178739938939769</v>
      </c>
      <c r="G87">
        <f t="shared" si="14"/>
        <v>0.10266940451745381</v>
      </c>
      <c r="H87">
        <f t="shared" si="15"/>
        <v>0.16056308012535597</v>
      </c>
      <c r="J87">
        <f t="shared" si="16"/>
        <v>423.15</v>
      </c>
      <c r="K87">
        <f t="shared" si="17"/>
        <v>800</v>
      </c>
      <c r="L87">
        <f t="shared" si="18"/>
        <v>1.0922277076324873</v>
      </c>
      <c r="N87">
        <f t="shared" si="19"/>
        <v>2.929391734207273E-2</v>
      </c>
    </row>
    <row r="88" spans="1:14">
      <c r="A88">
        <f t="shared" si="21"/>
        <v>150</v>
      </c>
      <c r="B88">
        <f t="shared" si="11"/>
        <v>1000</v>
      </c>
      <c r="C88">
        <v>7.2</v>
      </c>
      <c r="D88">
        <f t="shared" si="20"/>
        <v>6</v>
      </c>
      <c r="E88">
        <f t="shared" si="12"/>
        <v>7.7586206896551726</v>
      </c>
      <c r="F88">
        <f t="shared" si="13"/>
        <v>5.2178739938939769</v>
      </c>
      <c r="G88">
        <f t="shared" si="14"/>
        <v>0.10266940451745381</v>
      </c>
      <c r="H88">
        <f t="shared" si="15"/>
        <v>0.17629222198716593</v>
      </c>
      <c r="J88">
        <f t="shared" si="16"/>
        <v>423.15</v>
      </c>
      <c r="K88">
        <f t="shared" si="17"/>
        <v>1000</v>
      </c>
      <c r="L88">
        <f t="shared" si="18"/>
        <v>1.0922277076324873</v>
      </c>
      <c r="N88">
        <f t="shared" si="19"/>
        <v>3.2071583391169757E-2</v>
      </c>
    </row>
    <row r="89" spans="1:14">
      <c r="A89">
        <f t="shared" si="21"/>
        <v>150</v>
      </c>
      <c r="B89">
        <f t="shared" si="11"/>
        <v>1200</v>
      </c>
      <c r="C89">
        <v>7.7</v>
      </c>
      <c r="D89">
        <f t="shared" si="20"/>
        <v>6</v>
      </c>
      <c r="E89">
        <f t="shared" si="12"/>
        <v>8.342361863488625</v>
      </c>
      <c r="F89">
        <f t="shared" si="13"/>
        <v>5.2178739938939769</v>
      </c>
      <c r="G89">
        <f t="shared" si="14"/>
        <v>0.10266940451745381</v>
      </c>
      <c r="H89">
        <f t="shared" si="15"/>
        <v>0.18955605234011874</v>
      </c>
      <c r="J89">
        <f t="shared" si="16"/>
        <v>423.15</v>
      </c>
      <c r="K89">
        <f t="shared" si="17"/>
        <v>1200</v>
      </c>
      <c r="L89">
        <f t="shared" si="18"/>
        <v>1.0922277076324873</v>
      </c>
      <c r="N89">
        <f t="shared" si="19"/>
        <v>3.4401566438925939E-2</v>
      </c>
    </row>
    <row r="90" spans="1:14">
      <c r="A90">
        <f t="shared" si="21"/>
        <v>150</v>
      </c>
      <c r="B90">
        <f t="shared" si="11"/>
        <v>1400</v>
      </c>
      <c r="C90">
        <v>8</v>
      </c>
      <c r="D90">
        <f t="shared" si="20"/>
        <v>6</v>
      </c>
      <c r="E90">
        <f t="shared" si="12"/>
        <v>8.695652173913043</v>
      </c>
      <c r="F90">
        <f t="shared" si="13"/>
        <v>5.2178739938939769</v>
      </c>
      <c r="G90">
        <f t="shared" si="14"/>
        <v>0.10266940451745381</v>
      </c>
      <c r="H90">
        <f t="shared" si="15"/>
        <v>0.1975835531450362</v>
      </c>
      <c r="J90">
        <f t="shared" si="16"/>
        <v>423.15</v>
      </c>
      <c r="K90">
        <f t="shared" si="17"/>
        <v>1400</v>
      </c>
      <c r="L90">
        <f t="shared" si="18"/>
        <v>1.0922277076324873</v>
      </c>
      <c r="N90">
        <f t="shared" si="19"/>
        <v>3.5806271743948355E-2</v>
      </c>
    </row>
    <row r="91" spans="1:14">
      <c r="A91">
        <v>450</v>
      </c>
      <c r="B91">
        <v>500</v>
      </c>
      <c r="C91">
        <v>2.2000000000000002</v>
      </c>
      <c r="D91">
        <v>20</v>
      </c>
      <c r="E91">
        <f t="shared" si="12"/>
        <v>2.2494887525562377</v>
      </c>
      <c r="F91">
        <f t="shared" si="13"/>
        <v>4.4407438245906192</v>
      </c>
      <c r="G91">
        <f t="shared" si="14"/>
        <v>0.3422313483915127</v>
      </c>
      <c r="H91">
        <f t="shared" si="15"/>
        <v>5.1113127756333511E-2</v>
      </c>
      <c r="J91">
        <f t="shared" si="16"/>
        <v>723.15</v>
      </c>
      <c r="K91">
        <f t="shared" si="17"/>
        <v>500</v>
      </c>
      <c r="L91">
        <f t="shared" si="18"/>
        <v>4.2778918548939089</v>
      </c>
      <c r="N91">
        <f t="shared" si="19"/>
        <v>1.0573478301694523E-2</v>
      </c>
    </row>
    <row r="92" spans="1:14">
      <c r="A92">
        <f t="shared" si="21"/>
        <v>450</v>
      </c>
      <c r="B92">
        <v>600</v>
      </c>
      <c r="C92">
        <v>4.2</v>
      </c>
      <c r="D92">
        <f t="shared" si="20"/>
        <v>20</v>
      </c>
      <c r="E92">
        <f t="shared" si="12"/>
        <v>4.3841336116910234</v>
      </c>
      <c r="F92">
        <f t="shared" si="13"/>
        <v>4.4407438245906192</v>
      </c>
      <c r="G92">
        <f t="shared" si="14"/>
        <v>0.3422313483915127</v>
      </c>
      <c r="H92">
        <f t="shared" si="15"/>
        <v>9.9616760092956683E-2</v>
      </c>
      <c r="J92">
        <f t="shared" si="16"/>
        <v>723.15</v>
      </c>
      <c r="K92">
        <f t="shared" si="17"/>
        <v>600</v>
      </c>
      <c r="L92">
        <f t="shared" si="18"/>
        <v>4.2778918548939089</v>
      </c>
      <c r="N92">
        <f t="shared" si="19"/>
        <v>2.0402434087957333E-2</v>
      </c>
    </row>
    <row r="93" spans="1:14">
      <c r="A93">
        <f t="shared" si="21"/>
        <v>450</v>
      </c>
      <c r="B93">
        <v>700</v>
      </c>
      <c r="C93">
        <v>6</v>
      </c>
      <c r="D93">
        <f t="shared" si="20"/>
        <v>20</v>
      </c>
      <c r="E93">
        <f t="shared" si="12"/>
        <v>6.3829787234042552</v>
      </c>
      <c r="F93">
        <f t="shared" si="13"/>
        <v>4.4407438245906192</v>
      </c>
      <c r="G93">
        <f t="shared" si="14"/>
        <v>0.3422313483915127</v>
      </c>
      <c r="H93">
        <f t="shared" si="15"/>
        <v>0.14503473581922871</v>
      </c>
      <c r="J93">
        <f t="shared" si="16"/>
        <v>723.15</v>
      </c>
      <c r="K93">
        <f t="shared" si="17"/>
        <v>700</v>
      </c>
      <c r="L93">
        <f t="shared" si="18"/>
        <v>4.2778918548939089</v>
      </c>
      <c r="N93">
        <f t="shared" si="19"/>
        <v>2.9430690786598986E-2</v>
      </c>
    </row>
    <row r="94" spans="1:14">
      <c r="A94">
        <f t="shared" si="21"/>
        <v>450</v>
      </c>
      <c r="B94">
        <v>800</v>
      </c>
      <c r="C94">
        <v>7.6</v>
      </c>
      <c r="D94">
        <f t="shared" si="20"/>
        <v>20</v>
      </c>
      <c r="E94">
        <f t="shared" si="12"/>
        <v>8.2251082251082241</v>
      </c>
      <c r="F94">
        <f t="shared" si="13"/>
        <v>4.4407438245906192</v>
      </c>
      <c r="G94">
        <f t="shared" si="14"/>
        <v>0.3422313483915127</v>
      </c>
      <c r="H94">
        <f t="shared" si="15"/>
        <v>0.18689180243372472</v>
      </c>
      <c r="J94">
        <f t="shared" si="16"/>
        <v>723.15</v>
      </c>
      <c r="K94">
        <f t="shared" si="17"/>
        <v>800</v>
      </c>
      <c r="L94">
        <f t="shared" si="18"/>
        <v>4.2778918548939089</v>
      </c>
      <c r="N94">
        <f t="shared" si="19"/>
        <v>3.7604990909859595E-2</v>
      </c>
    </row>
    <row r="95" spans="1:14">
      <c r="A95">
        <f t="shared" si="21"/>
        <v>450</v>
      </c>
      <c r="B95">
        <v>900</v>
      </c>
      <c r="C95">
        <v>9.1999999999999993</v>
      </c>
      <c r="D95">
        <f t="shared" si="20"/>
        <v>20</v>
      </c>
      <c r="E95">
        <f t="shared" si="12"/>
        <v>10.13215859030837</v>
      </c>
      <c r="F95">
        <f t="shared" si="13"/>
        <v>4.4407438245906192</v>
      </c>
      <c r="G95">
        <f t="shared" si="14"/>
        <v>0.3422313483915127</v>
      </c>
      <c r="H95">
        <f t="shared" si="15"/>
        <v>0.23022400795974485</v>
      </c>
      <c r="J95">
        <f t="shared" si="16"/>
        <v>723.15</v>
      </c>
      <c r="K95">
        <f t="shared" si="17"/>
        <v>900</v>
      </c>
      <c r="L95">
        <f t="shared" si="18"/>
        <v>4.2778918548939089</v>
      </c>
      <c r="N95">
        <f t="shared" si="19"/>
        <v>4.5923570887620412E-2</v>
      </c>
    </row>
    <row r="96" spans="1:14">
      <c r="A96">
        <v>350</v>
      </c>
      <c r="B96">
        <v>200</v>
      </c>
      <c r="C96">
        <v>1.1000000000000001</v>
      </c>
      <c r="D96">
        <f t="shared" si="20"/>
        <v>20</v>
      </c>
      <c r="E96">
        <f t="shared" si="12"/>
        <v>1.1122345803842266</v>
      </c>
      <c r="F96">
        <f t="shared" si="13"/>
        <v>4.4407438245906192</v>
      </c>
      <c r="G96">
        <f t="shared" si="14"/>
        <v>0.3422313483915127</v>
      </c>
      <c r="H96">
        <f t="shared" si="15"/>
        <v>2.5272314937155798E-2</v>
      </c>
      <c r="J96">
        <f t="shared" si="16"/>
        <v>623.15</v>
      </c>
      <c r="K96">
        <f t="shared" si="17"/>
        <v>200</v>
      </c>
      <c r="L96">
        <f t="shared" si="18"/>
        <v>4.2778918548939089</v>
      </c>
      <c r="N96">
        <f t="shared" si="19"/>
        <v>5.2560345532654965E-3</v>
      </c>
    </row>
    <row r="97" spans="1:14">
      <c r="A97">
        <f t="shared" si="21"/>
        <v>350</v>
      </c>
      <c r="B97">
        <v>300</v>
      </c>
      <c r="C97">
        <v>2.6</v>
      </c>
      <c r="D97">
        <f t="shared" si="20"/>
        <v>20</v>
      </c>
      <c r="E97">
        <f t="shared" si="12"/>
        <v>2.6694045174537986</v>
      </c>
      <c r="F97">
        <f t="shared" si="13"/>
        <v>4.4407438245906192</v>
      </c>
      <c r="G97">
        <f t="shared" si="14"/>
        <v>0.3422313483915127</v>
      </c>
      <c r="H97">
        <f t="shared" si="15"/>
        <v>6.0654499374092223E-2</v>
      </c>
      <c r="J97">
        <f t="shared" si="16"/>
        <v>623.15</v>
      </c>
      <c r="K97">
        <f t="shared" si="17"/>
        <v>300</v>
      </c>
      <c r="L97">
        <f t="shared" si="18"/>
        <v>4.2778918548939089</v>
      </c>
      <c r="N97">
        <f t="shared" si="19"/>
        <v>1.2522530308264945E-2</v>
      </c>
    </row>
    <row r="98" spans="1:14">
      <c r="A98">
        <f t="shared" si="21"/>
        <v>350</v>
      </c>
      <c r="B98">
        <v>400</v>
      </c>
      <c r="C98">
        <v>3.9</v>
      </c>
      <c r="D98">
        <f t="shared" si="20"/>
        <v>20</v>
      </c>
      <c r="E98">
        <f t="shared" si="12"/>
        <v>4.0582726326742975</v>
      </c>
      <c r="F98">
        <f t="shared" si="13"/>
        <v>4.4407438245906192</v>
      </c>
      <c r="G98">
        <f t="shared" si="14"/>
        <v>0.3422313483915127</v>
      </c>
      <c r="H98">
        <f t="shared" si="15"/>
        <v>9.221251153543053E-2</v>
      </c>
      <c r="J98">
        <f t="shared" si="16"/>
        <v>623.15</v>
      </c>
      <c r="K98">
        <f t="shared" si="17"/>
        <v>400</v>
      </c>
      <c r="L98">
        <f t="shared" si="18"/>
        <v>4.2778918548939089</v>
      </c>
      <c r="N98">
        <f t="shared" si="19"/>
        <v>1.8914658778835438E-2</v>
      </c>
    </row>
    <row r="99" spans="1:14">
      <c r="A99">
        <f t="shared" si="21"/>
        <v>350</v>
      </c>
      <c r="B99">
        <v>500</v>
      </c>
      <c r="C99">
        <v>5.0999999999999996</v>
      </c>
      <c r="D99">
        <f t="shared" si="20"/>
        <v>20</v>
      </c>
      <c r="E99">
        <f t="shared" si="12"/>
        <v>5.3740779768177021</v>
      </c>
      <c r="F99">
        <f t="shared" si="13"/>
        <v>4.4407438245906192</v>
      </c>
      <c r="G99">
        <f t="shared" si="14"/>
        <v>0.3422313483915127</v>
      </c>
      <c r="H99">
        <f t="shared" si="15"/>
        <v>0.12211038347688485</v>
      </c>
      <c r="J99">
        <f t="shared" si="16"/>
        <v>623.15</v>
      </c>
      <c r="K99">
        <f t="shared" si="17"/>
        <v>500</v>
      </c>
      <c r="L99">
        <f t="shared" si="18"/>
        <v>4.2778918548939089</v>
      </c>
      <c r="N99">
        <f t="shared" si="19"/>
        <v>2.4894649047678668E-2</v>
      </c>
    </row>
    <row r="100" spans="1:14">
      <c r="A100">
        <f t="shared" si="21"/>
        <v>350</v>
      </c>
      <c r="B100">
        <v>600</v>
      </c>
      <c r="C100">
        <v>6.2</v>
      </c>
      <c r="D100">
        <f t="shared" si="20"/>
        <v>20</v>
      </c>
      <c r="E100">
        <f t="shared" si="12"/>
        <v>6.6098081023454158</v>
      </c>
      <c r="F100">
        <f t="shared" si="13"/>
        <v>4.4407438245906192</v>
      </c>
      <c r="G100">
        <f t="shared" si="14"/>
        <v>0.3422313483915127</v>
      </c>
      <c r="H100">
        <f t="shared" si="15"/>
        <v>0.15018877760384949</v>
      </c>
      <c r="J100">
        <f t="shared" si="16"/>
        <v>623.15</v>
      </c>
      <c r="K100">
        <f t="shared" si="17"/>
        <v>600</v>
      </c>
      <c r="L100">
        <f t="shared" si="18"/>
        <v>4.2778918548939089</v>
      </c>
      <c r="N100">
        <f t="shared" si="19"/>
        <v>3.0444716435181408E-2</v>
      </c>
    </row>
    <row r="101" spans="1:14">
      <c r="A101">
        <f t="shared" si="21"/>
        <v>350</v>
      </c>
      <c r="B101">
        <v>800</v>
      </c>
      <c r="C101">
        <v>7.9</v>
      </c>
      <c r="D101">
        <f t="shared" si="20"/>
        <v>20</v>
      </c>
      <c r="E101">
        <f t="shared" si="12"/>
        <v>8.5776330076004346</v>
      </c>
      <c r="F101">
        <f t="shared" si="13"/>
        <v>4.4407438245906192</v>
      </c>
      <c r="G101">
        <f t="shared" si="14"/>
        <v>0.3422313483915127</v>
      </c>
      <c r="H101">
        <f t="shared" si="15"/>
        <v>0.19490190882982128</v>
      </c>
      <c r="J101">
        <f t="shared" si="16"/>
        <v>623.15</v>
      </c>
      <c r="K101">
        <f t="shared" si="17"/>
        <v>800</v>
      </c>
      <c r="L101">
        <f t="shared" si="18"/>
        <v>4.2778918548939089</v>
      </c>
      <c r="N101">
        <f t="shared" si="19"/>
        <v>3.9153620233402138E-2</v>
      </c>
    </row>
    <row r="102" spans="1:14">
      <c r="A102">
        <f t="shared" si="21"/>
        <v>350</v>
      </c>
      <c r="B102">
        <v>1000</v>
      </c>
      <c r="C102">
        <v>9.5</v>
      </c>
      <c r="D102">
        <f t="shared" si="20"/>
        <v>20</v>
      </c>
      <c r="E102">
        <f t="shared" si="12"/>
        <v>10.497237569060774</v>
      </c>
      <c r="F102">
        <f t="shared" si="13"/>
        <v>4.4407438245906192</v>
      </c>
      <c r="G102">
        <f t="shared" si="14"/>
        <v>0.3422313483915127</v>
      </c>
      <c r="H102">
        <f t="shared" si="15"/>
        <v>0.23851937216679786</v>
      </c>
      <c r="J102">
        <f t="shared" si="16"/>
        <v>623.15</v>
      </c>
      <c r="K102">
        <f t="shared" si="17"/>
        <v>1000</v>
      </c>
      <c r="L102">
        <f t="shared" si="18"/>
        <v>4.2778918548939089</v>
      </c>
      <c r="N102">
        <f t="shared" si="19"/>
        <v>4.7499677640240018E-2</v>
      </c>
    </row>
    <row r="103" spans="1:14">
      <c r="A103">
        <f t="shared" si="21"/>
        <v>350</v>
      </c>
      <c r="B103">
        <v>1200</v>
      </c>
      <c r="C103">
        <v>10.8</v>
      </c>
      <c r="D103">
        <f t="shared" si="20"/>
        <v>20</v>
      </c>
      <c r="E103">
        <f t="shared" si="12"/>
        <v>12.107623318385651</v>
      </c>
      <c r="F103">
        <f t="shared" si="13"/>
        <v>4.4407438245906192</v>
      </c>
      <c r="G103">
        <f t="shared" si="14"/>
        <v>0.3422313483915127</v>
      </c>
      <c r="H103">
        <f t="shared" si="15"/>
        <v>0.27511073206965808</v>
      </c>
      <c r="J103">
        <f t="shared" si="16"/>
        <v>623.15</v>
      </c>
      <c r="K103">
        <f t="shared" si="17"/>
        <v>1200</v>
      </c>
      <c r="L103">
        <f t="shared" si="18"/>
        <v>4.2778918548939089</v>
      </c>
      <c r="N103">
        <f t="shared" si="19"/>
        <v>5.4390284632154978E-2</v>
      </c>
    </row>
    <row r="104" spans="1:14">
      <c r="A104">
        <f t="shared" si="21"/>
        <v>350</v>
      </c>
      <c r="B104">
        <v>1400</v>
      </c>
      <c r="C104">
        <v>12</v>
      </c>
      <c r="D104">
        <f t="shared" si="20"/>
        <v>20</v>
      </c>
      <c r="E104">
        <f t="shared" si="12"/>
        <v>13.636363636363637</v>
      </c>
      <c r="F104">
        <f t="shared" si="13"/>
        <v>4.4407438245906192</v>
      </c>
      <c r="G104">
        <f t="shared" si="14"/>
        <v>0.3422313483915127</v>
      </c>
      <c r="H104">
        <f t="shared" si="15"/>
        <v>0.30984693561380677</v>
      </c>
      <c r="J104">
        <f t="shared" si="16"/>
        <v>623.15</v>
      </c>
      <c r="K104">
        <f t="shared" si="17"/>
        <v>1400</v>
      </c>
      <c r="L104">
        <f t="shared" si="18"/>
        <v>4.2778918548939089</v>
      </c>
      <c r="N104">
        <f t="shared" si="19"/>
        <v>6.083992902301269E-2</v>
      </c>
    </row>
    <row r="105" spans="1:14">
      <c r="A105">
        <v>250</v>
      </c>
      <c r="B105">
        <v>100</v>
      </c>
      <c r="C105">
        <v>1</v>
      </c>
      <c r="D105">
        <f t="shared" si="20"/>
        <v>20</v>
      </c>
      <c r="E105">
        <f t="shared" si="12"/>
        <v>1.0101010101010102</v>
      </c>
      <c r="F105">
        <f t="shared" si="13"/>
        <v>4.4407438245906192</v>
      </c>
      <c r="G105">
        <f t="shared" si="14"/>
        <v>0.3422313483915127</v>
      </c>
      <c r="H105">
        <f t="shared" si="15"/>
        <v>2.2951624860281985E-2</v>
      </c>
      <c r="J105">
        <f t="shared" si="16"/>
        <v>523.15</v>
      </c>
      <c r="K105">
        <f t="shared" si="17"/>
        <v>100</v>
      </c>
      <c r="L105">
        <f t="shared" si="18"/>
        <v>4.2778918548939089</v>
      </c>
      <c r="N105">
        <f t="shared" si="19"/>
        <v>4.7756917293426005E-3</v>
      </c>
    </row>
    <row r="106" spans="1:14">
      <c r="A106">
        <f t="shared" si="21"/>
        <v>250</v>
      </c>
      <c r="B106">
        <f t="shared" si="11"/>
        <v>200</v>
      </c>
      <c r="C106">
        <v>2</v>
      </c>
      <c r="D106">
        <f t="shared" si="20"/>
        <v>20</v>
      </c>
      <c r="E106">
        <f t="shared" si="12"/>
        <v>2.0408163265306123</v>
      </c>
      <c r="F106">
        <f t="shared" si="13"/>
        <v>4.4407438245906192</v>
      </c>
      <c r="G106">
        <f t="shared" si="14"/>
        <v>0.3422313483915127</v>
      </c>
      <c r="H106">
        <f t="shared" si="15"/>
        <v>4.6371650227916665E-2</v>
      </c>
      <c r="J106">
        <f t="shared" si="16"/>
        <v>523.15</v>
      </c>
      <c r="K106">
        <f t="shared" si="17"/>
        <v>200</v>
      </c>
      <c r="L106">
        <f t="shared" si="18"/>
        <v>4.2778918548939089</v>
      </c>
      <c r="N106">
        <f t="shared" si="19"/>
        <v>9.602054258156096E-3</v>
      </c>
    </row>
    <row r="107" spans="1:14">
      <c r="A107">
        <f t="shared" si="21"/>
        <v>250</v>
      </c>
      <c r="B107">
        <f t="shared" si="11"/>
        <v>300</v>
      </c>
      <c r="C107">
        <v>2.8</v>
      </c>
      <c r="D107">
        <f t="shared" si="20"/>
        <v>20</v>
      </c>
      <c r="E107">
        <f t="shared" si="12"/>
        <v>2.8806584362139915</v>
      </c>
      <c r="F107">
        <f t="shared" si="13"/>
        <v>4.4407438245906192</v>
      </c>
      <c r="G107">
        <f t="shared" si="14"/>
        <v>0.3422313483915127</v>
      </c>
      <c r="H107">
        <f t="shared" si="15"/>
        <v>6.5454633860804176E-2</v>
      </c>
      <c r="J107">
        <f t="shared" si="16"/>
        <v>523.15</v>
      </c>
      <c r="K107">
        <f t="shared" si="17"/>
        <v>300</v>
      </c>
      <c r="L107">
        <f t="shared" si="18"/>
        <v>4.2778918548939089</v>
      </c>
      <c r="N107">
        <f t="shared" si="19"/>
        <v>1.35001714923094E-2</v>
      </c>
    </row>
    <row r="108" spans="1:14">
      <c r="A108">
        <f t="shared" si="21"/>
        <v>250</v>
      </c>
      <c r="B108">
        <f t="shared" si="11"/>
        <v>400</v>
      </c>
      <c r="C108">
        <v>3.4</v>
      </c>
      <c r="D108">
        <f t="shared" si="20"/>
        <v>20</v>
      </c>
      <c r="E108">
        <f t="shared" si="12"/>
        <v>3.5196687370600417</v>
      </c>
      <c r="F108">
        <f t="shared" si="13"/>
        <v>4.4407438245906192</v>
      </c>
      <c r="G108">
        <f t="shared" si="14"/>
        <v>0.3422313483915127</v>
      </c>
      <c r="H108">
        <f t="shared" si="15"/>
        <v>7.9974295320609901E-2</v>
      </c>
      <c r="J108">
        <f t="shared" si="16"/>
        <v>523.15</v>
      </c>
      <c r="K108">
        <f t="shared" si="17"/>
        <v>400</v>
      </c>
      <c r="L108">
        <f t="shared" si="18"/>
        <v>4.2778918548939089</v>
      </c>
      <c r="N108">
        <f t="shared" si="19"/>
        <v>1.6445635687125985E-2</v>
      </c>
    </row>
    <row r="109" spans="1:14">
      <c r="A109">
        <f t="shared" si="21"/>
        <v>250</v>
      </c>
      <c r="B109">
        <f t="shared" si="11"/>
        <v>500</v>
      </c>
      <c r="C109">
        <v>4.0999999999999996</v>
      </c>
      <c r="D109">
        <f t="shared" si="20"/>
        <v>20</v>
      </c>
      <c r="E109">
        <f t="shared" si="12"/>
        <v>4.2752867570385806</v>
      </c>
      <c r="F109">
        <f t="shared" si="13"/>
        <v>4.4407438245906192</v>
      </c>
      <c r="G109">
        <f t="shared" si="14"/>
        <v>0.3422313483915127</v>
      </c>
      <c r="H109">
        <f t="shared" si="15"/>
        <v>9.7143530039504225E-2</v>
      </c>
      <c r="J109">
        <f t="shared" si="16"/>
        <v>523.15</v>
      </c>
      <c r="K109">
        <f t="shared" si="17"/>
        <v>500</v>
      </c>
      <c r="L109">
        <f t="shared" si="18"/>
        <v>4.2778918548939089</v>
      </c>
      <c r="N109">
        <f t="shared" si="19"/>
        <v>1.9905976872930491E-2</v>
      </c>
    </row>
    <row r="110" spans="1:14">
      <c r="A110">
        <f t="shared" si="21"/>
        <v>250</v>
      </c>
      <c r="B110">
        <f t="shared" si="11"/>
        <v>600</v>
      </c>
      <c r="C110">
        <v>4.7</v>
      </c>
      <c r="D110">
        <f t="shared" si="20"/>
        <v>20</v>
      </c>
      <c r="E110">
        <f t="shared" si="12"/>
        <v>4.931794333683106</v>
      </c>
      <c r="F110">
        <f t="shared" si="13"/>
        <v>4.4407438245906192</v>
      </c>
      <c r="G110">
        <f t="shared" si="14"/>
        <v>0.3422313483915127</v>
      </c>
      <c r="H110">
        <f t="shared" si="15"/>
        <v>0.11206076650041141</v>
      </c>
      <c r="J110">
        <f t="shared" si="16"/>
        <v>523.15</v>
      </c>
      <c r="K110">
        <f t="shared" si="17"/>
        <v>600</v>
      </c>
      <c r="L110">
        <f t="shared" si="18"/>
        <v>4.2778918548939089</v>
      </c>
      <c r="N110">
        <f t="shared" si="19"/>
        <v>2.2892736209870895E-2</v>
      </c>
    </row>
    <row r="111" spans="1:14">
      <c r="A111">
        <f t="shared" si="21"/>
        <v>250</v>
      </c>
      <c r="B111">
        <f t="shared" si="11"/>
        <v>800</v>
      </c>
      <c r="C111">
        <v>5.7</v>
      </c>
      <c r="D111">
        <f t="shared" si="20"/>
        <v>20</v>
      </c>
      <c r="E111">
        <f t="shared" si="12"/>
        <v>6.0445387062566276</v>
      </c>
      <c r="F111">
        <f t="shared" si="13"/>
        <v>4.4407438245906192</v>
      </c>
      <c r="G111">
        <f t="shared" si="14"/>
        <v>0.3422313483915127</v>
      </c>
      <c r="H111">
        <f t="shared" si="15"/>
        <v>0.13734466499106177</v>
      </c>
      <c r="J111">
        <f t="shared" si="16"/>
        <v>523.15</v>
      </c>
      <c r="K111">
        <f t="shared" si="17"/>
        <v>800</v>
      </c>
      <c r="L111">
        <f t="shared" si="18"/>
        <v>4.2778918548939089</v>
      </c>
      <c r="N111">
        <f t="shared" si="19"/>
        <v>2.7913767704913581E-2</v>
      </c>
    </row>
    <row r="112" spans="1:14">
      <c r="A112">
        <f t="shared" si="21"/>
        <v>250</v>
      </c>
      <c r="B112">
        <f t="shared" si="11"/>
        <v>1000</v>
      </c>
      <c r="C112">
        <v>6.6</v>
      </c>
      <c r="D112">
        <f t="shared" si="20"/>
        <v>20</v>
      </c>
      <c r="E112">
        <f t="shared" si="12"/>
        <v>7.0663811563169157</v>
      </c>
      <c r="F112">
        <f t="shared" si="13"/>
        <v>4.4407438245906192</v>
      </c>
      <c r="G112">
        <f t="shared" si="14"/>
        <v>0.3422313483915127</v>
      </c>
      <c r="H112">
        <f t="shared" si="15"/>
        <v>0.16056308012535597</v>
      </c>
      <c r="J112">
        <f t="shared" si="16"/>
        <v>523.15</v>
      </c>
      <c r="K112">
        <f t="shared" si="17"/>
        <v>1000</v>
      </c>
      <c r="L112">
        <f t="shared" si="18"/>
        <v>4.2778918548939089</v>
      </c>
      <c r="N112">
        <f t="shared" si="19"/>
        <v>3.2479384583385527E-2</v>
      </c>
    </row>
    <row r="113" spans="1:14">
      <c r="A113">
        <f t="shared" si="21"/>
        <v>250</v>
      </c>
      <c r="B113">
        <f t="shared" si="11"/>
        <v>1200</v>
      </c>
      <c r="C113">
        <v>7.6</v>
      </c>
      <c r="D113">
        <f t="shared" si="20"/>
        <v>20</v>
      </c>
      <c r="E113">
        <f t="shared" si="12"/>
        <v>8.2251082251082241</v>
      </c>
      <c r="F113">
        <f t="shared" si="13"/>
        <v>4.4407438245906192</v>
      </c>
      <c r="G113">
        <f t="shared" si="14"/>
        <v>0.3422313483915127</v>
      </c>
      <c r="H113">
        <f t="shared" si="15"/>
        <v>0.18689180243372472</v>
      </c>
      <c r="J113">
        <f t="shared" si="16"/>
        <v>523.15</v>
      </c>
      <c r="K113">
        <f t="shared" si="17"/>
        <v>1200</v>
      </c>
      <c r="L113">
        <f t="shared" si="18"/>
        <v>4.2778918548939089</v>
      </c>
      <c r="N113">
        <f t="shared" si="19"/>
        <v>3.7604990909859595E-2</v>
      </c>
    </row>
    <row r="114" spans="1:14">
      <c r="A114">
        <f t="shared" si="21"/>
        <v>250</v>
      </c>
      <c r="B114">
        <f t="shared" si="11"/>
        <v>1400</v>
      </c>
      <c r="C114">
        <v>8.1999999999999993</v>
      </c>
      <c r="D114">
        <f t="shared" si="20"/>
        <v>20</v>
      </c>
      <c r="E114">
        <f t="shared" si="12"/>
        <v>8.9324618736383439</v>
      </c>
      <c r="F114">
        <f t="shared" si="13"/>
        <v>4.4407438245906192</v>
      </c>
      <c r="G114">
        <f t="shared" si="14"/>
        <v>0.3422313483915127</v>
      </c>
      <c r="H114">
        <f t="shared" si="15"/>
        <v>0.20296436886249361</v>
      </c>
      <c r="J114">
        <f t="shared" si="16"/>
        <v>523.15</v>
      </c>
      <c r="K114">
        <f t="shared" si="17"/>
        <v>1400</v>
      </c>
      <c r="L114">
        <f t="shared" si="18"/>
        <v>4.2778918548939089</v>
      </c>
      <c r="N114">
        <f t="shared" si="19"/>
        <v>4.0707346561086412E-2</v>
      </c>
    </row>
    <row r="115" spans="1:14">
      <c r="A115">
        <v>150</v>
      </c>
      <c r="B115">
        <f t="shared" si="11"/>
        <v>100</v>
      </c>
      <c r="C115">
        <v>0.9</v>
      </c>
      <c r="D115">
        <f t="shared" si="20"/>
        <v>20</v>
      </c>
      <c r="E115">
        <f t="shared" si="12"/>
        <v>0.90817356205852684</v>
      </c>
      <c r="F115">
        <f t="shared" si="13"/>
        <v>4.4407438245906192</v>
      </c>
      <c r="G115">
        <f t="shared" si="14"/>
        <v>0.3422313483915127</v>
      </c>
      <c r="H115">
        <f t="shared" si="15"/>
        <v>2.0635618315349394E-2</v>
      </c>
      <c r="J115">
        <f t="shared" si="16"/>
        <v>423.15</v>
      </c>
      <c r="K115">
        <f t="shared" si="17"/>
        <v>100</v>
      </c>
      <c r="L115">
        <f t="shared" si="18"/>
        <v>4.2778918548939089</v>
      </c>
      <c r="N115">
        <f t="shared" si="19"/>
        <v>4.2958555994449333E-3</v>
      </c>
    </row>
    <row r="116" spans="1:14">
      <c r="A116">
        <f t="shared" si="21"/>
        <v>150</v>
      </c>
      <c r="B116">
        <f t="shared" si="11"/>
        <v>200</v>
      </c>
      <c r="C116">
        <v>1.6</v>
      </c>
      <c r="D116">
        <f t="shared" si="20"/>
        <v>20</v>
      </c>
      <c r="E116">
        <f t="shared" si="12"/>
        <v>1.6260162601626016</v>
      </c>
      <c r="F116">
        <f t="shared" si="13"/>
        <v>4.4407438245906192</v>
      </c>
      <c r="G116">
        <f t="shared" si="14"/>
        <v>0.3422313483915127</v>
      </c>
      <c r="H116">
        <f t="shared" si="15"/>
        <v>3.6946518067771002E-2</v>
      </c>
      <c r="J116">
        <f t="shared" si="16"/>
        <v>423.15</v>
      </c>
      <c r="K116">
        <f t="shared" si="17"/>
        <v>200</v>
      </c>
      <c r="L116">
        <f t="shared" si="18"/>
        <v>4.2778918548939089</v>
      </c>
      <c r="N116">
        <f t="shared" si="19"/>
        <v>7.6653772480114908E-3</v>
      </c>
    </row>
    <row r="117" spans="1:14">
      <c r="A117">
        <f t="shared" si="21"/>
        <v>150</v>
      </c>
      <c r="B117">
        <f t="shared" si="11"/>
        <v>300</v>
      </c>
      <c r="C117">
        <v>2.2000000000000002</v>
      </c>
      <c r="D117">
        <f t="shared" si="20"/>
        <v>20</v>
      </c>
      <c r="E117">
        <f t="shared" si="12"/>
        <v>2.2494887525562377</v>
      </c>
      <c r="F117">
        <f t="shared" si="13"/>
        <v>4.4407438245906192</v>
      </c>
      <c r="G117">
        <f t="shared" si="14"/>
        <v>0.3422313483915127</v>
      </c>
      <c r="H117">
        <f t="shared" si="15"/>
        <v>5.1113127756333511E-2</v>
      </c>
      <c r="J117">
        <f t="shared" si="16"/>
        <v>423.15</v>
      </c>
      <c r="K117">
        <f t="shared" si="17"/>
        <v>300</v>
      </c>
      <c r="L117">
        <f t="shared" si="18"/>
        <v>4.2778918548939089</v>
      </c>
      <c r="N117">
        <f t="shared" si="19"/>
        <v>1.0573478301694523E-2</v>
      </c>
    </row>
    <row r="118" spans="1:14">
      <c r="A118">
        <f t="shared" si="21"/>
        <v>150</v>
      </c>
      <c r="B118">
        <f t="shared" si="11"/>
        <v>400</v>
      </c>
      <c r="C118">
        <v>2.5</v>
      </c>
      <c r="D118">
        <f t="shared" si="20"/>
        <v>20</v>
      </c>
      <c r="E118">
        <f t="shared" si="12"/>
        <v>2.5641025641025643</v>
      </c>
      <c r="F118">
        <f t="shared" si="13"/>
        <v>4.4407438245906192</v>
      </c>
      <c r="G118">
        <f t="shared" si="14"/>
        <v>0.3422313483915127</v>
      </c>
      <c r="H118">
        <f t="shared" si="15"/>
        <v>5.8261816953023501E-2</v>
      </c>
      <c r="J118">
        <f t="shared" si="16"/>
        <v>423.15</v>
      </c>
      <c r="K118">
        <f t="shared" si="17"/>
        <v>400</v>
      </c>
      <c r="L118">
        <f t="shared" si="18"/>
        <v>4.2778918548939089</v>
      </c>
      <c r="N118">
        <f t="shared" si="19"/>
        <v>1.2034489754198931E-2</v>
      </c>
    </row>
    <row r="119" spans="1:14">
      <c r="A119">
        <f t="shared" si="21"/>
        <v>150</v>
      </c>
      <c r="B119">
        <f t="shared" si="11"/>
        <v>500</v>
      </c>
      <c r="C119">
        <v>2.8</v>
      </c>
      <c r="D119">
        <f t="shared" si="20"/>
        <v>20</v>
      </c>
      <c r="E119">
        <f t="shared" si="12"/>
        <v>2.8806584362139915</v>
      </c>
      <c r="F119">
        <f t="shared" si="13"/>
        <v>4.4407438245906192</v>
      </c>
      <c r="G119">
        <f t="shared" si="14"/>
        <v>0.3422313483915127</v>
      </c>
      <c r="H119">
        <f t="shared" si="15"/>
        <v>6.5454633860804176E-2</v>
      </c>
      <c r="J119">
        <f t="shared" si="16"/>
        <v>423.15</v>
      </c>
      <c r="K119">
        <f t="shared" si="17"/>
        <v>500</v>
      </c>
      <c r="L119">
        <f t="shared" si="18"/>
        <v>4.2778918548939089</v>
      </c>
      <c r="N119">
        <f t="shared" si="19"/>
        <v>1.35001714923094E-2</v>
      </c>
    </row>
    <row r="120" spans="1:14">
      <c r="A120">
        <f t="shared" si="21"/>
        <v>150</v>
      </c>
      <c r="B120">
        <f t="shared" si="11"/>
        <v>600</v>
      </c>
      <c r="C120">
        <v>3.2</v>
      </c>
      <c r="D120">
        <f t="shared" si="20"/>
        <v>20</v>
      </c>
      <c r="E120">
        <f t="shared" si="12"/>
        <v>3.3057851239669422</v>
      </c>
      <c r="F120">
        <f t="shared" si="13"/>
        <v>4.4407438245906192</v>
      </c>
      <c r="G120">
        <f t="shared" si="14"/>
        <v>0.3422313483915127</v>
      </c>
      <c r="H120">
        <f t="shared" si="15"/>
        <v>7.511440863365014E-2</v>
      </c>
      <c r="J120">
        <f t="shared" si="16"/>
        <v>423.15</v>
      </c>
      <c r="K120">
        <f t="shared" si="17"/>
        <v>600</v>
      </c>
      <c r="L120">
        <f t="shared" si="18"/>
        <v>4.2778918548939089</v>
      </c>
      <c r="N120">
        <f t="shared" si="19"/>
        <v>1.5461717486211396E-2</v>
      </c>
    </row>
    <row r="121" spans="1:14">
      <c r="A121">
        <f t="shared" si="21"/>
        <v>150</v>
      </c>
      <c r="B121">
        <f t="shared" si="11"/>
        <v>800</v>
      </c>
      <c r="C121">
        <v>3.8</v>
      </c>
      <c r="D121">
        <f t="shared" si="20"/>
        <v>20</v>
      </c>
      <c r="E121">
        <f t="shared" si="12"/>
        <v>3.9501039501039501</v>
      </c>
      <c r="F121">
        <f t="shared" si="13"/>
        <v>4.4407438245906192</v>
      </c>
      <c r="G121">
        <f t="shared" si="14"/>
        <v>0.3422313483915127</v>
      </c>
      <c r="H121">
        <f t="shared" si="15"/>
        <v>8.9754690981684856E-2</v>
      </c>
      <c r="J121">
        <f t="shared" si="16"/>
        <v>423.15</v>
      </c>
      <c r="K121">
        <f t="shared" si="17"/>
        <v>800</v>
      </c>
      <c r="L121">
        <f t="shared" si="18"/>
        <v>4.2778918548939089</v>
      </c>
      <c r="N121">
        <f t="shared" si="19"/>
        <v>1.8419796189701385E-2</v>
      </c>
    </row>
    <row r="122" spans="1:14">
      <c r="A122">
        <f t="shared" si="21"/>
        <v>150</v>
      </c>
      <c r="B122">
        <f t="shared" si="11"/>
        <v>1000</v>
      </c>
      <c r="C122">
        <v>4.3</v>
      </c>
      <c r="D122">
        <f t="shared" si="20"/>
        <v>20</v>
      </c>
      <c r="E122">
        <f t="shared" si="12"/>
        <v>4.4932079414838038</v>
      </c>
      <c r="F122">
        <f t="shared" si="13"/>
        <v>4.4407438245906192</v>
      </c>
      <c r="G122">
        <f t="shared" si="14"/>
        <v>0.3422313483915127</v>
      </c>
      <c r="H122">
        <f t="shared" si="15"/>
        <v>0.10209515886125435</v>
      </c>
      <c r="J122">
        <f t="shared" si="16"/>
        <v>423.15</v>
      </c>
      <c r="K122">
        <f t="shared" si="17"/>
        <v>1000</v>
      </c>
      <c r="L122">
        <f t="shared" si="18"/>
        <v>4.2778918548939089</v>
      </c>
      <c r="N122">
        <f t="shared" si="19"/>
        <v>2.0899424558075634E-2</v>
      </c>
    </row>
    <row r="123" spans="1:14">
      <c r="A123">
        <f t="shared" si="21"/>
        <v>150</v>
      </c>
      <c r="B123">
        <f t="shared" si="11"/>
        <v>1200</v>
      </c>
      <c r="C123">
        <v>4.8</v>
      </c>
      <c r="D123">
        <f t="shared" si="20"/>
        <v>20</v>
      </c>
      <c r="E123">
        <f t="shared" si="12"/>
        <v>5.0420168067226889</v>
      </c>
      <c r="F123">
        <f t="shared" si="13"/>
        <v>4.4407438245906192</v>
      </c>
      <c r="G123">
        <f t="shared" si="14"/>
        <v>0.3422313483915127</v>
      </c>
      <c r="H123">
        <f t="shared" si="15"/>
        <v>0.11456525350426469</v>
      </c>
      <c r="J123">
        <f t="shared" si="16"/>
        <v>423.15</v>
      </c>
      <c r="K123">
        <f t="shared" si="17"/>
        <v>1200</v>
      </c>
      <c r="L123">
        <f t="shared" si="18"/>
        <v>4.2778918548939089</v>
      </c>
      <c r="N123">
        <f t="shared" si="19"/>
        <v>2.3392405886980362E-2</v>
      </c>
    </row>
    <row r="124" spans="1:14">
      <c r="A124">
        <f t="shared" si="21"/>
        <v>150</v>
      </c>
      <c r="B124">
        <f t="shared" si="11"/>
        <v>1400</v>
      </c>
      <c r="C124">
        <v>5.3</v>
      </c>
      <c r="D124">
        <f t="shared" si="20"/>
        <v>20</v>
      </c>
      <c r="E124">
        <f t="shared" si="12"/>
        <v>5.5966209081309399</v>
      </c>
      <c r="F124">
        <f t="shared" si="13"/>
        <v>4.4407438245906192</v>
      </c>
      <c r="G124">
        <f t="shared" si="14"/>
        <v>0.3422313483915127</v>
      </c>
      <c r="H124">
        <f t="shared" si="15"/>
        <v>0.1271670281329457</v>
      </c>
      <c r="J124">
        <f t="shared" si="16"/>
        <v>423.15</v>
      </c>
      <c r="K124">
        <f t="shared" si="17"/>
        <v>1400</v>
      </c>
      <c r="L124">
        <f t="shared" si="18"/>
        <v>4.2778918548939089</v>
      </c>
      <c r="N124">
        <f t="shared" si="19"/>
        <v>2.5898848327461161E-2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6c2670-3368-498f-a16b-70466cda23c0}" enabled="1" method="Standard" siteId="{447a9cb9-b230-46bf-b430-a7b9f50e3c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QCd Data</vt:lpstr>
      <vt:lpstr>all_data</vt:lpstr>
      <vt:lpstr>psia &amp; F</vt:lpstr>
      <vt:lpstr>Wiebe gram conversion</vt:lpstr>
      <vt:lpstr>Prutton &amp; Savage</vt:lpstr>
      <vt:lpstr>Takenouchi &amp; Kennedy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Burgoyne, Mark (Mark)</cp:lastModifiedBy>
  <dcterms:created xsi:type="dcterms:W3CDTF">2025-12-31T00:48:32Z</dcterms:created>
  <dcterms:modified xsi:type="dcterms:W3CDTF">2026-02-13T10:39:56Z</dcterms:modified>
</cp:coreProperties>
</file>